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48" yWindow="540" windowWidth="23256" windowHeight="11976" tabRatio="754"/>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V3R0'!$B$15:$S$23</definedName>
    <definedName name="InputFileKeys">'Arborescence - V3R0'!$AL$16:$AN$17</definedName>
    <definedName name="sousGroupesDisponibles">'Listes MC'!$D$2:$D$27</definedName>
    <definedName name="variablesAndFlux">'Arborescence - V3R0'!$Y$15:$AJ$23</definedName>
  </definedNames>
  <calcPr calcId="145621"/>
</workbook>
</file>

<file path=xl/calcChain.xml><?xml version="1.0" encoding="utf-8"?>
<calcChain xmlns="http://schemas.openxmlformats.org/spreadsheetml/2006/main">
  <c r="Y19" i="1" l="1"/>
  <c r="Z19" i="1"/>
  <c r="AA19" i="1"/>
  <c r="AB19" i="1"/>
  <c r="AC19" i="1"/>
  <c r="AE19" i="1"/>
  <c r="AF19" i="1"/>
  <c r="AG19" i="1"/>
  <c r="AH19" i="1"/>
  <c r="AI19" i="1"/>
  <c r="AJ19" i="1"/>
  <c r="AD19" i="1" l="1"/>
  <c r="Y20" i="1"/>
  <c r="Z20" i="1"/>
  <c r="AA20" i="1"/>
  <c r="AB20" i="1"/>
  <c r="AC20" i="1"/>
  <c r="AE20" i="1"/>
  <c r="AF20" i="1"/>
  <c r="AG20" i="1"/>
  <c r="AH20" i="1"/>
  <c r="AI20" i="1"/>
  <c r="AJ20" i="1"/>
  <c r="AD20" i="1" l="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7" i="1" l="1"/>
  <c r="Z17" i="1"/>
  <c r="AA17" i="1"/>
  <c r="AB17" i="1"/>
  <c r="AC17" i="1"/>
  <c r="Y18" i="1"/>
  <c r="Z18" i="1"/>
  <c r="AA18" i="1"/>
  <c r="AB18" i="1"/>
  <c r="AC18" i="1"/>
  <c r="Y21" i="1"/>
  <c r="Z21" i="1"/>
  <c r="AA21" i="1"/>
  <c r="AB21" i="1"/>
  <c r="AC21" i="1"/>
  <c r="Y22" i="1"/>
  <c r="Z22" i="1"/>
  <c r="AA22" i="1"/>
  <c r="AB22" i="1"/>
  <c r="AC22" i="1"/>
  <c r="Y23" i="1"/>
  <c r="Z23" i="1"/>
  <c r="AA23" i="1"/>
  <c r="AB23" i="1"/>
  <c r="AC23" i="1"/>
  <c r="AD17" i="1" l="1"/>
  <c r="AD21" i="1"/>
  <c r="AD23" i="1"/>
  <c r="AD22" i="1"/>
  <c r="AD18" i="1"/>
  <c r="AA16" i="1"/>
  <c r="AC16" i="1" l="1"/>
  <c r="Y16" i="1"/>
  <c r="Z16" i="1"/>
  <c r="AB16" i="1"/>
  <c r="AJ16" i="1"/>
  <c r="AF17" i="1"/>
  <c r="AI21" i="1"/>
  <c r="AG18" i="1"/>
  <c r="AJ22" i="1"/>
  <c r="AI22" i="1"/>
  <c r="AF30" i="1"/>
  <c r="AJ72" i="1"/>
  <c r="AG66" i="1"/>
  <c r="AH18" i="1"/>
  <c r="AH17" i="1"/>
  <c r="AH51" i="1"/>
  <c r="AJ37" i="1"/>
  <c r="AG35" i="1"/>
  <c r="AH55" i="1"/>
  <c r="AF43" i="1"/>
  <c r="AI40" i="1"/>
  <c r="AG37" i="1"/>
  <c r="AE34" i="1"/>
  <c r="AH33" i="1"/>
  <c r="AI70" i="1"/>
  <c r="AH40" i="1"/>
  <c r="AE32" i="1"/>
  <c r="AG47" i="1"/>
  <c r="AG65" i="1"/>
  <c r="AE50" i="1"/>
  <c r="AJ25" i="1"/>
  <c r="AF48" i="1"/>
  <c r="AG60" i="1"/>
  <c r="AI75" i="1"/>
  <c r="AH57" i="1"/>
  <c r="AI45" i="1"/>
  <c r="AJ71" i="1"/>
  <c r="AF16" i="1"/>
  <c r="AH22" i="1"/>
  <c r="AH21" i="1"/>
  <c r="AG16" i="1"/>
  <c r="AJ40" i="1"/>
  <c r="AH80" i="1"/>
  <c r="AF66" i="1"/>
  <c r="AI71" i="1"/>
  <c r="AG83" i="1"/>
  <c r="AG48" i="1"/>
  <c r="AF76" i="1"/>
  <c r="AF68" i="1"/>
  <c r="AI50" i="1"/>
  <c r="AH29" i="1"/>
  <c r="AI67" i="1"/>
  <c r="AI59" i="1"/>
  <c r="AE53" i="1"/>
  <c r="AE57" i="1"/>
  <c r="AG43" i="1"/>
  <c r="AH73" i="1"/>
  <c r="AI60" i="1"/>
  <c r="AJ18" i="1"/>
  <c r="AG21" i="1"/>
  <c r="AE21" i="1"/>
  <c r="AH83" i="1"/>
  <c r="AF34" i="1"/>
  <c r="AE29" i="1"/>
  <c r="AE55" i="1"/>
  <c r="AJ65" i="1"/>
  <c r="AI76" i="1"/>
  <c r="AJ39" i="1"/>
  <c r="AE54" i="1"/>
  <c r="AI28" i="1"/>
  <c r="AF61" i="1"/>
  <c r="AF80" i="1"/>
  <c r="AG79" i="1"/>
  <c r="AE79" i="1"/>
  <c r="AI53" i="1"/>
  <c r="AE72" i="1"/>
  <c r="AG54" i="1"/>
  <c r="AI16" i="1"/>
  <c r="AF70" i="1"/>
  <c r="AJ60" i="1"/>
  <c r="AE68" i="1"/>
  <c r="AI26" i="1"/>
  <c r="AF41" i="1"/>
  <c r="AJ70" i="1"/>
  <c r="AJ74" i="1"/>
  <c r="AJ41" i="1"/>
  <c r="AF81" i="1"/>
  <c r="AG77" i="1"/>
  <c r="AE40" i="1"/>
  <c r="AE44" i="1"/>
  <c r="AG61" i="1"/>
  <c r="AJ45" i="1"/>
  <c r="AJ58" i="1"/>
  <c r="AH70" i="1"/>
  <c r="AJ17" i="1"/>
  <c r="AF46" i="1"/>
  <c r="AH48" i="1"/>
  <c r="AJ36" i="1"/>
  <c r="AE36" i="1"/>
  <c r="AG51" i="1"/>
  <c r="AG69" i="1"/>
  <c r="AJ83" i="1"/>
  <c r="AI32" i="1"/>
  <c r="AG59" i="1"/>
  <c r="AH38" i="1"/>
  <c r="AG52" i="1"/>
  <c r="AI38" i="1"/>
  <c r="AJ34" i="1"/>
  <c r="AH74" i="1"/>
  <c r="AE58" i="1"/>
  <c r="AG31" i="1"/>
  <c r="AG45" i="1"/>
  <c r="AG17" i="1"/>
  <c r="AE52" i="1"/>
  <c r="AG57" i="1"/>
  <c r="AE80" i="1"/>
  <c r="AF40" i="1"/>
  <c r="AE67" i="1"/>
  <c r="AF45" i="1"/>
  <c r="AG38" i="1"/>
  <c r="AE83" i="1"/>
  <c r="AG22" i="1"/>
  <c r="AJ56" i="1"/>
  <c r="AH42" i="1"/>
  <c r="AH32" i="1"/>
  <c r="AI65" i="1"/>
  <c r="AE59" i="1"/>
  <c r="AI25" i="1"/>
  <c r="AE78" i="1"/>
  <c r="AG26" i="1"/>
  <c r="AJ66" i="1"/>
  <c r="AJ62" i="1"/>
  <c r="AJ81" i="1"/>
  <c r="AG78" i="1"/>
  <c r="AF62" i="1"/>
  <c r="AH26" i="1"/>
  <c r="AJ54" i="1"/>
  <c r="AG70" i="1"/>
  <c r="AH46" i="1"/>
  <c r="AG72" i="1"/>
  <c r="AH27" i="1"/>
  <c r="AI62" i="1"/>
  <c r="AG50" i="1"/>
  <c r="AG62" i="1"/>
  <c r="AG49" i="1"/>
  <c r="AE65" i="1"/>
  <c r="AE25" i="1"/>
  <c r="AJ26" i="1"/>
  <c r="AF49" i="1"/>
  <c r="AG36" i="1"/>
  <c r="AJ32" i="1"/>
  <c r="AJ69" i="1"/>
  <c r="AH63" i="1"/>
  <c r="AI33" i="1"/>
  <c r="AE27" i="1"/>
  <c r="AH81" i="1"/>
  <c r="AE69" i="1"/>
  <c r="AI61" i="1"/>
  <c r="AE26" i="1"/>
  <c r="AG56" i="1"/>
  <c r="AI42" i="1"/>
  <c r="AG74" i="1"/>
  <c r="AF53" i="1"/>
  <c r="AJ21" i="1"/>
  <c r="AE17" i="1"/>
  <c r="AI49" i="1"/>
  <c r="AF69" i="1"/>
  <c r="AG42" i="1"/>
  <c r="AF72" i="1"/>
  <c r="AH77" i="1"/>
  <c r="AG29" i="1"/>
  <c r="AH43" i="1"/>
  <c r="AH31" i="1"/>
  <c r="AE30" i="1"/>
  <c r="AI83" i="1"/>
  <c r="AF32" i="1"/>
  <c r="AF33" i="1"/>
  <c r="AI68" i="1"/>
  <c r="AI41" i="1"/>
  <c r="AI77" i="1"/>
  <c r="AI35" i="1"/>
  <c r="AH59" i="1"/>
  <c r="AG28" i="1"/>
  <c r="AH79" i="1"/>
  <c r="AI72" i="1"/>
  <c r="AI44" i="1"/>
  <c r="AH56" i="1"/>
  <c r="AH82" i="1"/>
  <c r="AJ42" i="1"/>
  <c r="AH78" i="1"/>
  <c r="AH69" i="1"/>
  <c r="AI66" i="1"/>
  <c r="AI43" i="1"/>
  <c r="AG32" i="1"/>
  <c r="AF21" i="1"/>
  <c r="AE22" i="1"/>
  <c r="AF78" i="1"/>
  <c r="AJ31" i="1"/>
  <c r="AJ68" i="1"/>
  <c r="AI78" i="1"/>
  <c r="AJ33" i="1"/>
  <c r="AJ51" i="1"/>
  <c r="AE28" i="1"/>
  <c r="AI31" i="1"/>
  <c r="AE56" i="1"/>
  <c r="AJ50" i="1"/>
  <c r="AG40" i="1"/>
  <c r="AH68" i="1"/>
  <c r="AH72" i="1"/>
  <c r="AF71" i="1"/>
  <c r="AI56" i="1"/>
  <c r="AI47" i="1"/>
  <c r="AI17" i="1"/>
  <c r="AF54" i="1"/>
  <c r="AF59" i="1"/>
  <c r="AF42" i="1"/>
  <c r="AI46" i="1"/>
  <c r="AE62" i="1"/>
  <c r="AH76" i="1"/>
  <c r="AJ38" i="1"/>
  <c r="AH25" i="1"/>
  <c r="AG68" i="1"/>
  <c r="AI52" i="1"/>
  <c r="AF52" i="1"/>
  <c r="AF63" i="1"/>
  <c r="AF56" i="1"/>
  <c r="AJ73" i="1"/>
  <c r="AH52" i="1"/>
  <c r="AJ59" i="1"/>
  <c r="AE71" i="1"/>
  <c r="AJ44" i="1"/>
  <c r="AI51" i="1"/>
  <c r="AI79" i="1"/>
  <c r="AI34" i="1"/>
  <c r="AE31" i="1"/>
  <c r="AE76" i="1"/>
  <c r="AF74" i="1"/>
  <c r="AF44" i="1"/>
  <c r="AH34" i="1"/>
  <c r="AE33" i="1"/>
  <c r="AI30" i="1"/>
  <c r="AF75" i="1"/>
  <c r="AH49" i="1"/>
  <c r="AI74" i="1"/>
  <c r="AJ49" i="1"/>
  <c r="AE82" i="1"/>
  <c r="AJ64" i="1"/>
  <c r="AF26" i="1"/>
  <c r="AI39" i="1"/>
  <c r="AG76" i="1"/>
  <c r="AI69" i="1"/>
  <c r="AE47" i="1"/>
  <c r="AI27" i="1"/>
  <c r="AI54" i="1"/>
  <c r="AG58" i="1"/>
  <c r="AG39" i="1"/>
  <c r="AJ35" i="1"/>
  <c r="AE42" i="1"/>
  <c r="AH67" i="1"/>
  <c r="AE39" i="1"/>
  <c r="AG25" i="1"/>
  <c r="AJ79" i="1"/>
  <c r="AG55" i="1"/>
  <c r="AJ77" i="1"/>
  <c r="AH36" i="1"/>
  <c r="AF64" i="1"/>
  <c r="AJ43" i="1"/>
  <c r="AH28" i="1"/>
  <c r="AF31" i="1"/>
  <c r="AE51" i="1"/>
  <c r="AF67" i="1"/>
  <c r="AJ53" i="1"/>
  <c r="AG46" i="1"/>
  <c r="AI29" i="1"/>
  <c r="AG73" i="1"/>
  <c r="AH58" i="1"/>
  <c r="AJ63" i="1"/>
  <c r="AH37" i="1"/>
  <c r="AG53" i="1"/>
  <c r="AF38" i="1"/>
  <c r="AE77" i="1"/>
  <c r="AG44" i="1"/>
  <c r="AI37" i="1"/>
  <c r="AF35" i="1"/>
  <c r="AE38" i="1"/>
  <c r="AJ75" i="1"/>
  <c r="AG27" i="1"/>
  <c r="AJ57" i="1"/>
  <c r="AE81" i="1"/>
  <c r="AJ76" i="1"/>
  <c r="AE35" i="1"/>
  <c r="AF27" i="1"/>
  <c r="AJ47" i="1"/>
  <c r="AE60" i="1"/>
  <c r="AI57" i="1"/>
  <c r="AI80" i="1"/>
  <c r="AH16" i="1"/>
  <c r="AE46" i="1"/>
  <c r="AG30" i="1"/>
  <c r="AJ46" i="1"/>
  <c r="AE37" i="1"/>
  <c r="AJ61" i="1"/>
  <c r="AE74" i="1"/>
  <c r="AG34" i="1"/>
  <c r="AH39" i="1"/>
  <c r="AE61" i="1"/>
  <c r="AF55" i="1"/>
  <c r="AF28" i="1"/>
  <c r="AH53" i="1"/>
  <c r="AF79" i="1"/>
  <c r="AH66" i="1"/>
  <c r="AF77" i="1"/>
  <c r="AJ55" i="1"/>
  <c r="AG63" i="1"/>
  <c r="AJ30" i="1"/>
  <c r="AF22" i="1"/>
  <c r="AJ80" i="1"/>
  <c r="AJ28" i="1"/>
  <c r="AH64" i="1"/>
  <c r="AE41" i="1"/>
  <c r="AF73" i="1"/>
  <c r="AH61" i="1"/>
  <c r="AH60" i="1"/>
  <c r="AF83" i="1"/>
  <c r="AI81" i="1"/>
  <c r="AJ67" i="1"/>
  <c r="AG33" i="1"/>
  <c r="AI82" i="1"/>
  <c r="AH62" i="1"/>
  <c r="AJ27" i="1"/>
  <c r="AE45" i="1"/>
  <c r="AH44" i="1"/>
  <c r="AI48" i="1"/>
  <c r="AI36" i="1"/>
  <c r="AG64" i="1"/>
  <c r="AF50" i="1"/>
  <c r="AE48" i="1"/>
  <c r="AJ82" i="1"/>
  <c r="AF39" i="1"/>
  <c r="AH50" i="1"/>
  <c r="AJ29" i="1"/>
  <c r="AH35" i="1"/>
  <c r="AI55" i="1"/>
  <c r="AJ52" i="1"/>
  <c r="AF37" i="1"/>
  <c r="AE73" i="1"/>
  <c r="AF60" i="1"/>
  <c r="AF29" i="1"/>
  <c r="AE43" i="1"/>
  <c r="AE49" i="1"/>
  <c r="AF65" i="1"/>
  <c r="AF36" i="1"/>
  <c r="AE63" i="1"/>
  <c r="AG41" i="1"/>
  <c r="AF58" i="1"/>
  <c r="AG82" i="1"/>
  <c r="AI58" i="1"/>
  <c r="AH65" i="1"/>
  <c r="AF51" i="1"/>
  <c r="AE75" i="1"/>
  <c r="AG75" i="1"/>
  <c r="AH54" i="1"/>
  <c r="AJ78" i="1"/>
  <c r="AG81" i="1"/>
  <c r="AI73" i="1"/>
  <c r="AH47" i="1"/>
  <c r="AG80" i="1"/>
  <c r="AF57" i="1"/>
  <c r="AE70" i="1"/>
  <c r="AH75" i="1"/>
  <c r="AE66" i="1"/>
  <c r="AG67" i="1"/>
  <c r="AI18" i="1"/>
  <c r="AJ48" i="1"/>
  <c r="AF82" i="1"/>
  <c r="AH30" i="1"/>
  <c r="AI63" i="1"/>
  <c r="AG71" i="1"/>
  <c r="AH41" i="1"/>
  <c r="AF47" i="1"/>
  <c r="AE64" i="1"/>
  <c r="AH71" i="1"/>
  <c r="AI64" i="1"/>
  <c r="AH45" i="1"/>
  <c r="AE16" i="1"/>
  <c r="AF18" i="1"/>
  <c r="AE18" i="1"/>
  <c r="AF25" i="1"/>
  <c r="AG24" i="1"/>
  <c r="AH24" i="1"/>
  <c r="AJ24" i="1"/>
  <c r="AE24" i="1"/>
  <c r="AI24" i="1"/>
  <c r="AF24" i="1"/>
  <c r="AI23" i="1"/>
  <c r="AF23" i="1"/>
  <c r="AG23" i="1"/>
  <c r="AH23" i="1"/>
  <c r="AE23" i="1"/>
  <c r="AJ23" i="1"/>
  <c r="AD16" i="1" l="1"/>
</calcChain>
</file>

<file path=xl/sharedStrings.xml><?xml version="1.0" encoding="utf-8"?>
<sst xmlns="http://schemas.openxmlformats.org/spreadsheetml/2006/main" count="3904" uniqueCount="745">
  <si>
    <t>Libellé</t>
  </si>
  <si>
    <t>Type</t>
  </si>
  <si>
    <t>Unité</t>
  </si>
  <si>
    <t>Propulsion</t>
  </si>
  <si>
    <t>Structure</t>
  </si>
  <si>
    <t>Mission</t>
  </si>
  <si>
    <t>QdV</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</si>
  <si>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</si>
  <si>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</si>
  <si>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</si>
  <si>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</si>
  <si>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</si>
  <si>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</si>
  <si>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</si>
  <si>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</si>
  <si>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</si>
  <si>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</si>
  <si>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</si>
  <si>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</si>
  <si>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degré</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</si>
  <si>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</si>
  <si>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</si>
  <si>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</si>
  <si>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</si>
  <si>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</si>
  <si>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</si>
  <si>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</si>
  <si>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</si>
  <si>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</si>
  <si>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</si>
  <si>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</si>
  <si>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</si>
  <si>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</si>
  <si>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</si>
  <si>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</si>
  <si>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</si>
  <si>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</si>
  <si>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</si>
  <si>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</si>
  <si>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</si>
  <si>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</si>
  <si>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</si>
  <si>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</si>
  <si>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</si>
  <si>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</si>
  <si>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</si>
  <si>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</si>
  <si>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</si>
  <si>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</si>
  <si>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</si>
  <si>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</si>
  <si>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X2</t>
  </si>
  <si>
    <t>Masse par postes i, d'après la norme AIR 2001</t>
  </si>
  <si>
    <t>Matrice d'inertie à la MTOW</t>
  </si>
  <si>
    <t>Matrice d'inertie à la ZFW</t>
  </si>
  <si>
    <t>Surface de référence totale du véhicule</t>
  </si>
  <si>
    <t>X0</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</si>
  <si>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</si>
  <si>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</si>
  <si>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</si>
  <si>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</si>
  <si>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</si>
  <si>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</si>
  <si>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</si>
  <si>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</si>
  <si>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</si>
  <si>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</si>
  <si>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</si>
  <si>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</si>
  <si>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Y21</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</si>
  <si>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</si>
  <si>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</si>
  <si>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</si>
  <si>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</si>
  <si>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</si>
  <si>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</si>
  <si>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</si>
  <si>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BLI</t>
  </si>
  <si>
    <t>Traînée au point de dimensionnement de la propulsion</t>
  </si>
  <si>
    <t>Mach au point de dimensionnement de la propulsion</t>
  </si>
  <si>
    <t>Altitude au point de dimensionnement de la propulsion</t>
  </si>
  <si>
    <t>Facteur d'échelle sur le moteur de référence</t>
  </si>
  <si>
    <t>kg/s</t>
  </si>
  <si>
    <t>Y12</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</si>
  <si>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</si>
  <si>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</si>
  <si>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</si>
  <si>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</si>
  <si>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</si>
  <si>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</si>
  <si>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</si>
  <si>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</si>
  <si>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</si>
  <si>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</si>
  <si>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</si>
  <si>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</si>
  <si>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</si>
  <si>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</si>
  <si>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</si>
  <si>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</si>
  <si>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</si>
  <si>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</si>
  <si>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</si>
  <si>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</si>
  <si>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</si>
  <si>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</si>
  <si>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</si>
  <si>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</si>
  <si>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</si>
  <si>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Codes associés 
aux modules</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</si>
  <si>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</si>
  <si>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</si>
  <si>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</si>
  <si>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</si>
  <si>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</si>
  <si>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</si>
  <si>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</si>
  <si>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</si>
  <si>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</si>
  <si>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</si>
  <si>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</si>
  <si>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</si>
  <si>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</si>
  <si>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</si>
  <si>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</si>
  <si>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</si>
  <si>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</si>
  <si>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</si>
  <si>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</si>
  <si>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</si>
  <si>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</si>
  <si>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</si>
  <si>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</si>
  <si>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</si>
  <si>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</si>
  <si>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</si>
  <si>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</si>
  <si>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</si>
  <si>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</si>
  <si>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</si>
  <si>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</si>
  <si>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</si>
  <si>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</si>
  <si>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</si>
  <si>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</si>
  <si>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</si>
  <si>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</si>
  <si>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</si>
  <si>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</si>
  <si>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</si>
  <si>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</si>
  <si>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</si>
  <si>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</si>
  <si>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</si>
  <si>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</si>
  <si>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scalaire</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</si>
  <si>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</si>
  <si>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</si>
  <si>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</si>
  <si>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</si>
  <si>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</si>
  <si>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</si>
  <si>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</si>
  <si>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</si>
  <si>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</si>
  <si>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</si>
  <si>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</si>
  <si>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</si>
  <si>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</si>
  <si>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</si>
  <si>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</si>
  <si>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</si>
  <si>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</si>
  <si>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</si>
  <si>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</si>
  <si>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</si>
  <si>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</si>
  <si>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</si>
  <si>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</si>
  <si>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</si>
  <si>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</si>
  <si>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</si>
  <si>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</si>
  <si>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</si>
  <si>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</si>
  <si>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</si>
  <si>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</si>
  <si>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</si>
  <si>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</si>
  <si>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</si>
  <si>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</si>
  <si>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</si>
  <si>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</si>
  <si>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</si>
  <si>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</si>
  <si>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</si>
  <si>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Y02</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</si>
  <si>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</si>
  <si>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</si>
  <si>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</si>
  <si>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</si>
  <si>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</si>
  <si>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</si>
  <si>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</si>
  <si>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</si>
  <si>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</si>
  <si>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</si>
  <si>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</si>
  <si>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</si>
  <si>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</si>
  <si>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</si>
  <si>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</si>
  <si>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</si>
  <si>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</si>
  <si>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</si>
  <si>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</si>
  <si>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</si>
  <si>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</si>
  <si>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</si>
  <si>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</si>
  <si>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</si>
  <si>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</si>
  <si>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</si>
  <si>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</si>
  <si>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</si>
  <si>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</si>
  <si>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</si>
  <si>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</si>
  <si>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</si>
  <si>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</si>
  <si>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</si>
  <si>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</si>
  <si>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</si>
  <si>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</si>
  <si>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</si>
  <si>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</si>
  <si>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</si>
  <si>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</si>
  <si>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</si>
  <si>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</si>
  <si>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</si>
  <si>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</si>
  <si>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</si>
  <si>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</si>
  <si>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</si>
  <si>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</si>
  <si>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</si>
  <si>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</si>
  <si>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</si>
  <si>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</si>
  <si>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</si>
  <si>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</si>
  <si>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</si>
  <si>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</si>
  <si>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</si>
  <si>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</si>
  <si>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</si>
  <si>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</si>
  <si>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</si>
  <si>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</si>
  <si>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</si>
  <si>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</si>
  <si>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</si>
  <si>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</si>
  <si>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</si>
  <si>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</si>
  <si>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</si>
  <si>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</si>
  <si>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</si>
  <si>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Y10</t>
  </si>
  <si>
    <t>Flux 1</t>
  </si>
  <si>
    <t>Flux 2</t>
  </si>
  <si>
    <t>Flux 3</t>
  </si>
  <si>
    <t>Flux 4</t>
  </si>
  <si>
    <t>Flux 5</t>
  </si>
  <si>
    <t>Flux 6</t>
  </si>
  <si>
    <t>Déclaration de la variable dans Model Center</t>
  </si>
  <si>
    <t>integer</t>
  </si>
  <si>
    <t>X0,Y*0</t>
  </si>
  <si>
    <t>X1,Y*1</t>
  </si>
  <si>
    <t>double[]</t>
  </si>
  <si>
    <t>Groupes</t>
  </si>
  <si>
    <t>Quelques spécifications pour la création des wrapper model center</t>
  </si>
  <si>
    <t>+</t>
  </si>
  <si>
    <t>non</t>
  </si>
  <si>
    <t>Nom du Script</t>
  </si>
  <si>
    <t>Clefs</t>
  </si>
  <si>
    <t>Input_0</t>
  </si>
  <si>
    <t>Input_1</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</si>
  <si>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</si>
  <si>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</si>
  <si>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</si>
  <si>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</si>
  <si>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</si>
  <si>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</si>
  <si>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</si>
  <si>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</si>
  <si>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</si>
  <si>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</si>
  <si>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</si>
  <si>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</si>
  <si>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</si>
  <si>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</si>
  <si>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</si>
  <si>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</si>
  <si>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</si>
  <si>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</si>
  <si>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 xml:space="preserve">Nom de variable </t>
  </si>
  <si>
    <t>unité</t>
  </si>
  <si>
    <t>dim</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</si>
  <si>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</si>
  <si>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</si>
  <si>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</si>
  <si>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</si>
  <si>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</si>
  <si>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</si>
  <si>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</si>
  <si>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</si>
  <si>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</si>
  <si>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</si>
  <si>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</si>
  <si>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</si>
  <si>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</si>
  <si>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</si>
  <si>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</si>
  <si>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</si>
  <si>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</si>
  <si>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</si>
  <si>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</si>
  <si>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</si>
  <si>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</si>
  <si>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</si>
  <si>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</si>
  <si>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</si>
  <si>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</si>
  <si>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</si>
  <si>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</si>
  <si>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</si>
  <si>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</si>
  <si>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</si>
  <si>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</si>
  <si>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</si>
  <si>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</si>
  <si>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</si>
  <si>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</si>
  <si>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</si>
  <si>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</si>
  <si>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</si>
  <si>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</si>
  <si>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</si>
  <si>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</si>
  <si>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</si>
  <si>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</si>
  <si>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</si>
  <si>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</si>
  <si>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</si>
  <si>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</si>
  <si>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</si>
  <si>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</si>
  <si>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</si>
  <si>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</si>
  <si>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</si>
  <si>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</si>
  <si>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</si>
  <si>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</si>
  <si>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</si>
  <si>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mission</t>
  </si>
  <si>
    <t>engines</t>
  </si>
  <si>
    <t>lift</t>
  </si>
  <si>
    <t>thrust</t>
  </si>
  <si>
    <t>weight</t>
  </si>
  <si>
    <t>fuel_tanks</t>
  </si>
  <si>
    <t>cargo_hold</t>
  </si>
  <si>
    <t>cabin</t>
  </si>
  <si>
    <t>payload</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</si>
  <si>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</si>
  <si>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</si>
  <si>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</si>
  <si>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</si>
  <si>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</si>
  <si>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</si>
  <si>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</si>
  <si>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</si>
  <si>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</si>
  <si>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</si>
  <si>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</si>
  <si>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</si>
  <si>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</si>
  <si>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</si>
  <si>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</si>
  <si>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</si>
  <si>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</si>
  <si>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</si>
  <si>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</si>
  <si>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</si>
  <si>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</si>
  <si>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</si>
  <si>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</si>
  <si>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</si>
  <si>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</si>
  <si>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</si>
  <si>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</si>
  <si>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</si>
  <si>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</si>
  <si>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</si>
  <si>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</si>
  <si>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</si>
  <si>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</si>
  <si>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</si>
  <si>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</si>
  <si>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</si>
  <si>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</si>
  <si>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</si>
  <si>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</si>
  <si>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</si>
  <si>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</si>
  <si>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</si>
  <si>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</si>
  <si>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</si>
  <si>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</si>
  <si>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</si>
  <si>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</si>
  <si>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</si>
  <si>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</si>
  <si>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</si>
  <si>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</si>
  <si>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</si>
  <si>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</si>
  <si>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</si>
  <si>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</si>
  <si>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</si>
  <si>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</si>
  <si>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</si>
  <si>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</si>
  <si>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</si>
  <si>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</si>
  <si>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</si>
  <si>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</si>
  <si>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</si>
  <si>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</si>
  <si>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</si>
  <si>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</si>
  <si>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</si>
  <si>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</si>
  <si>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</si>
  <si>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</si>
  <si>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</si>
  <si>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</si>
  <si>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</si>
  <si>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</si>
  <si>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</si>
  <si>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</si>
  <si>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</si>
  <si>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</si>
  <si>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</si>
  <si>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</si>
  <si>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</si>
  <si>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</si>
  <si>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</si>
  <si>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</si>
  <si>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</si>
  <si>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</si>
  <si>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</si>
  <si>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</si>
  <si>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</si>
  <si>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</si>
  <si>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</si>
  <si>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</si>
  <si>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</si>
  <si>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</si>
  <si>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</si>
  <si>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</si>
  <si>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</si>
  <si>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</si>
  <si>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</si>
  <si>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</si>
  <si>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</si>
  <si>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</si>
  <si>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</si>
  <si>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</si>
  <si>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</si>
  <si>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</si>
  <si>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</si>
  <si>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</si>
  <si>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</si>
  <si>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</si>
  <si>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</si>
  <si>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</si>
  <si>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</si>
  <si>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</si>
  <si>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</si>
  <si>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</si>
  <si>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</si>
  <si>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</si>
  <si>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</si>
  <si>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</si>
  <si>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</si>
  <si>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</si>
  <si>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</si>
  <si>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</si>
  <si>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</si>
  <si>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</si>
  <si>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</si>
  <si>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</si>
  <si>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</si>
  <si>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</si>
  <si>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</si>
  <si>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</si>
  <si>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</si>
  <si>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</si>
  <si>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</si>
  <si>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</si>
  <si>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</si>
  <si>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</si>
  <si>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</si>
  <si>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</si>
  <si>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</si>
  <si>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</si>
  <si>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</si>
  <si>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</si>
  <si>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</si>
  <si>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</si>
  <si>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</si>
  <si>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wing_body</t>
  </si>
  <si>
    <t>geometry</t>
  </si>
  <si>
    <t>propulsion</t>
  </si>
  <si>
    <t>aerodynamics</t>
  </si>
  <si>
    <t>structure</t>
  </si>
  <si>
    <t>control</t>
  </si>
  <si>
    <t>weight_balance_inertia</t>
  </si>
  <si>
    <t>vertical_surfaces</t>
  </si>
  <si>
    <t>landing_gears</t>
  </si>
  <si>
    <t>inputs</t>
  </si>
  <si>
    <t>consumption</t>
  </si>
  <si>
    <t>flow</t>
  </si>
  <si>
    <t>acoustic_inputs</t>
  </si>
  <si>
    <t>airfoils</t>
  </si>
  <si>
    <t>twists_and_fillets</t>
  </si>
  <si>
    <t>drag</t>
  </si>
  <si>
    <t>angle_of_attack</t>
  </si>
  <si>
    <t>lift_over_drag</t>
  </si>
  <si>
    <t>MAC</t>
  </si>
  <si>
    <t>center_of_mass</t>
  </si>
  <si>
    <t>inertia</t>
  </si>
  <si>
    <t>engine_sizing</t>
  </si>
  <si>
    <t>control_surfaces</t>
  </si>
  <si>
    <t>Nom de la variable pour Model Center
(snake_case)</t>
  </si>
  <si>
    <t>Groupe ModelCenter
(snake_case)</t>
  </si>
  <si>
    <t>Sous-groupe ModelCenter
(snake_case)</t>
  </si>
  <si>
    <t>Sous-groupes</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</si>
  <si>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</si>
  <si>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</si>
  <si>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</si>
  <si>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</si>
  <si>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</si>
  <si>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</si>
  <si>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</si>
  <si>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</si>
  <si>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</si>
  <si>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</si>
  <si>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</si>
  <si>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</si>
  <si>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</si>
  <si>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</si>
  <si>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</si>
  <si>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</si>
  <si>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</si>
  <si>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</si>
  <si>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</si>
  <si>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</si>
  <si>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</si>
  <si>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</si>
  <si>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</si>
  <si>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</si>
  <si>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</si>
  <si>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</si>
  <si>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</si>
  <si>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</si>
  <si>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</si>
  <si>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</si>
  <si>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</si>
  <si>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</si>
  <si>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</si>
  <si>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</si>
  <si>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</si>
  <si>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</si>
  <si>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</si>
  <si>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</si>
  <si>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</si>
  <si>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</si>
  <si>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</si>
  <si>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</si>
  <si>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</si>
  <si>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</si>
  <si>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</si>
  <si>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</si>
  <si>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</si>
  <si>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</si>
  <si>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</si>
  <si>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</si>
  <si>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</si>
  <si>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</si>
  <si>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</si>
  <si>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</si>
  <si>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</si>
  <si>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</si>
  <si>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</si>
  <si>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</si>
  <si>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</si>
  <si>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Pas d'intégration</t>
  </si>
  <si>
    <t>time_step</t>
  </si>
  <si>
    <t>Type de polaire en entrée du module mission</t>
  </si>
  <si>
    <t>mission_output_features</t>
  </si>
  <si>
    <t>Commentaires</t>
  </si>
  <si>
    <t>Y01</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</si>
  <si>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</si>
  <si>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</si>
  <si>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</si>
  <si>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</si>
  <si>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</si>
  <si>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</si>
  <si>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</si>
  <si>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</si>
  <si>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</si>
  <si>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</si>
  <si>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</si>
  <si>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</si>
  <si>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</si>
  <si>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</si>
  <si>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</si>
  <si>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</si>
  <si>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</si>
  <si>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</si>
  <si>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</si>
  <si>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</si>
  <si>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</si>
  <si>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</si>
  <si>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</si>
  <si>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</si>
  <si>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</si>
  <si>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</si>
  <si>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</si>
  <si>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</si>
  <si>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</si>
  <si>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</si>
  <si>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</si>
  <si>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</si>
  <si>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</si>
  <si>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</si>
  <si>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</si>
  <si>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</si>
  <si>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</si>
  <si>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</si>
  <si>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</si>
  <si>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</si>
  <si>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</si>
  <si>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</si>
  <si>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</si>
  <si>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X0.weight_balance_inertia.center_of_mass</t>
  </si>
  <si>
    <t>Y30.weight_balance_inertia.center_of_mass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</si>
  <si>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</si>
  <si>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</si>
  <si>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</si>
  <si>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</si>
  <si>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</si>
  <si>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</si>
  <si>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</si>
  <si>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</si>
  <si>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</si>
  <si>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</si>
  <si>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</si>
  <si>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</si>
  <si>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</si>
  <si>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</si>
  <si>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</si>
  <si>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</si>
  <si>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</si>
  <si>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</si>
  <si>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</si>
  <si>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Y02.weight_balance_inertia.center_of_mass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</si>
  <si>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</si>
  <si>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</si>
  <si>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</si>
  <si>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</si>
  <si>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</si>
  <si>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</si>
  <si>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</si>
  <si>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</si>
  <si>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</si>
  <si>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</si>
  <si>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</si>
  <si>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</si>
  <si>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</si>
  <si>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</si>
  <si>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Y43.weight_balance_inertia.weight</t>
  </si>
  <si>
    <t>Y03.weight_balance_inertia.center_of_mass</t>
  </si>
  <si>
    <t>Y03.mission.payload</t>
  </si>
  <si>
    <t>X3.mission</t>
  </si>
  <si>
    <t>Y43.mission</t>
  </si>
  <si>
    <t>Y03.control.control_surfaces</t>
  </si>
  <si>
    <t>Y24.geometry.wing_body</t>
  </si>
  <si>
    <t>Y04.propulsion</t>
  </si>
  <si>
    <t>Y14.propulsion.thrust</t>
  </si>
  <si>
    <t>Y14.propulsion.consumption</t>
  </si>
  <si>
    <t>Y24.aerodynamics.drag</t>
  </si>
  <si>
    <t>Y24.aerodynamics.lift</t>
  </si>
  <si>
    <t>Y34.weight_balance_inertia.weight</t>
  </si>
  <si>
    <t>X4.mission.engine_sizing</t>
  </si>
  <si>
    <t>X4.mission</t>
  </si>
  <si>
    <t>X4.mission.inputs</t>
  </si>
  <si>
    <t>Y05.propulsion</t>
  </si>
  <si>
    <t>Y15.propulsion.thrust</t>
  </si>
  <si>
    <t>Y25.aerodynamics</t>
  </si>
  <si>
    <t>Y35.weight_balance_inertia.weight</t>
  </si>
  <si>
    <t>Y35.weight_balance_inertia.center_of_mass</t>
  </si>
  <si>
    <t>Y35.weight_balance_inertia.inertia</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</si>
  <si>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</si>
  <si>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</si>
  <si>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</si>
  <si>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</si>
  <si>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</si>
  <si>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</si>
  <si>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</si>
  <si>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</si>
  <si>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</si>
  <si>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Y3x.weight_balance_inertia.weight</t>
  </si>
  <si>
    <t>Y3x.mission</t>
  </si>
  <si>
    <t>Y3x.structure</t>
  </si>
  <si>
    <t>Y4x.mission</t>
  </si>
  <si>
    <t>Y5x.control</t>
  </si>
  <si>
    <t>Nombre de palettes 96 ppuces (remplissage des soutes uniquement en palettes 96p)</t>
  </si>
  <si>
    <t>Geometry</t>
  </si>
  <si>
    <t>Aerodynamics</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</si>
  <si>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</si>
  <si>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</si>
  <si>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</si>
  <si>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</si>
  <si>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PRF CICAV</t>
  </si>
  <si>
    <t>scalar</t>
  </si>
  <si>
    <t>degre</t>
  </si>
  <si>
    <t>Y2</t>
  </si>
  <si>
    <t>Y2x</t>
  </si>
  <si>
    <t>disabled_var</t>
  </si>
  <si>
    <t>Disabled variable</t>
  </si>
  <si>
    <t>oui</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</si>
</sst>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59">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theme="3"/>
      </left>
      <right style="medium">
        <color theme="3"/>
      </right>
      <top style="medium">
        <color theme="3"/>
      </top>
      <bottom/>
      <diagonal/>
    </border>
    <border>
      <left style="medium">
        <color theme="3"/>
      </left>
      <right style="medium">
        <color theme="3"/>
      </right>
      <top/>
      <bottom/>
      <diagonal/>
    </border>
    <border>
      <left style="medium">
        <color theme="3"/>
      </left>
      <right style="medium">
        <color theme="3"/>
      </right>
      <top/>
      <bottom style="medium">
        <color theme="3"/>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s>
  <cellStyleXfs count="5">
    <xf numFmtId="0" fontId="0" fillId="0" borderId="0"/>
    <xf numFmtId="0" fontId="6" fillId="3" borderId="0" applyNumberFormat="0" applyBorder="0" applyAlignment="0" applyProtection="0"/>
    <xf numFmtId="0" fontId="10" fillId="0" borderId="36" applyNumberFormat="0" applyFill="0" applyAlignment="0" applyProtection="0"/>
    <xf numFmtId="0" fontId="11" fillId="0" borderId="37" applyNumberFormat="0" applyFill="0" applyAlignment="0" applyProtection="0"/>
    <xf numFmtId="0" fontId="1" fillId="8" borderId="0" applyNumberFormat="0" applyBorder="0" applyAlignment="0" applyProtection="0"/>
  </cellStyleXfs>
  <cellXfs count="163">
    <xf numFmtId="0" fontId="0" fillId="0" borderId="0" xfId="0"/>
    <xf numFmtId="0" fontId="2" fillId="0" borderId="0" xfId="0" applyFont="1"/>
    <xf numFmtId="0" fontId="4" fillId="0" borderId="0" xfId="0" applyFont="1"/>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0" xfId="0" applyFont="1" applyBorder="1"/>
    <xf numFmtId="0" fontId="3" fillId="0" borderId="0" xfId="0" applyFont="1" applyBorder="1" applyAlignment="1">
      <alignment horizontal="center"/>
    </xf>
    <xf numFmtId="0" fontId="6" fillId="3" borderId="0" xfId="1"/>
    <xf numFmtId="0" fontId="3" fillId="0" borderId="10" xfId="0" applyFont="1" applyBorder="1" applyAlignment="1">
      <alignment horizontal="center" vertical="center" wrapText="1"/>
    </xf>
    <xf numFmtId="0" fontId="3" fillId="0" borderId="6"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3" xfId="0" applyFont="1" applyBorder="1" applyAlignment="1">
      <alignment horizontal="center" vertical="center" wrapText="1"/>
    </xf>
    <xf numFmtId="0" fontId="5" fillId="4" borderId="8" xfId="0" applyFont="1" applyFill="1" applyBorder="1" applyAlignment="1">
      <alignment wrapText="1"/>
    </xf>
    <xf numFmtId="0" fontId="5" fillId="4" borderId="11" xfId="0" applyFont="1" applyFill="1" applyBorder="1" applyAlignment="1">
      <alignment wrapText="1"/>
    </xf>
    <xf numFmtId="0" fontId="5" fillId="5" borderId="7" xfId="0" applyFont="1" applyFill="1" applyBorder="1" applyAlignment="1">
      <alignment wrapText="1"/>
    </xf>
    <xf numFmtId="0" fontId="5" fillId="5" borderId="12" xfId="0" applyFont="1" applyFill="1" applyBorder="1" applyAlignment="1">
      <alignment wrapText="1"/>
    </xf>
    <xf numFmtId="0" fontId="5" fillId="5" borderId="8" xfId="0" applyFont="1" applyFill="1" applyBorder="1" applyAlignment="1">
      <alignment wrapText="1"/>
    </xf>
    <xf numFmtId="0" fontId="5" fillId="5" borderId="11" xfId="0" applyFont="1" applyFill="1" applyBorder="1" applyAlignment="1">
      <alignment wrapText="1"/>
    </xf>
    <xf numFmtId="0" fontId="5" fillId="5" borderId="9" xfId="0" applyFont="1" applyFill="1" applyBorder="1" applyAlignment="1">
      <alignment wrapText="1"/>
    </xf>
    <xf numFmtId="0" fontId="5" fillId="5" borderId="13" xfId="0" applyFont="1" applyFill="1" applyBorder="1" applyAlignment="1">
      <alignment wrapText="1"/>
    </xf>
    <xf numFmtId="0" fontId="3" fillId="0" borderId="34" xfId="0" applyFont="1" applyBorder="1" applyAlignment="1">
      <alignment horizontal="center" vertical="center" wrapText="1"/>
    </xf>
    <xf numFmtId="0" fontId="5" fillId="4" borderId="1" xfId="0" applyFont="1" applyFill="1" applyBorder="1" applyAlignment="1">
      <alignment wrapText="1"/>
    </xf>
    <xf numFmtId="0" fontId="5" fillId="4" borderId="2" xfId="0" applyFont="1" applyFill="1" applyBorder="1" applyAlignment="1">
      <alignment wrapText="1"/>
    </xf>
    <xf numFmtId="0" fontId="5" fillId="5" borderId="21" xfId="0" applyFont="1" applyFill="1" applyBorder="1" applyAlignment="1">
      <alignment wrapText="1"/>
    </xf>
    <xf numFmtId="0" fontId="5" fillId="5" borderId="22" xfId="0" applyFont="1" applyFill="1" applyBorder="1" applyAlignment="1">
      <alignment wrapText="1"/>
    </xf>
    <xf numFmtId="0" fontId="5" fillId="5" borderId="1" xfId="0" applyFont="1" applyFill="1" applyBorder="1" applyAlignment="1">
      <alignment wrapText="1"/>
    </xf>
    <xf numFmtId="0" fontId="5" fillId="5" borderId="2" xfId="0" applyFont="1" applyFill="1" applyBorder="1" applyAlignment="1">
      <alignment wrapText="1"/>
    </xf>
    <xf numFmtId="0" fontId="5" fillId="5" borderId="3" xfId="0" applyFont="1" applyFill="1" applyBorder="1" applyAlignment="1">
      <alignment wrapText="1"/>
    </xf>
    <xf numFmtId="0" fontId="5" fillId="5" borderId="4" xfId="0" applyFont="1" applyFill="1" applyBorder="1" applyAlignment="1">
      <alignment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5" fillId="4" borderId="26" xfId="0" applyFont="1" applyFill="1" applyBorder="1" applyAlignment="1">
      <alignment wrapText="1"/>
    </xf>
    <xf numFmtId="0" fontId="5" fillId="5" borderId="30" xfId="0" applyFont="1" applyFill="1" applyBorder="1" applyAlignment="1">
      <alignment wrapText="1"/>
    </xf>
    <xf numFmtId="0" fontId="5" fillId="5" borderId="26" xfId="0" applyFont="1" applyFill="1" applyBorder="1" applyAlignment="1">
      <alignment wrapText="1"/>
    </xf>
    <xf numFmtId="0" fontId="3" fillId="0" borderId="35" xfId="0" applyFont="1" applyBorder="1" applyAlignment="1">
      <alignment horizontal="center" vertical="center" wrapText="1"/>
    </xf>
    <xf numFmtId="0" fontId="2" fillId="4" borderId="33" xfId="0" applyFont="1" applyFill="1" applyBorder="1"/>
    <xf numFmtId="0" fontId="3" fillId="0" borderId="16"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37" xfId="3" applyFont="1"/>
    <xf numFmtId="0" fontId="3" fillId="0" borderId="31"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4" borderId="26" xfId="0" applyFont="1" applyFill="1" applyBorder="1" applyAlignment="1">
      <alignment horizontal="center"/>
    </xf>
    <xf numFmtId="0" fontId="2" fillId="0" borderId="0" xfId="0" applyFont="1" applyAlignment="1">
      <alignment horizontal="left"/>
    </xf>
    <xf numFmtId="0" fontId="4" fillId="0" borderId="0" xfId="0" applyFont="1" applyAlignment="1">
      <alignment horizontal="left"/>
    </xf>
    <xf numFmtId="0" fontId="2" fillId="5" borderId="2" xfId="0" applyFont="1" applyFill="1" applyBorder="1"/>
    <xf numFmtId="0" fontId="5" fillId="4" borderId="7" xfId="0" applyFont="1" applyFill="1" applyBorder="1" applyAlignment="1">
      <alignment wrapText="1"/>
    </xf>
    <xf numFmtId="0" fontId="5" fillId="4" borderId="30" xfId="0" applyFont="1" applyFill="1" applyBorder="1" applyAlignment="1">
      <alignment wrapText="1"/>
    </xf>
    <xf numFmtId="0" fontId="5" fillId="4" borderId="12" xfId="0" applyFont="1" applyFill="1" applyBorder="1" applyAlignment="1">
      <alignment wrapText="1"/>
    </xf>
    <xf numFmtId="0" fontId="5" fillId="4" borderId="22" xfId="0" applyFont="1" applyFill="1" applyBorder="1" applyAlignment="1">
      <alignment wrapText="1"/>
    </xf>
    <xf numFmtId="0" fontId="5" fillId="4" borderId="21" xfId="0" applyFont="1" applyFill="1" applyBorder="1" applyAlignment="1">
      <alignment wrapText="1"/>
    </xf>
    <xf numFmtId="0" fontId="2" fillId="4" borderId="2" xfId="0" applyFont="1" applyFill="1" applyBorder="1"/>
    <xf numFmtId="0" fontId="2" fillId="5" borderId="30" xfId="0" applyFont="1" applyFill="1" applyBorder="1" applyAlignment="1">
      <alignment horizontal="center"/>
    </xf>
    <xf numFmtId="0" fontId="2" fillId="5" borderId="22" xfId="0" applyFont="1" applyFill="1" applyBorder="1"/>
    <xf numFmtId="0" fontId="2" fillId="5" borderId="26" xfId="0" applyFont="1" applyFill="1" applyBorder="1" applyAlignment="1">
      <alignment horizontal="center"/>
    </xf>
    <xf numFmtId="0" fontId="2" fillId="5" borderId="27" xfId="0" applyFont="1" applyFill="1" applyBorder="1" applyAlignment="1">
      <alignment horizontal="center"/>
    </xf>
    <xf numFmtId="0" fontId="2" fillId="5" borderId="4" xfId="0" applyFont="1" applyFill="1" applyBorder="1"/>
    <xf numFmtId="0" fontId="3" fillId="0" borderId="24" xfId="0" applyFont="1" applyFill="1" applyBorder="1" applyAlignment="1">
      <alignment horizontal="center" vertical="center" wrapText="1"/>
    </xf>
    <xf numFmtId="0" fontId="2" fillId="4" borderId="39" xfId="0" applyFont="1" applyFill="1" applyBorder="1" applyAlignment="1">
      <alignment horizontal="center"/>
    </xf>
    <xf numFmtId="0" fontId="2" fillId="4" borderId="45" xfId="0" applyFont="1" applyFill="1" applyBorder="1"/>
    <xf numFmtId="0" fontId="3" fillId="0" borderId="5" xfId="0" applyFont="1" applyBorder="1" applyAlignment="1">
      <alignment horizontal="center" vertical="center" wrapText="1"/>
    </xf>
    <xf numFmtId="0" fontId="3" fillId="0" borderId="32" xfId="0" applyFont="1" applyBorder="1" applyAlignment="1">
      <alignment horizontal="center" vertical="center" wrapText="1"/>
    </xf>
    <xf numFmtId="0" fontId="2" fillId="4" borderId="40" xfId="0" applyFont="1" applyFill="1" applyBorder="1" applyAlignment="1">
      <alignment horizontal="center"/>
    </xf>
    <xf numFmtId="0" fontId="2" fillId="4" borderId="33" xfId="0" applyFont="1" applyFill="1" applyBorder="1" applyAlignment="1">
      <alignment horizontal="center"/>
    </xf>
    <xf numFmtId="0" fontId="2" fillId="4" borderId="41" xfId="0" applyFont="1" applyFill="1" applyBorder="1" applyAlignment="1">
      <alignment horizontal="center"/>
    </xf>
    <xf numFmtId="0" fontId="2" fillId="4" borderId="14" xfId="0" applyFont="1" applyFill="1" applyBorder="1" applyAlignment="1">
      <alignment horizontal="center"/>
    </xf>
    <xf numFmtId="0" fontId="2" fillId="4" borderId="14" xfId="0" applyFont="1" applyFill="1" applyBorder="1"/>
    <xf numFmtId="0" fontId="5" fillId="7" borderId="7" xfId="0" applyFont="1" applyFill="1" applyBorder="1" applyAlignment="1">
      <alignment wrapText="1"/>
    </xf>
    <xf numFmtId="0" fontId="2" fillId="7" borderId="43" xfId="0" applyFont="1" applyFill="1" applyBorder="1" applyAlignment="1">
      <alignment horizontal="center"/>
    </xf>
    <xf numFmtId="0" fontId="2" fillId="7" borderId="38" xfId="0" applyFont="1" applyFill="1" applyBorder="1" applyAlignment="1">
      <alignment horizontal="center"/>
    </xf>
    <xf numFmtId="0" fontId="5" fillId="7" borderId="30" xfId="0" applyFont="1" applyFill="1" applyBorder="1" applyAlignment="1">
      <alignment wrapText="1"/>
    </xf>
    <xf numFmtId="0" fontId="5" fillId="7" borderId="12" xfId="0" applyFont="1" applyFill="1" applyBorder="1" applyAlignment="1">
      <alignment wrapText="1"/>
    </xf>
    <xf numFmtId="0" fontId="5" fillId="7" borderId="22" xfId="0" applyFont="1" applyFill="1" applyBorder="1" applyAlignment="1">
      <alignment wrapText="1"/>
    </xf>
    <xf numFmtId="0" fontId="5" fillId="7" borderId="21" xfId="0" applyFont="1" applyFill="1" applyBorder="1" applyAlignment="1">
      <alignment wrapText="1"/>
    </xf>
    <xf numFmtId="0" fontId="2" fillId="7" borderId="30" xfId="0" applyFont="1" applyFill="1" applyBorder="1" applyAlignment="1">
      <alignment horizontal="center"/>
    </xf>
    <xf numFmtId="0" fontId="2" fillId="7" borderId="22" xfId="0" applyFont="1" applyFill="1" applyBorder="1"/>
    <xf numFmtId="0" fontId="2" fillId="7" borderId="41" xfId="0" applyFont="1" applyFill="1" applyBorder="1" applyAlignment="1">
      <alignment horizontal="center"/>
    </xf>
    <xf numFmtId="0" fontId="2" fillId="7" borderId="14" xfId="0" applyFont="1" applyFill="1" applyBorder="1" applyAlignment="1">
      <alignment horizontal="center"/>
    </xf>
    <xf numFmtId="0" fontId="5" fillId="7" borderId="11" xfId="0" applyFont="1" applyFill="1" applyBorder="1" applyAlignment="1">
      <alignment wrapText="1"/>
    </xf>
    <xf numFmtId="0" fontId="2" fillId="7" borderId="14" xfId="0" applyFont="1" applyFill="1" applyBorder="1"/>
    <xf numFmtId="0" fontId="2" fillId="7" borderId="26" xfId="0" applyFont="1" applyFill="1" applyBorder="1" applyAlignment="1">
      <alignment horizontal="center"/>
    </xf>
    <xf numFmtId="0" fontId="2" fillId="7" borderId="2" xfId="0" applyFont="1" applyFill="1" applyBorder="1"/>
    <xf numFmtId="0" fontId="2" fillId="5" borderId="43" xfId="0" applyFont="1" applyFill="1" applyBorder="1" applyAlignment="1">
      <alignment horizontal="center"/>
    </xf>
    <xf numFmtId="0" fontId="2" fillId="5" borderId="38" xfId="0" applyFont="1" applyFill="1" applyBorder="1" applyAlignment="1">
      <alignment horizontal="center"/>
    </xf>
    <xf numFmtId="0" fontId="2" fillId="5" borderId="41" xfId="0" applyFont="1" applyFill="1" applyBorder="1" applyAlignment="1">
      <alignment horizontal="center"/>
    </xf>
    <xf numFmtId="0" fontId="2" fillId="5" borderId="14" xfId="0" applyFont="1" applyFill="1" applyBorder="1" applyAlignment="1">
      <alignment horizontal="center"/>
    </xf>
    <xf numFmtId="0" fontId="2" fillId="5" borderId="14" xfId="0" applyFont="1" applyFill="1" applyBorder="1"/>
    <xf numFmtId="0" fontId="2" fillId="7" borderId="33" xfId="0" applyFont="1" applyFill="1" applyBorder="1"/>
    <xf numFmtId="0" fontId="5" fillId="7" borderId="8" xfId="0" applyFont="1" applyFill="1" applyBorder="1" applyAlignment="1">
      <alignment vertical="top" wrapText="1"/>
    </xf>
    <xf numFmtId="0" fontId="5" fillId="7" borderId="26" xfId="0" applyFont="1" applyFill="1" applyBorder="1" applyAlignment="1">
      <alignment vertical="top" wrapText="1"/>
    </xf>
    <xf numFmtId="0" fontId="5" fillId="7" borderId="2" xfId="0" applyFont="1" applyFill="1" applyBorder="1" applyAlignment="1">
      <alignment vertical="top" wrapText="1"/>
    </xf>
    <xf numFmtId="0" fontId="5" fillId="7" borderId="1" xfId="0" applyFont="1" applyFill="1" applyBorder="1" applyAlignment="1">
      <alignment vertical="top" wrapText="1"/>
    </xf>
    <xf numFmtId="0" fontId="5" fillId="7" borderId="11" xfId="0" applyFont="1" applyFill="1" applyBorder="1" applyAlignment="1">
      <alignment vertical="top" wrapText="1"/>
    </xf>
    <xf numFmtId="0" fontId="2" fillId="5" borderId="38" xfId="0" applyFont="1" applyFill="1" applyBorder="1"/>
    <xf numFmtId="0" fontId="2" fillId="5" borderId="33" xfId="0" applyFont="1" applyFill="1" applyBorder="1" applyAlignment="1">
      <alignment horizontal="center"/>
    </xf>
    <xf numFmtId="0" fontId="5" fillId="5" borderId="9" xfId="0" applyFont="1" applyFill="1" applyBorder="1" applyAlignment="1">
      <alignment vertical="top" wrapText="1"/>
    </xf>
    <xf numFmtId="0" fontId="2" fillId="5" borderId="42" xfId="0" applyFont="1" applyFill="1" applyBorder="1" applyAlignment="1">
      <alignment horizontal="center"/>
    </xf>
    <xf numFmtId="0" fontId="2" fillId="5" borderId="15" xfId="0" applyFont="1" applyFill="1" applyBorder="1" applyAlignment="1">
      <alignment horizontal="center"/>
    </xf>
    <xf numFmtId="0" fontId="5" fillId="5" borderId="27" xfId="0" applyFont="1" applyFill="1" applyBorder="1" applyAlignment="1">
      <alignment vertical="top" wrapText="1"/>
    </xf>
    <xf numFmtId="0" fontId="2" fillId="5" borderId="15" xfId="0" applyFont="1" applyFill="1" applyBorder="1"/>
    <xf numFmtId="0" fontId="3" fillId="0" borderId="16" xfId="0" applyFont="1" applyBorder="1" applyAlignment="1">
      <alignment horizontal="center" vertical="center" wrapText="1"/>
    </xf>
    <xf numFmtId="0" fontId="2" fillId="7" borderId="33" xfId="0" applyFont="1" applyFill="1" applyBorder="1" applyAlignment="1">
      <alignment horizontal="center"/>
    </xf>
    <xf numFmtId="0" fontId="0" fillId="0" borderId="17" xfId="0" applyBorder="1"/>
    <xf numFmtId="0" fontId="0" fillId="0" borderId="46" xfId="0" applyBorder="1"/>
    <xf numFmtId="0" fontId="0" fillId="0" borderId="18" xfId="0" applyBorder="1"/>
    <xf numFmtId="0" fontId="0" fillId="0" borderId="44" xfId="0" applyBorder="1"/>
    <xf numFmtId="0" fontId="0" fillId="0" borderId="0" xfId="0" applyBorder="1"/>
    <xf numFmtId="0" fontId="0" fillId="0" borderId="47" xfId="0" applyBorder="1"/>
    <xf numFmtId="0" fontId="4" fillId="0" borderId="44" xfId="0" applyFont="1" applyBorder="1"/>
    <xf numFmtId="0" fontId="4" fillId="0" borderId="47" xfId="0" applyFont="1" applyBorder="1"/>
    <xf numFmtId="0" fontId="4" fillId="0" borderId="19" xfId="0" applyFont="1" applyBorder="1"/>
    <xf numFmtId="0" fontId="4" fillId="0" borderId="48" xfId="0" applyFont="1" applyBorder="1"/>
    <xf numFmtId="0" fontId="4" fillId="0" borderId="20" xfId="0" applyFont="1" applyBorder="1"/>
    <xf numFmtId="0" fontId="6" fillId="3" borderId="24" xfId="1" applyBorder="1" applyAlignment="1">
      <alignment vertical="center"/>
    </xf>
    <xf numFmtId="0" fontId="6" fillId="3" borderId="25" xfId="1" applyBorder="1" applyAlignment="1">
      <alignment vertical="center"/>
    </xf>
    <xf numFmtId="0" fontId="6" fillId="3" borderId="25" xfId="1" applyBorder="1" applyAlignment="1">
      <alignment horizontal="center" vertical="center"/>
    </xf>
    <xf numFmtId="0" fontId="6" fillId="3" borderId="23" xfId="1" applyBorder="1" applyAlignment="1">
      <alignment horizontal="center" vertical="center"/>
    </xf>
    <xf numFmtId="0" fontId="0" fillId="0" borderId="19" xfId="0" applyBorder="1"/>
    <xf numFmtId="0" fontId="0" fillId="0" borderId="48" xfId="0" applyBorder="1"/>
    <xf numFmtId="0" fontId="0" fillId="0" borderId="20" xfId="0" applyBorder="1"/>
    <xf numFmtId="0" fontId="2" fillId="0" borderId="2" xfId="0" applyFont="1" applyBorder="1" applyAlignment="1">
      <alignment horizontal="center"/>
    </xf>
    <xf numFmtId="0" fontId="4" fillId="9" borderId="0" xfId="0" applyFont="1" applyFill="1" applyBorder="1"/>
    <xf numFmtId="0" fontId="4" fillId="0" borderId="49" xfId="0" applyFont="1" applyBorder="1"/>
    <xf numFmtId="0" fontId="4" fillId="0" borderId="51" xfId="0" applyFont="1" applyBorder="1"/>
    <xf numFmtId="0" fontId="4" fillId="9" borderId="52" xfId="0" applyFont="1" applyFill="1" applyBorder="1"/>
    <xf numFmtId="0" fontId="6" fillId="3" borderId="50" xfId="1" applyBorder="1"/>
    <xf numFmtId="0" fontId="6" fillId="3" borderId="51" xfId="1" applyBorder="1"/>
    <xf numFmtId="0" fontId="6" fillId="3" borderId="52" xfId="1" applyBorder="1"/>
    <xf numFmtId="0" fontId="6" fillId="3" borderId="53" xfId="1" applyBorder="1"/>
    <xf numFmtId="0" fontId="6" fillId="3" borderId="54" xfId="1" applyBorder="1"/>
    <xf numFmtId="0" fontId="6" fillId="3" borderId="55" xfId="1" applyBorder="1"/>
    <xf numFmtId="0" fontId="1" fillId="8" borderId="53" xfId="4" applyBorder="1"/>
    <xf numFmtId="0" fontId="1" fillId="8" borderId="54" xfId="4" applyBorder="1"/>
    <xf numFmtId="0" fontId="1" fillId="8" borderId="55" xfId="4" applyBorder="1"/>
    <xf numFmtId="0" fontId="7" fillId="2" borderId="24" xfId="0" applyFont="1" applyFill="1" applyBorder="1" applyAlignment="1">
      <alignment horizontal="center"/>
    </xf>
    <xf numFmtId="0" fontId="7" fillId="2" borderId="25" xfId="0" applyFont="1" applyFill="1" applyBorder="1" applyAlignment="1">
      <alignment horizontal="center"/>
    </xf>
    <xf numFmtId="0" fontId="7" fillId="2" borderId="23" xfId="0" applyFont="1" applyFill="1" applyBorder="1" applyAlignment="1">
      <alignment horizontal="center"/>
    </xf>
    <xf numFmtId="0" fontId="4" fillId="2" borderId="24" xfId="0" applyFont="1" applyFill="1" applyBorder="1" applyAlignment="1">
      <alignment horizontal="center"/>
    </xf>
    <xf numFmtId="0" fontId="4" fillId="2" borderId="25" xfId="0" applyFont="1" applyFill="1" applyBorder="1" applyAlignment="1">
      <alignment horizontal="center"/>
    </xf>
    <xf numFmtId="0" fontId="4" fillId="2" borderId="23" xfId="0" applyFont="1" applyFill="1" applyBorder="1" applyAlignment="1">
      <alignment horizontal="center"/>
    </xf>
    <xf numFmtId="0" fontId="8" fillId="0" borderId="31" xfId="0" applyFont="1" applyBorder="1" applyAlignment="1">
      <alignment horizontal="left" vertical="center" wrapText="1"/>
    </xf>
    <xf numFmtId="0" fontId="8" fillId="0" borderId="28" xfId="0" applyFont="1" applyBorder="1" applyAlignment="1">
      <alignment horizontal="left" vertical="center" wrapText="1"/>
    </xf>
    <xf numFmtId="0" fontId="8" fillId="0" borderId="29" xfId="0" applyFont="1" applyBorder="1" applyAlignment="1">
      <alignment horizontal="left" vertical="center" wrapText="1"/>
    </xf>
    <xf numFmtId="0" fontId="3" fillId="6" borderId="31" xfId="0" applyFont="1" applyFill="1" applyBorder="1" applyAlignment="1">
      <alignment horizontal="center" vertical="center"/>
    </xf>
    <xf numFmtId="0" fontId="3" fillId="6" borderId="29" xfId="0" applyFont="1" applyFill="1" applyBorder="1" applyAlignment="1">
      <alignment horizontal="center" vertical="center"/>
    </xf>
    <xf numFmtId="0" fontId="3" fillId="6" borderId="17" xfId="0" applyFont="1" applyFill="1" applyBorder="1" applyAlignment="1">
      <alignment horizontal="center" wrapText="1"/>
    </xf>
    <xf numFmtId="0" fontId="3" fillId="6" borderId="18" xfId="0" applyFont="1" applyFill="1" applyBorder="1" applyAlignment="1">
      <alignment horizontal="center" wrapText="1"/>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6" fillId="3" borderId="56" xfId="1" applyBorder="1" applyAlignment="1">
      <alignment horizontal="center"/>
    </xf>
    <xf numFmtId="0" fontId="6" fillId="3" borderId="57" xfId="1" applyBorder="1" applyAlignment="1">
      <alignment horizontal="center"/>
    </xf>
    <xf numFmtId="0" fontId="6" fillId="3" borderId="58" xfId="1" applyBorder="1" applyAlignment="1">
      <alignment horizontal="center"/>
    </xf>
    <xf numFmtId="0" fontId="10" fillId="0" borderId="0" xfId="2" applyBorder="1" applyAlignment="1">
      <alignment horizontal="center" vertical="center"/>
    </xf>
    <xf numFmtId="0" fontId="10" fillId="0" borderId="36"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372291</xdr:colOff>
          <xdr:row>5</xdr:row>
          <xdr:rowOff>157843</xdr:rowOff>
        </xdr:from>
        <xdr:ext cx="1592580" cy="22098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303711</xdr:colOff>
          <xdr:row>7</xdr:row>
          <xdr:rowOff>177437</xdr:rowOff>
        </xdr:from>
        <xdr:ext cx="1844040" cy="22098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83"/>
  <sheetViews>
    <sheetView tabSelected="1" topLeftCell="C1" zoomScale="70" zoomScaleNormal="70" workbookViewId="0">
      <selection activeCell="E25" sqref="E25"/>
    </sheetView>
  </sheetViews>
  <sheetFormatPr baseColWidth="10" defaultColWidth="11.44140625" defaultRowHeight="13.2" outlineLevelCol="1" x14ac:dyDescent="0.25"/>
  <cols>
    <col min="1" max="1" width="2.6640625" style="2" customWidth="1"/>
    <col min="2" max="2" width="15.44140625" style="2" bestFit="1" customWidth="1"/>
    <col min="3" max="3" width="21.44140625" style="2" customWidth="1"/>
    <col min="4" max="4" width="6" style="53" customWidth="1"/>
    <col min="5" max="5" width="71.6640625" style="2" customWidth="1"/>
    <col min="6" max="6" width="24.5546875" style="50" customWidth="1"/>
    <col min="7" max="7" width="17.109375" style="50" bestFit="1" customWidth="1"/>
    <col min="8" max="8" width="10.5546875" style="2" customWidth="1"/>
    <col min="9" max="9" width="9.44140625" style="2" customWidth="1"/>
    <col min="10" max="10" width="6.44140625" style="2" customWidth="1"/>
    <col min="11" max="16" width="6.5546875" style="2" customWidth="1"/>
    <col min="17" max="17" width="51.109375" style="2" bestFit="1" customWidth="1"/>
    <col min="18" max="18" width="5.6640625" style="48" customWidth="1"/>
    <col min="19" max="19" width="16.6640625" style="50" customWidth="1"/>
    <col min="20" max="20" width="14.109375" style="2" bestFit="1" customWidth="1"/>
    <col min="21" max="21" width="4.5546875" style="2" customWidth="1"/>
    <col min="22" max="22" width="7.109375" style="2" customWidth="1"/>
    <col min="23" max="24" width="7.109375" customWidth="1" outlineLevel="1"/>
    <col min="25" max="25" width="51.109375" bestFit="1" customWidth="1" outlineLevel="1"/>
    <col min="26" max="26" width="7.5546875" bestFit="1" customWidth="1" outlineLevel="1"/>
    <col min="27" max="27" width="7.44140625" bestFit="1" customWidth="1" outlineLevel="1"/>
    <col min="28" max="28" width="76.6640625" bestFit="1" customWidth="1" outlineLevel="1"/>
    <col min="29" max="29" width="6.109375" bestFit="1" customWidth="1" outlineLevel="1"/>
    <col min="30" max="30" width="150.5546875" style="2" bestFit="1" customWidth="1" outlineLevel="1"/>
    <col min="31" max="31" width="39.44140625" style="2" bestFit="1" customWidth="1"/>
    <col min="32" max="33" width="30.44140625" style="2" bestFit="1" customWidth="1"/>
    <col min="34" max="36" width="20.6640625" style="2" bestFit="1" customWidth="1"/>
    <col min="37" max="37" width="11.44140625" style="2"/>
    <col min="38" max="38" width="13.88671875" style="2" bestFit="1" customWidth="1"/>
    <col min="39" max="39" width="6.5546875" style="2" bestFit="1" customWidth="1"/>
    <col min="40" max="40" width="20.109375" style="2" bestFit="1" customWidth="1"/>
    <col min="41" max="16384" width="11.44140625" style="2"/>
  </cols>
  <sheetData>
    <row r="1" spans="2:40" s="1" customFormat="1" ht="13.5" customHeight="1" thickBot="1" x14ac:dyDescent="0.3">
      <c r="D1" s="52"/>
      <c r="F1" s="49"/>
      <c r="G1" s="49"/>
      <c r="R1" s="47"/>
      <c r="S1" s="49"/>
      <c r="V1" s="32"/>
      <c r="W1"/>
      <c r="X1"/>
      <c r="Y1"/>
      <c r="Z1"/>
      <c r="AA1"/>
      <c r="AB1"/>
      <c r="AC1"/>
    </row>
    <row r="2" spans="2:40" ht="21.6" thickBot="1" x14ac:dyDescent="0.45">
      <c r="B2" s="143" t="s">
        <v>737</v>
      </c>
      <c r="C2" s="144"/>
      <c r="D2" s="144"/>
      <c r="E2" s="144"/>
      <c r="F2" s="144"/>
      <c r="G2" s="144"/>
      <c r="H2" s="144"/>
      <c r="I2" s="144"/>
      <c r="J2" s="144"/>
      <c r="K2" s="144"/>
      <c r="L2" s="144"/>
      <c r="M2" s="144"/>
      <c r="N2" s="144"/>
      <c r="O2" s="144"/>
      <c r="P2" s="144"/>
      <c r="Q2" s="144"/>
      <c r="R2" s="144"/>
      <c r="S2" s="144"/>
      <c r="T2" s="145"/>
      <c r="V2" s="33" t="s">
        <v>283</v>
      </c>
      <c r="AD2" s="1"/>
    </row>
    <row r="3" spans="2:40" ht="13.8" thickBot="1" x14ac:dyDescent="0.3">
      <c r="B3" s="146" t="s">
        <v>107</v>
      </c>
      <c r="C3" s="147"/>
      <c r="D3" s="147"/>
      <c r="E3" s="147"/>
      <c r="F3" s="147"/>
      <c r="G3" s="147"/>
      <c r="H3" s="147"/>
      <c r="I3" s="147"/>
      <c r="J3" s="147"/>
      <c r="K3" s="147"/>
      <c r="L3" s="147"/>
      <c r="M3" s="147"/>
      <c r="N3" s="147"/>
      <c r="O3" s="147"/>
      <c r="P3" s="147"/>
      <c r="Q3" s="147"/>
      <c r="R3" s="147"/>
      <c r="S3" s="147"/>
      <c r="T3" s="148"/>
      <c r="V3" s="32"/>
      <c r="AD3" s="42"/>
    </row>
    <row r="4" spans="2:40" x14ac:dyDescent="0.25">
      <c r="V4" s="32"/>
      <c r="AD4" s="43"/>
    </row>
    <row r="5" spans="2:40" ht="13.8" thickBot="1" x14ac:dyDescent="0.3">
      <c r="V5" s="32"/>
      <c r="AD5" s="43"/>
    </row>
    <row r="6" spans="2:40" ht="15" thickBot="1" x14ac:dyDescent="0.35">
      <c r="B6" s="154" t="s">
        <v>109</v>
      </c>
      <c r="C6" s="155"/>
      <c r="E6" s="152" t="s">
        <v>282</v>
      </c>
      <c r="I6" s="158" t="s">
        <v>735</v>
      </c>
      <c r="J6" s="159"/>
      <c r="K6" s="159"/>
      <c r="L6" s="159"/>
      <c r="M6" s="159"/>
      <c r="N6" s="159"/>
      <c r="O6" s="159"/>
      <c r="P6" s="160"/>
      <c r="V6" s="32"/>
      <c r="AD6" s="43"/>
    </row>
    <row r="7" spans="2:40" ht="15" thickBot="1" x14ac:dyDescent="0.35">
      <c r="B7" s="156"/>
      <c r="C7" s="157"/>
      <c r="E7" s="153"/>
      <c r="I7" s="134"/>
      <c r="J7" s="135" t="s">
        <v>736</v>
      </c>
      <c r="K7" s="135">
        <v>0</v>
      </c>
      <c r="L7" s="135">
        <v>1</v>
      </c>
      <c r="M7" s="135">
        <v>2</v>
      </c>
      <c r="N7" s="135">
        <v>3</v>
      </c>
      <c r="O7" s="135">
        <v>4</v>
      </c>
      <c r="P7" s="136">
        <v>5</v>
      </c>
      <c r="V7" s="32"/>
      <c r="AD7" s="43"/>
    </row>
    <row r="8" spans="2:40" ht="14.4" x14ac:dyDescent="0.3">
      <c r="B8" s="3">
        <v>0</v>
      </c>
      <c r="C8" s="4" t="s">
        <v>731</v>
      </c>
      <c r="E8" s="149" t="s">
        <v>733</v>
      </c>
      <c r="G8" s="1"/>
      <c r="I8" s="137">
        <v>0</v>
      </c>
      <c r="J8" s="140">
        <f t="shared" ref="J8:J13" si="0">COUNTIF($K$16:$K$23,CONCATENATE("X",$I8))</f>
        <v>2</v>
      </c>
      <c r="K8" s="130">
        <f t="shared" ref="K8:P13" si="1">COUNTIF($K$16:$P$23,CONCATENATE("Y",$I8,K$7))</f>
        <v>0</v>
      </c>
      <c r="L8" s="7">
        <f t="shared" si="1"/>
        <v>2</v>
      </c>
      <c r="M8" s="7">
        <f t="shared" si="1"/>
        <v>2</v>
      </c>
      <c r="N8" s="7">
        <f t="shared" si="1"/>
        <v>0</v>
      </c>
      <c r="O8" s="7">
        <f t="shared" si="1"/>
        <v>0</v>
      </c>
      <c r="P8" s="131">
        <f t="shared" si="1"/>
        <v>0</v>
      </c>
      <c r="V8" s="32"/>
      <c r="AD8" s="43"/>
    </row>
    <row r="9" spans="2:40" ht="14.4" x14ac:dyDescent="0.3">
      <c r="B9" s="3">
        <v>1</v>
      </c>
      <c r="C9" s="4" t="s">
        <v>3</v>
      </c>
      <c r="E9" s="150"/>
      <c r="G9" s="1"/>
      <c r="I9" s="138">
        <v>1</v>
      </c>
      <c r="J9" s="141">
        <f t="shared" si="0"/>
        <v>0</v>
      </c>
      <c r="K9" s="7">
        <f t="shared" si="1"/>
        <v>1</v>
      </c>
      <c r="L9" s="130">
        <f t="shared" si="1"/>
        <v>0</v>
      </c>
      <c r="M9" s="7">
        <f t="shared" si="1"/>
        <v>3</v>
      </c>
      <c r="N9" s="7">
        <f t="shared" si="1"/>
        <v>0</v>
      </c>
      <c r="O9" s="7">
        <f t="shared" si="1"/>
        <v>0</v>
      </c>
      <c r="P9" s="131">
        <f t="shared" si="1"/>
        <v>0</v>
      </c>
      <c r="V9" s="32"/>
      <c r="AD9" s="43"/>
    </row>
    <row r="10" spans="2:40" ht="14.4" x14ac:dyDescent="0.3">
      <c r="B10" s="3">
        <v>2</v>
      </c>
      <c r="C10" s="129" t="s">
        <v>732</v>
      </c>
      <c r="E10" s="150"/>
      <c r="G10" s="1"/>
      <c r="I10" s="138">
        <v>2</v>
      </c>
      <c r="J10" s="141">
        <f t="shared" si="0"/>
        <v>1</v>
      </c>
      <c r="K10" s="7">
        <f t="shared" si="1"/>
        <v>0</v>
      </c>
      <c r="L10" s="7">
        <f t="shared" si="1"/>
        <v>1</v>
      </c>
      <c r="M10" s="130">
        <f t="shared" si="1"/>
        <v>0</v>
      </c>
      <c r="N10" s="7">
        <f t="shared" si="1"/>
        <v>0</v>
      </c>
      <c r="O10" s="7">
        <f t="shared" si="1"/>
        <v>0</v>
      </c>
      <c r="P10" s="131">
        <f t="shared" si="1"/>
        <v>0</v>
      </c>
      <c r="V10" s="32"/>
      <c r="AD10" s="43"/>
    </row>
    <row r="11" spans="2:40" ht="14.4" x14ac:dyDescent="0.3">
      <c r="B11" s="3">
        <v>3</v>
      </c>
      <c r="C11" s="4" t="s">
        <v>4</v>
      </c>
      <c r="E11" s="150"/>
      <c r="G11" s="1"/>
      <c r="I11" s="138">
        <v>3</v>
      </c>
      <c r="J11" s="141">
        <f t="shared" si="0"/>
        <v>0</v>
      </c>
      <c r="K11" s="7">
        <f t="shared" si="1"/>
        <v>0</v>
      </c>
      <c r="L11" s="7">
        <f t="shared" si="1"/>
        <v>0</v>
      </c>
      <c r="M11" s="7">
        <f t="shared" si="1"/>
        <v>0</v>
      </c>
      <c r="N11" s="130">
        <f t="shared" si="1"/>
        <v>0</v>
      </c>
      <c r="O11" s="7">
        <f t="shared" si="1"/>
        <v>0</v>
      </c>
      <c r="P11" s="131">
        <f t="shared" si="1"/>
        <v>0</v>
      </c>
      <c r="V11" s="32"/>
      <c r="AD11" s="43"/>
    </row>
    <row r="12" spans="2:40" ht="15" thickBot="1" x14ac:dyDescent="0.35">
      <c r="B12" s="3">
        <v>4</v>
      </c>
      <c r="C12" s="4" t="s">
        <v>5</v>
      </c>
      <c r="E12" s="151"/>
      <c r="G12" s="1"/>
      <c r="I12" s="138">
        <v>4</v>
      </c>
      <c r="J12" s="141">
        <f t="shared" si="0"/>
        <v>0</v>
      </c>
      <c r="K12" s="7">
        <f t="shared" si="1"/>
        <v>0</v>
      </c>
      <c r="L12" s="7">
        <f t="shared" si="1"/>
        <v>0</v>
      </c>
      <c r="M12" s="7">
        <f t="shared" si="1"/>
        <v>0</v>
      </c>
      <c r="N12" s="7">
        <f t="shared" si="1"/>
        <v>0</v>
      </c>
      <c r="O12" s="130">
        <f t="shared" si="1"/>
        <v>0</v>
      </c>
      <c r="P12" s="131">
        <f t="shared" si="1"/>
        <v>0</v>
      </c>
      <c r="V12" s="32"/>
      <c r="AD12" s="43"/>
    </row>
    <row r="13" spans="2:40" ht="15" thickBot="1" x14ac:dyDescent="0.35">
      <c r="B13" s="5">
        <v>5</v>
      </c>
      <c r="C13" s="6" t="s">
        <v>6</v>
      </c>
      <c r="G13" s="1"/>
      <c r="I13" s="139">
        <v>5</v>
      </c>
      <c r="J13" s="142">
        <f t="shared" si="0"/>
        <v>0</v>
      </c>
      <c r="K13" s="132">
        <f t="shared" si="1"/>
        <v>0</v>
      </c>
      <c r="L13" s="132">
        <f t="shared" si="1"/>
        <v>0</v>
      </c>
      <c r="M13" s="132">
        <f t="shared" si="1"/>
        <v>0</v>
      </c>
      <c r="N13" s="132">
        <f t="shared" si="1"/>
        <v>0</v>
      </c>
      <c r="O13" s="132">
        <f t="shared" si="1"/>
        <v>0</v>
      </c>
      <c r="P13" s="133">
        <f t="shared" si="1"/>
        <v>0</v>
      </c>
      <c r="V13" s="32"/>
    </row>
    <row r="14" spans="2:40" ht="13.8" thickBot="1" x14ac:dyDescent="0.3">
      <c r="V14" s="32"/>
    </row>
    <row r="15" spans="2:40" ht="40.200000000000003" thickBot="1" x14ac:dyDescent="0.3">
      <c r="E15" s="11" t="s">
        <v>0</v>
      </c>
      <c r="F15" s="46" t="s">
        <v>547</v>
      </c>
      <c r="G15" s="46" t="s">
        <v>548</v>
      </c>
      <c r="H15" s="39" t="s">
        <v>154</v>
      </c>
      <c r="I15" s="10" t="s">
        <v>1</v>
      </c>
      <c r="J15" s="23" t="s">
        <v>2</v>
      </c>
      <c r="K15" s="12" t="s">
        <v>270</v>
      </c>
      <c r="L15" s="13" t="s">
        <v>271</v>
      </c>
      <c r="M15" s="13" t="s">
        <v>272</v>
      </c>
      <c r="N15" s="13" t="s">
        <v>273</v>
      </c>
      <c r="O15" s="13" t="s">
        <v>274</v>
      </c>
      <c r="P15" s="14" t="s">
        <v>275</v>
      </c>
      <c r="Q15" s="109" t="s">
        <v>546</v>
      </c>
      <c r="R15" s="66" t="s">
        <v>302</v>
      </c>
      <c r="S15" s="69" t="s">
        <v>734</v>
      </c>
      <c r="T15" s="70" t="s">
        <v>613</v>
      </c>
      <c r="U15" s="8"/>
      <c r="V15" s="32"/>
      <c r="Y15" s="122" t="s">
        <v>306</v>
      </c>
      <c r="Z15" s="123" t="s">
        <v>305</v>
      </c>
      <c r="AA15" s="123" t="s">
        <v>309</v>
      </c>
      <c r="AB15" s="123" t="s">
        <v>304</v>
      </c>
      <c r="AC15" s="123" t="s">
        <v>303</v>
      </c>
      <c r="AD15" s="123" t="s">
        <v>276</v>
      </c>
      <c r="AE15" s="124" t="s">
        <v>270</v>
      </c>
      <c r="AF15" s="124" t="s">
        <v>271</v>
      </c>
      <c r="AG15" s="124" t="s">
        <v>272</v>
      </c>
      <c r="AH15" s="124" t="s">
        <v>273</v>
      </c>
      <c r="AI15" s="124" t="s">
        <v>274</v>
      </c>
      <c r="AJ15" s="125" t="s">
        <v>275</v>
      </c>
      <c r="AL15" s="34" t="s">
        <v>285</v>
      </c>
      <c r="AM15" s="35" t="s">
        <v>286</v>
      </c>
      <c r="AN15" s="41" t="s">
        <v>289</v>
      </c>
    </row>
    <row r="16" spans="2:40" x14ac:dyDescent="0.25">
      <c r="E16" s="55" t="s">
        <v>55</v>
      </c>
      <c r="F16" s="71" t="s">
        <v>524</v>
      </c>
      <c r="G16" s="72" t="s">
        <v>523</v>
      </c>
      <c r="H16" s="56" t="s">
        <v>155</v>
      </c>
      <c r="I16" s="57" t="s">
        <v>8</v>
      </c>
      <c r="J16" s="58" t="s">
        <v>217</v>
      </c>
      <c r="K16" s="59" t="s">
        <v>83</v>
      </c>
      <c r="L16" s="57"/>
      <c r="M16" s="57"/>
      <c r="N16" s="57"/>
      <c r="O16" s="57"/>
      <c r="P16" s="55"/>
      <c r="Q16" s="40" t="s">
        <v>376</v>
      </c>
      <c r="R16" s="72">
        <v>1</v>
      </c>
      <c r="S16" s="67" t="s">
        <v>284</v>
      </c>
      <c r="T16" s="68"/>
      <c r="U16" s="7"/>
      <c r="V16" s="32"/>
      <c r="Y16" s="111" t="str">
        <f>Q16</f>
        <v>wing_reference_surface</v>
      </c>
      <c r="Z16" s="112" t="str">
        <f>I16</f>
        <v>double</v>
      </c>
      <c r="AA16" s="112" t="str">
        <f>H16</f>
        <v>scalaire</v>
      </c>
      <c r="AB16" s="112" t="str">
        <f>E16</f>
        <v>Surface de référence totale du véhicule</v>
      </c>
      <c r="AC16" s="112" t="str">
        <f t="shared" ref="AC16" si="2">J16</f>
        <v>m2</v>
      </c>
      <c r="AD16" s="113" t="str">
        <f t="shared" ref="AD16" si="3">CONCATENATE(IF(S16="oui","#",""),"variable: ",Y16," ",Z16," input ","description= """,AB16,""" units= """,AC16,"""")</f>
        <v>variable: wing_reference_surface double input description= "Surface de référence totale du véhicule" units= "m2"</v>
      </c>
      <c r="AE16" s="114" t="str">
        <f t="shared" ref="AE16:AE18" si="4">CONCATENER_MODELCENTER(K16,$F16,$G16)</f>
        <v>Y12.geometry.wing_body</v>
      </c>
      <c r="AF16" s="115" t="str">
        <f t="shared" ref="AF16:AF18" si="5">CONCATENER_MODELCENTER(L16,$F16,$G16)</f>
        <v/>
      </c>
      <c r="AG16" s="115" t="str">
        <f t="shared" ref="AG16:AG18" si="6">CONCATENER_MODELCENTER(M16,$F16,$G16)</f>
        <v/>
      </c>
      <c r="AH16" s="115" t="str">
        <f t="shared" ref="AH16:AH18" si="7">CONCATENER_MODELCENTER(N16,$F16,$G16)</f>
        <v/>
      </c>
      <c r="AI16" s="115" t="str">
        <f t="shared" ref="AI16:AI18" si="8">CONCATENER_MODELCENTER(O16,$F16,$G16)</f>
        <v/>
      </c>
      <c r="AJ16" s="116" t="str">
        <f t="shared" ref="AJ16:AJ18" si="9">CONCATENER_MODELCENTER(P16,$F16,$G16)</f>
        <v/>
      </c>
      <c r="AL16" s="2" t="s">
        <v>287</v>
      </c>
      <c r="AM16" s="1" t="s">
        <v>278</v>
      </c>
      <c r="AN16" s="1" t="s">
        <v>290</v>
      </c>
    </row>
    <row r="17" spans="5:40" x14ac:dyDescent="0.25">
      <c r="E17" s="15" t="s">
        <v>71</v>
      </c>
      <c r="F17" s="73" t="s">
        <v>524</v>
      </c>
      <c r="G17" s="74" t="s">
        <v>523</v>
      </c>
      <c r="H17" s="36" t="s">
        <v>155</v>
      </c>
      <c r="I17" s="16" t="s">
        <v>8</v>
      </c>
      <c r="J17" s="25" t="s">
        <v>7</v>
      </c>
      <c r="K17" s="24" t="s">
        <v>56</v>
      </c>
      <c r="L17" s="16"/>
      <c r="M17" s="16"/>
      <c r="N17" s="16"/>
      <c r="O17" s="16"/>
      <c r="P17" s="15"/>
      <c r="Q17" s="75" t="s">
        <v>375</v>
      </c>
      <c r="R17" s="74">
        <v>2</v>
      </c>
      <c r="S17" s="51" t="s">
        <v>284</v>
      </c>
      <c r="T17" s="60"/>
      <c r="U17" s="7"/>
      <c r="V17" s="32"/>
      <c r="Y17" s="114" t="str">
        <f t="shared" ref="Y17:Y18" si="10">Q17</f>
        <v>wing_span</v>
      </c>
      <c r="Z17" s="115" t="str">
        <f t="shared" ref="Z17:Z18" si="11">I17</f>
        <v>double</v>
      </c>
      <c r="AA17" s="115" t="str">
        <f t="shared" ref="AA17:AA18" si="12">H17</f>
        <v>scalaire</v>
      </c>
      <c r="AB17" s="115" t="str">
        <f t="shared" ref="AB17:AB18" si="13">E17</f>
        <v>Envergure totale du véhicule</v>
      </c>
      <c r="AC17" s="115" t="str">
        <f t="shared" ref="AC17:AC18" si="14">J17</f>
        <v>m</v>
      </c>
      <c r="AD17" s="116" t="str">
        <f t="shared" ref="AD17:AD18" si="15">CONCATENATE(IF(S17="oui","#",""),"variable: ",Y17," ",Z17," input ","description= """,AB17,""" units= """,AC17,"""")</f>
        <v>variable: wing_span double input description= "Envergure totale du véhicule" units= "m"</v>
      </c>
      <c r="AE17" s="114" t="str">
        <f t="shared" si="4"/>
        <v>X0.geometry.wing_body</v>
      </c>
      <c r="AF17" s="115" t="str">
        <f t="shared" si="5"/>
        <v/>
      </c>
      <c r="AG17" s="115" t="str">
        <f t="shared" si="6"/>
        <v/>
      </c>
      <c r="AH17" s="115" t="str">
        <f t="shared" si="7"/>
        <v/>
      </c>
      <c r="AI17" s="115" t="str">
        <f t="shared" si="8"/>
        <v/>
      </c>
      <c r="AJ17" s="116" t="str">
        <f t="shared" si="9"/>
        <v/>
      </c>
      <c r="AL17" s="2" t="s">
        <v>288</v>
      </c>
      <c r="AM17" s="2" t="s">
        <v>279</v>
      </c>
      <c r="AN17" s="1" t="s">
        <v>292</v>
      </c>
    </row>
    <row r="18" spans="5:40" ht="13.8" thickBot="1" x14ac:dyDescent="0.3">
      <c r="E18" s="15" t="s">
        <v>9</v>
      </c>
      <c r="F18" s="73" t="s">
        <v>524</v>
      </c>
      <c r="G18" s="74" t="s">
        <v>373</v>
      </c>
      <c r="H18" s="36" t="s">
        <v>155</v>
      </c>
      <c r="I18" s="16" t="s">
        <v>8</v>
      </c>
      <c r="J18" s="25" t="s">
        <v>7</v>
      </c>
      <c r="K18" s="24" t="s">
        <v>614</v>
      </c>
      <c r="L18" s="16" t="s">
        <v>196</v>
      </c>
      <c r="M18" s="16"/>
      <c r="N18" s="16"/>
      <c r="O18" s="16"/>
      <c r="P18" s="15"/>
      <c r="Q18" s="75" t="s">
        <v>336</v>
      </c>
      <c r="R18" s="74">
        <v>57</v>
      </c>
      <c r="S18" s="51" t="s">
        <v>284</v>
      </c>
      <c r="T18" s="60"/>
      <c r="U18" s="7"/>
      <c r="V18" s="32"/>
      <c r="Y18" s="114" t="str">
        <f t="shared" si="10"/>
        <v>cockpit_length</v>
      </c>
      <c r="Z18" s="115" t="str">
        <f t="shared" si="11"/>
        <v>double</v>
      </c>
      <c r="AA18" s="115" t="str">
        <f t="shared" si="12"/>
        <v>scalaire</v>
      </c>
      <c r="AB18" s="115" t="str">
        <f t="shared" si="13"/>
        <v>Longueur du cockpit</v>
      </c>
      <c r="AC18" s="115" t="str">
        <f t="shared" si="14"/>
        <v>m</v>
      </c>
      <c r="AD18" s="116" t="str">
        <f t="shared" si="15"/>
        <v>variable: cockpit_length double input description= "Longueur du cockpit" units= "m"</v>
      </c>
      <c r="AE18" s="114" t="str">
        <f t="shared" si="4"/>
        <v>Y01.geometry.cabin</v>
      </c>
      <c r="AF18" s="115" t="str">
        <f t="shared" si="5"/>
        <v>Y02.geometry.cabin</v>
      </c>
      <c r="AG18" s="115" t="str">
        <f t="shared" si="6"/>
        <v/>
      </c>
      <c r="AH18" s="115" t="str">
        <f t="shared" si="7"/>
        <v/>
      </c>
      <c r="AI18" s="115" t="str">
        <f t="shared" si="8"/>
        <v/>
      </c>
      <c r="AJ18" s="116" t="str">
        <f t="shared" si="9"/>
        <v/>
      </c>
    </row>
    <row r="19" spans="5:40" x14ac:dyDescent="0.25">
      <c r="E19" s="76" t="s">
        <v>123</v>
      </c>
      <c r="F19" s="77" t="s">
        <v>526</v>
      </c>
      <c r="G19" s="78" t="s">
        <v>536</v>
      </c>
      <c r="H19" s="79" t="s">
        <v>155</v>
      </c>
      <c r="I19" s="80" t="s">
        <v>277</v>
      </c>
      <c r="J19" s="81" t="s">
        <v>23</v>
      </c>
      <c r="K19" s="82" t="s">
        <v>83</v>
      </c>
      <c r="L19" s="80"/>
      <c r="M19" s="80"/>
      <c r="N19" s="80"/>
      <c r="O19" s="80"/>
      <c r="P19" s="76"/>
      <c r="Q19" s="96" t="s">
        <v>481</v>
      </c>
      <c r="R19" s="110">
        <v>148</v>
      </c>
      <c r="S19" s="83" t="s">
        <v>284</v>
      </c>
      <c r="T19" s="84"/>
      <c r="U19" s="7"/>
      <c r="V19" s="32"/>
      <c r="Y19" s="114" t="str">
        <f t="shared" ref="Y19:Y20" si="16">Q19</f>
        <v>wing_airfoils_number_of_point</v>
      </c>
      <c r="Z19" s="115" t="str">
        <f t="shared" ref="Z19:Z20" si="17">I19</f>
        <v>integer</v>
      </c>
      <c r="AA19" s="115" t="str">
        <f t="shared" ref="AA19:AA20" si="18">H19</f>
        <v>scalaire</v>
      </c>
      <c r="AB19" s="115" t="str">
        <f t="shared" ref="AB19:AB20" si="19">E19</f>
        <v>Nombre de points des tables de profil aérodynamique</v>
      </c>
      <c r="AC19" s="115" t="str">
        <f t="shared" ref="AC19:AC20" si="20">J19</f>
        <v>(-)</v>
      </c>
      <c r="AD19" s="116" t="str">
        <f t="shared" ref="AD19:AD20" si="21">CONCATENATE(IF(S19="oui","#",""),"variable: ",Y19," ",Z19," input ","description= """,AB19,""" units= """,AC19,"""")</f>
        <v>variable: wing_airfoils_number_of_point integer input description= "Nombre de points des tables de profil aérodynamique" units= "(-)"</v>
      </c>
      <c r="AE19" s="114" t="str">
        <f t="shared" ref="AE19:AE20" si="22">CONCATENER_MODELCENTER(K19,$F19,$G19)</f>
        <v>Y12.aerodynamics.airfoils</v>
      </c>
      <c r="AF19" s="115" t="str">
        <f t="shared" ref="AF19:AF20" si="23">CONCATENER_MODELCENTER(L19,$F19,$G19)</f>
        <v/>
      </c>
      <c r="AG19" s="115" t="str">
        <f t="shared" ref="AG19:AG20" si="24">CONCATENER_MODELCENTER(M19,$F19,$G19)</f>
        <v/>
      </c>
      <c r="AH19" s="115" t="str">
        <f t="shared" ref="AH19:AH20" si="25">CONCATENER_MODELCENTER(N19,$F19,$G19)</f>
        <v/>
      </c>
      <c r="AI19" s="115" t="str">
        <f t="shared" ref="AI19:AI20" si="26">CONCATENER_MODELCENTER(O19,$F19,$G19)</f>
        <v/>
      </c>
      <c r="AJ19" s="116" t="str">
        <f t="shared" ref="AJ19:AJ20" si="27">CONCATENER_MODELCENTER(P19,$F19,$G19)</f>
        <v/>
      </c>
    </row>
    <row r="20" spans="5:40" ht="13.8" thickBot="1" x14ac:dyDescent="0.3">
      <c r="E20" s="97" t="s">
        <v>113</v>
      </c>
      <c r="F20" s="85" t="s">
        <v>526</v>
      </c>
      <c r="G20" s="86" t="s">
        <v>536</v>
      </c>
      <c r="H20" s="98" t="s">
        <v>28</v>
      </c>
      <c r="I20" s="87" t="s">
        <v>280</v>
      </c>
      <c r="J20" s="99" t="s">
        <v>23</v>
      </c>
      <c r="K20" s="100" t="s">
        <v>269</v>
      </c>
      <c r="L20" s="101" t="s">
        <v>83</v>
      </c>
      <c r="M20" s="101"/>
      <c r="N20" s="101"/>
      <c r="O20" s="101"/>
      <c r="P20" s="97"/>
      <c r="Q20" s="88" t="s">
        <v>617</v>
      </c>
      <c r="R20" s="86">
        <v>149</v>
      </c>
      <c r="S20" s="89" t="s">
        <v>284</v>
      </c>
      <c r="T20" s="90"/>
      <c r="U20" s="7"/>
      <c r="V20" s="32"/>
      <c r="Y20" s="114" t="str">
        <f t="shared" si="16"/>
        <v>airfoil_extrados_p0_table</v>
      </c>
      <c r="Z20" s="115" t="str">
        <f t="shared" si="17"/>
        <v>double[]</v>
      </c>
      <c r="AA20" s="115" t="str">
        <f t="shared" si="18"/>
        <v>table</v>
      </c>
      <c r="AB20" s="115" t="str">
        <f t="shared" si="19"/>
        <v>Profil aérodynamique au plan 0, coordonnées de l'extrados (BA vers BF)</v>
      </c>
      <c r="AC20" s="115" t="str">
        <f t="shared" si="20"/>
        <v>(-)</v>
      </c>
      <c r="AD20" s="116" t="str">
        <f t="shared" si="21"/>
        <v>variable: airfoil_extrados_p0_table double[] input description= "Profil aérodynamique au plan 0, coordonnées de l'extrados (BA vers BF)" units= "(-)"</v>
      </c>
      <c r="AE20" s="114" t="str">
        <f t="shared" si="22"/>
        <v>Y10.aerodynamics.airfoils</v>
      </c>
      <c r="AF20" s="115" t="str">
        <f t="shared" si="23"/>
        <v>Y12.aerodynamics.airfoils</v>
      </c>
      <c r="AG20" s="115" t="str">
        <f t="shared" si="24"/>
        <v/>
      </c>
      <c r="AH20" s="115" t="str">
        <f t="shared" si="25"/>
        <v/>
      </c>
      <c r="AI20" s="115" t="str">
        <f t="shared" si="26"/>
        <v/>
      </c>
      <c r="AJ20" s="116" t="str">
        <f t="shared" si="27"/>
        <v/>
      </c>
    </row>
    <row r="21" spans="5:40" x14ac:dyDescent="0.25">
      <c r="E21" s="17" t="s">
        <v>86</v>
      </c>
      <c r="F21" s="91" t="s">
        <v>528</v>
      </c>
      <c r="G21" s="92" t="s">
        <v>532</v>
      </c>
      <c r="H21" s="37" t="s">
        <v>28</v>
      </c>
      <c r="I21" s="18" t="s">
        <v>280</v>
      </c>
      <c r="J21" s="27"/>
      <c r="K21" s="26" t="s">
        <v>51</v>
      </c>
      <c r="L21" s="18" t="s">
        <v>69</v>
      </c>
      <c r="M21" s="18"/>
      <c r="N21" s="18"/>
      <c r="O21" s="18"/>
      <c r="P21" s="17"/>
      <c r="Q21" s="102" t="s">
        <v>503</v>
      </c>
      <c r="R21" s="103">
        <v>256</v>
      </c>
      <c r="S21" s="61" t="s">
        <v>284</v>
      </c>
      <c r="T21" s="62"/>
      <c r="U21" s="7"/>
      <c r="V21" s="32"/>
      <c r="Y21" s="114" t="str">
        <f t="shared" ref="Y21:Y22" si="28">Q21</f>
        <v>handling_qualities_inputs_table</v>
      </c>
      <c r="Z21" s="115" t="str">
        <f t="shared" ref="Z21:Z22" si="29">I21</f>
        <v>double[]</v>
      </c>
      <c r="AA21" s="115" t="str">
        <f t="shared" ref="AA21:AA22" si="30">H21</f>
        <v>table</v>
      </c>
      <c r="AB21" s="115" t="str">
        <f t="shared" ref="AB21:AB22" si="31">E21</f>
        <v>Points de vol pour l'analyse des QdV</v>
      </c>
      <c r="AC21" s="115">
        <f t="shared" ref="AC21:AC22" si="32">J21</f>
        <v>0</v>
      </c>
      <c r="AD21" s="116" t="str">
        <f t="shared" ref="AD21:AD22" si="33">CONCATENATE(IF(S21="oui","#",""),"variable: ",Y21," ",Z21," input ","description= """,AB21,""" units= """,AC21,"""")</f>
        <v>variable: handling_qualities_inputs_table double[] input description= "Points de vol pour l'analyse des QdV" units= "0"</v>
      </c>
      <c r="AE21" s="114" t="str">
        <f t="shared" ref="AE21" si="34">CONCATENER_MODELCENTER(K21,$F21,$G21)</f>
        <v>X2.control.inputs</v>
      </c>
      <c r="AF21" s="115" t="str">
        <f t="shared" ref="AF21" si="35">CONCATENER_MODELCENTER(L21,$F21,$G21)</f>
        <v>Y21.control.inputs</v>
      </c>
      <c r="AG21" s="115" t="str">
        <f t="shared" ref="AG21" si="36">CONCATENER_MODELCENTER(M21,$F21,$G21)</f>
        <v/>
      </c>
      <c r="AH21" s="115" t="str">
        <f t="shared" ref="AH21" si="37">CONCATENER_MODELCENTER(N21,$F21,$G21)</f>
        <v/>
      </c>
      <c r="AI21" s="115" t="str">
        <f t="shared" ref="AI21" si="38">CONCATENER_MODELCENTER(O21,$F21,$G21)</f>
        <v/>
      </c>
      <c r="AJ21" s="116" t="str">
        <f t="shared" ref="AJ21" si="39">CONCATENER_MODELCENTER(P21,$F21,$G21)</f>
        <v/>
      </c>
    </row>
    <row r="22" spans="5:40" x14ac:dyDescent="0.25">
      <c r="E22" s="19" t="s">
        <v>137</v>
      </c>
      <c r="F22" s="93" t="s">
        <v>528</v>
      </c>
      <c r="G22" s="94" t="s">
        <v>545</v>
      </c>
      <c r="H22" s="38" t="s">
        <v>738</v>
      </c>
      <c r="I22" s="20" t="s">
        <v>277</v>
      </c>
      <c r="J22" s="29" t="s">
        <v>19</v>
      </c>
      <c r="K22" s="28" t="s">
        <v>56</v>
      </c>
      <c r="L22" s="20" t="s">
        <v>614</v>
      </c>
      <c r="M22" s="20" t="s">
        <v>196</v>
      </c>
      <c r="N22" s="20"/>
      <c r="O22" s="20"/>
      <c r="P22" s="19"/>
      <c r="Q22" s="95" t="s">
        <v>514</v>
      </c>
      <c r="R22" s="94">
        <v>257</v>
      </c>
      <c r="S22" s="63" t="s">
        <v>284</v>
      </c>
      <c r="T22" s="54"/>
      <c r="U22" s="7"/>
      <c r="V22" s="32"/>
      <c r="Y22" s="114" t="str">
        <f t="shared" si="28"/>
        <v>control_surfaces_number</v>
      </c>
      <c r="Z22" s="115" t="str">
        <f t="shared" si="29"/>
        <v>integer</v>
      </c>
      <c r="AA22" s="115" t="str">
        <f t="shared" si="30"/>
        <v>scalar</v>
      </c>
      <c r="AB22" s="115" t="str">
        <f t="shared" si="31"/>
        <v>Nombre de gouvernes</v>
      </c>
      <c r="AC22" s="115" t="str">
        <f t="shared" si="32"/>
        <v>degré</v>
      </c>
      <c r="AD22" s="116" t="str">
        <f t="shared" si="33"/>
        <v>variable: control_surfaces_number integer input description= "Nombre de gouvernes" units= "degré"</v>
      </c>
      <c r="AE22" s="114" t="str">
        <f t="shared" ref="AE22:AE23" si="40">CONCATENER_MODELCENTER(K22,$F22,$G22)</f>
        <v>X0.control.control_surfaces</v>
      </c>
      <c r="AF22" s="115" t="str">
        <f t="shared" ref="AF22:AF23" si="41">CONCATENER_MODELCENTER(L22,$F22,$G22)</f>
        <v>Y01.control.control_surfaces</v>
      </c>
      <c r="AG22" s="115" t="str">
        <f t="shared" ref="AG22:AG23" si="42">CONCATENER_MODELCENTER(M22,$F22,$G22)</f>
        <v>Y02.control.control_surfaces</v>
      </c>
      <c r="AH22" s="115" t="str">
        <f t="shared" ref="AH22:AH23" si="43">CONCATENER_MODELCENTER(N22,$F22,$G22)</f>
        <v/>
      </c>
      <c r="AI22" s="115" t="str">
        <f t="shared" ref="AI22:AI23" si="44">CONCATENER_MODELCENTER(O22,$F22,$G22)</f>
        <v/>
      </c>
      <c r="AJ22" s="116" t="str">
        <f t="shared" ref="AJ22:AJ23" si="45">CONCATENER_MODELCENTER(P22,$F22,$G22)</f>
        <v/>
      </c>
    </row>
    <row r="23" spans="5:40" ht="13.8" thickBot="1" x14ac:dyDescent="0.3">
      <c r="E23" s="104" t="s">
        <v>101</v>
      </c>
      <c r="F23" s="105" t="s">
        <v>528</v>
      </c>
      <c r="G23" s="106"/>
      <c r="H23" s="107" t="s">
        <v>28</v>
      </c>
      <c r="I23" s="22" t="s">
        <v>280</v>
      </c>
      <c r="J23" s="31" t="s">
        <v>739</v>
      </c>
      <c r="K23" s="30" t="s">
        <v>741</v>
      </c>
      <c r="L23" s="22" t="s">
        <v>740</v>
      </c>
      <c r="M23" s="22"/>
      <c r="N23" s="22"/>
      <c r="O23" s="22"/>
      <c r="P23" s="21"/>
      <c r="Q23" s="108" t="s">
        <v>520</v>
      </c>
      <c r="R23" s="106">
        <v>264</v>
      </c>
      <c r="S23" s="64" t="s">
        <v>284</v>
      </c>
      <c r="T23" s="65"/>
      <c r="U23" s="7"/>
      <c r="V23" s="32"/>
      <c r="Y23" s="126" t="str">
        <f t="shared" ref="Y23" si="46">Q23</f>
        <v>eigen_values_table</v>
      </c>
      <c r="Z23" s="127" t="str">
        <f t="shared" ref="Z23" si="47">I23</f>
        <v>double[]</v>
      </c>
      <c r="AA23" s="127" t="str">
        <f t="shared" ref="AA23" si="48">H23</f>
        <v>table</v>
      </c>
      <c r="AB23" s="127" t="str">
        <f t="shared" ref="AB23" si="49">E23</f>
        <v>Valeurs propres des modes avion</v>
      </c>
      <c r="AC23" s="127" t="str">
        <f t="shared" ref="AC23" si="50">J23</f>
        <v>degre</v>
      </c>
      <c r="AD23" s="128" t="str">
        <f t="shared" ref="AD23" si="51">CONCATENATE(IF(S23="oui","#",""),"variable: ",Y23," ",Z23," input ","description= """,AB23,""" units= """,AC23,"""")</f>
        <v>variable: eigen_values_table double[] input description= "Valeurs propres des modes avion" units= "degre"</v>
      </c>
      <c r="AE23" s="114" t="str">
        <f t="shared" si="40"/>
        <v>Y2x.control</v>
      </c>
      <c r="AF23" s="115" t="str">
        <f t="shared" si="41"/>
        <v>Y2.control</v>
      </c>
      <c r="AG23" s="115" t="str">
        <f t="shared" si="42"/>
        <v/>
      </c>
      <c r="AH23" s="115" t="str">
        <f t="shared" si="43"/>
        <v/>
      </c>
      <c r="AI23" s="115" t="str">
        <f t="shared" si="44"/>
        <v/>
      </c>
      <c r="AJ23" s="116" t="str">
        <f t="shared" si="45"/>
        <v/>
      </c>
    </row>
    <row r="24" spans="5:40" ht="13.8" thickBot="1" x14ac:dyDescent="0.3">
      <c r="E24" s="104" t="s">
        <v>743</v>
      </c>
      <c r="F24" s="105" t="s">
        <v>528</v>
      </c>
      <c r="G24" s="106"/>
      <c r="H24" s="107" t="s">
        <v>28</v>
      </c>
      <c r="I24" s="22" t="s">
        <v>280</v>
      </c>
      <c r="J24" s="31" t="s">
        <v>739</v>
      </c>
      <c r="K24" s="30" t="s">
        <v>741</v>
      </c>
      <c r="L24" s="22" t="s">
        <v>740</v>
      </c>
      <c r="M24" s="22"/>
      <c r="N24" s="22"/>
      <c r="O24" s="22"/>
      <c r="P24" s="21"/>
      <c r="Q24" s="108" t="s">
        <v>742</v>
      </c>
      <c r="R24" s="106">
        <v>264</v>
      </c>
      <c r="S24" s="64" t="s">
        <v>744</v>
      </c>
      <c r="T24" s="65"/>
      <c r="AE24" s="117" t="str">
        <f t="shared" ref="AE24:AE80" si="52">CONCATENER_MODELCENTER(K24,$F24,$G24)</f>
        <v>Y2x.control</v>
      </c>
      <c r="AF24" s="7" t="str">
        <f t="shared" ref="AF24:AF80" si="53">CONCATENER_MODELCENTER(L24,$F24,$G24)</f>
        <v>Y2.control</v>
      </c>
      <c r="AG24" s="7" t="str">
        <f t="shared" ref="AG24:AG80" si="54">CONCATENER_MODELCENTER(M24,$F24,$G24)</f>
        <v/>
      </c>
      <c r="AH24" s="7" t="str">
        <f t="shared" ref="AH24:AH80" si="55">CONCATENER_MODELCENTER(N24,$F24,$G24)</f>
        <v/>
      </c>
      <c r="AI24" s="7" t="str">
        <f t="shared" ref="AI24:AI80" si="56">CONCATENER_MODELCENTER(O24,$F24,$G24)</f>
        <v/>
      </c>
      <c r="AJ24" s="118" t="str">
        <f t="shared" ref="AJ24:AJ80" si="57">CONCATENER_MODELCENTER(P24,$F24,$G24)</f>
        <v/>
      </c>
    </row>
    <row r="25" spans="5:40" x14ac:dyDescent="0.25">
      <c r="AE25" s="117" t="str">
        <f t="shared" si="52"/>
        <v/>
      </c>
      <c r="AF25" s="7" t="str">
        <f t="shared" si="53"/>
        <v/>
      </c>
      <c r="AG25" s="7" t="str">
        <f t="shared" si="54"/>
        <v/>
      </c>
      <c r="AH25" s="7" t="str">
        <f t="shared" si="55"/>
        <v/>
      </c>
      <c r="AI25" s="7" t="str">
        <f t="shared" si="56"/>
        <v/>
      </c>
      <c r="AJ25" s="118" t="str">
        <f t="shared" si="57"/>
        <v/>
      </c>
    </row>
    <row r="26" spans="5:40" x14ac:dyDescent="0.25">
      <c r="AE26" s="117" t="str">
        <f t="shared" si="52"/>
        <v/>
      </c>
      <c r="AF26" s="7" t="str">
        <f t="shared" si="53"/>
        <v/>
      </c>
      <c r="AG26" s="7" t="str">
        <f t="shared" si="54"/>
        <v/>
      </c>
      <c r="AH26" s="7" t="str">
        <f t="shared" si="55"/>
        <v/>
      </c>
      <c r="AI26" s="7" t="str">
        <f t="shared" si="56"/>
        <v/>
      </c>
      <c r="AJ26" s="118" t="str">
        <f t="shared" si="57"/>
        <v/>
      </c>
    </row>
    <row r="27" spans="5:40" x14ac:dyDescent="0.25">
      <c r="AE27" s="117" t="str">
        <f t="shared" si="52"/>
        <v/>
      </c>
      <c r="AF27" s="7" t="str">
        <f t="shared" si="53"/>
        <v/>
      </c>
      <c r="AG27" s="7" t="str">
        <f t="shared" si="54"/>
        <v/>
      </c>
      <c r="AH27" s="7" t="str">
        <f t="shared" si="55"/>
        <v/>
      </c>
      <c r="AI27" s="7" t="str">
        <f t="shared" si="56"/>
        <v/>
      </c>
      <c r="AJ27" s="118" t="str">
        <f t="shared" si="57"/>
        <v/>
      </c>
    </row>
    <row r="28" spans="5:40" x14ac:dyDescent="0.25">
      <c r="AE28" s="117" t="str">
        <f t="shared" si="52"/>
        <v/>
      </c>
      <c r="AF28" s="7" t="str">
        <f t="shared" si="53"/>
        <v/>
      </c>
      <c r="AG28" s="7" t="str">
        <f t="shared" si="54"/>
        <v/>
      </c>
      <c r="AH28" s="7" t="str">
        <f t="shared" si="55"/>
        <v/>
      </c>
      <c r="AI28" s="7" t="str">
        <f t="shared" si="56"/>
        <v/>
      </c>
      <c r="AJ28" s="118" t="str">
        <f t="shared" si="57"/>
        <v/>
      </c>
    </row>
    <row r="29" spans="5:40" x14ac:dyDescent="0.25">
      <c r="AE29" s="117" t="str">
        <f t="shared" si="52"/>
        <v/>
      </c>
      <c r="AF29" s="7" t="str">
        <f t="shared" si="53"/>
        <v/>
      </c>
      <c r="AG29" s="7" t="str">
        <f t="shared" si="54"/>
        <v/>
      </c>
      <c r="AH29" s="7" t="str">
        <f t="shared" si="55"/>
        <v/>
      </c>
      <c r="AI29" s="7" t="str">
        <f t="shared" si="56"/>
        <v/>
      </c>
      <c r="AJ29" s="118" t="str">
        <f t="shared" si="57"/>
        <v/>
      </c>
    </row>
    <row r="30" spans="5:40" x14ac:dyDescent="0.25">
      <c r="AE30" s="117" t="str">
        <f t="shared" si="52"/>
        <v/>
      </c>
      <c r="AF30" s="7" t="str">
        <f t="shared" si="53"/>
        <v/>
      </c>
      <c r="AG30" s="7" t="str">
        <f t="shared" si="54"/>
        <v/>
      </c>
      <c r="AH30" s="7" t="str">
        <f t="shared" si="55"/>
        <v/>
      </c>
      <c r="AI30" s="7" t="str">
        <f t="shared" si="56"/>
        <v/>
      </c>
      <c r="AJ30" s="118" t="str">
        <f t="shared" si="57"/>
        <v/>
      </c>
    </row>
    <row r="31" spans="5:40" x14ac:dyDescent="0.25">
      <c r="AE31" s="117" t="str">
        <f t="shared" si="52"/>
        <v/>
      </c>
      <c r="AF31" s="7" t="str">
        <f t="shared" si="53"/>
        <v/>
      </c>
      <c r="AG31" s="7" t="str">
        <f t="shared" si="54"/>
        <v/>
      </c>
      <c r="AH31" s="7" t="str">
        <f t="shared" si="55"/>
        <v/>
      </c>
      <c r="AI31" s="7" t="str">
        <f t="shared" si="56"/>
        <v/>
      </c>
      <c r="AJ31" s="118" t="str">
        <f t="shared" si="57"/>
        <v/>
      </c>
    </row>
    <row r="32" spans="5:40" x14ac:dyDescent="0.25">
      <c r="AE32" s="117" t="str">
        <f t="shared" si="52"/>
        <v/>
      </c>
      <c r="AF32" s="7" t="str">
        <f t="shared" si="53"/>
        <v/>
      </c>
      <c r="AG32" s="7" t="str">
        <f t="shared" si="54"/>
        <v/>
      </c>
      <c r="AH32" s="7" t="str">
        <f t="shared" si="55"/>
        <v/>
      </c>
      <c r="AI32" s="7" t="str">
        <f t="shared" si="56"/>
        <v/>
      </c>
      <c r="AJ32" s="118" t="str">
        <f t="shared" si="57"/>
        <v/>
      </c>
    </row>
    <row r="33" spans="31:36" x14ac:dyDescent="0.25">
      <c r="AE33" s="117" t="str">
        <f t="shared" si="52"/>
        <v/>
      </c>
      <c r="AF33" s="7" t="str">
        <f t="shared" si="53"/>
        <v/>
      </c>
      <c r="AG33" s="7" t="str">
        <f t="shared" si="54"/>
        <v/>
      </c>
      <c r="AH33" s="7" t="str">
        <f t="shared" si="55"/>
        <v/>
      </c>
      <c r="AI33" s="7" t="str">
        <f t="shared" si="56"/>
        <v/>
      </c>
      <c r="AJ33" s="118" t="str">
        <f t="shared" si="57"/>
        <v/>
      </c>
    </row>
    <row r="34" spans="31:36" x14ac:dyDescent="0.25">
      <c r="AE34" s="117" t="str">
        <f t="shared" si="52"/>
        <v/>
      </c>
      <c r="AF34" s="7" t="str">
        <f t="shared" si="53"/>
        <v/>
      </c>
      <c r="AG34" s="7" t="str">
        <f t="shared" si="54"/>
        <v/>
      </c>
      <c r="AH34" s="7" t="str">
        <f t="shared" si="55"/>
        <v/>
      </c>
      <c r="AI34" s="7" t="str">
        <f t="shared" si="56"/>
        <v/>
      </c>
      <c r="AJ34" s="118" t="str">
        <f t="shared" si="57"/>
        <v/>
      </c>
    </row>
    <row r="35" spans="31:36" x14ac:dyDescent="0.25">
      <c r="AE35" s="117" t="str">
        <f t="shared" si="52"/>
        <v/>
      </c>
      <c r="AF35" s="7" t="str">
        <f t="shared" si="53"/>
        <v/>
      </c>
      <c r="AG35" s="7" t="str">
        <f t="shared" si="54"/>
        <v/>
      </c>
      <c r="AH35" s="7" t="str">
        <f t="shared" si="55"/>
        <v/>
      </c>
      <c r="AI35" s="7" t="str">
        <f t="shared" si="56"/>
        <v/>
      </c>
      <c r="AJ35" s="118" t="str">
        <f t="shared" si="57"/>
        <v/>
      </c>
    </row>
    <row r="36" spans="31:36" x14ac:dyDescent="0.25">
      <c r="AE36" s="117" t="str">
        <f t="shared" si="52"/>
        <v/>
      </c>
      <c r="AF36" s="7" t="str">
        <f t="shared" si="53"/>
        <v/>
      </c>
      <c r="AG36" s="7" t="str">
        <f t="shared" si="54"/>
        <v/>
      </c>
      <c r="AH36" s="7" t="str">
        <f t="shared" si="55"/>
        <v/>
      </c>
      <c r="AI36" s="7" t="str">
        <f t="shared" si="56"/>
        <v/>
      </c>
      <c r="AJ36" s="118" t="str">
        <f t="shared" si="57"/>
        <v/>
      </c>
    </row>
    <row r="37" spans="31:36" x14ac:dyDescent="0.25">
      <c r="AE37" s="117" t="str">
        <f t="shared" si="52"/>
        <v/>
      </c>
      <c r="AF37" s="7" t="str">
        <f t="shared" si="53"/>
        <v/>
      </c>
      <c r="AG37" s="7" t="str">
        <f t="shared" si="54"/>
        <v/>
      </c>
      <c r="AH37" s="7" t="str">
        <f t="shared" si="55"/>
        <v/>
      </c>
      <c r="AI37" s="7" t="str">
        <f t="shared" si="56"/>
        <v/>
      </c>
      <c r="AJ37" s="118" t="str">
        <f t="shared" si="57"/>
        <v/>
      </c>
    </row>
    <row r="38" spans="31:36" x14ac:dyDescent="0.25">
      <c r="AE38" s="117" t="str">
        <f t="shared" si="52"/>
        <v/>
      </c>
      <c r="AF38" s="7" t="str">
        <f t="shared" si="53"/>
        <v/>
      </c>
      <c r="AG38" s="7" t="str">
        <f t="shared" si="54"/>
        <v/>
      </c>
      <c r="AH38" s="7" t="str">
        <f t="shared" si="55"/>
        <v/>
      </c>
      <c r="AI38" s="7" t="str">
        <f t="shared" si="56"/>
        <v/>
      </c>
      <c r="AJ38" s="118" t="str">
        <f t="shared" si="57"/>
        <v/>
      </c>
    </row>
    <row r="39" spans="31:36" x14ac:dyDescent="0.25">
      <c r="AE39" s="117" t="str">
        <f t="shared" si="52"/>
        <v/>
      </c>
      <c r="AF39" s="7" t="str">
        <f t="shared" si="53"/>
        <v/>
      </c>
      <c r="AG39" s="7" t="str">
        <f t="shared" si="54"/>
        <v/>
      </c>
      <c r="AH39" s="7" t="str">
        <f t="shared" si="55"/>
        <v/>
      </c>
      <c r="AI39" s="7" t="str">
        <f t="shared" si="56"/>
        <v/>
      </c>
      <c r="AJ39" s="118" t="str">
        <f t="shared" si="57"/>
        <v/>
      </c>
    </row>
    <row r="40" spans="31:36" x14ac:dyDescent="0.25">
      <c r="AE40" s="117" t="str">
        <f t="shared" si="52"/>
        <v/>
      </c>
      <c r="AF40" s="7" t="str">
        <f t="shared" si="53"/>
        <v/>
      </c>
      <c r="AG40" s="7" t="str">
        <f t="shared" si="54"/>
        <v/>
      </c>
      <c r="AH40" s="7" t="str">
        <f t="shared" si="55"/>
        <v/>
      </c>
      <c r="AI40" s="7" t="str">
        <f t="shared" si="56"/>
        <v/>
      </c>
      <c r="AJ40" s="118" t="str">
        <f t="shared" si="57"/>
        <v/>
      </c>
    </row>
    <row r="41" spans="31:36" x14ac:dyDescent="0.25">
      <c r="AE41" s="117" t="str">
        <f t="shared" si="52"/>
        <v/>
      </c>
      <c r="AF41" s="7" t="str">
        <f t="shared" si="53"/>
        <v/>
      </c>
      <c r="AG41" s="7" t="str">
        <f t="shared" si="54"/>
        <v/>
      </c>
      <c r="AH41" s="7" t="str">
        <f t="shared" si="55"/>
        <v/>
      </c>
      <c r="AI41" s="7" t="str">
        <f t="shared" si="56"/>
        <v/>
      </c>
      <c r="AJ41" s="118" t="str">
        <f t="shared" si="57"/>
        <v/>
      </c>
    </row>
    <row r="42" spans="31:36" x14ac:dyDescent="0.25">
      <c r="AE42" s="117" t="str">
        <f t="shared" si="52"/>
        <v/>
      </c>
      <c r="AF42" s="7" t="str">
        <f t="shared" si="53"/>
        <v/>
      </c>
      <c r="AG42" s="7" t="str">
        <f t="shared" si="54"/>
        <v/>
      </c>
      <c r="AH42" s="7" t="str">
        <f t="shared" si="55"/>
        <v/>
      </c>
      <c r="AI42" s="7" t="str">
        <f t="shared" si="56"/>
        <v/>
      </c>
      <c r="AJ42" s="118" t="str">
        <f t="shared" si="57"/>
        <v/>
      </c>
    </row>
    <row r="43" spans="31:36" x14ac:dyDescent="0.25">
      <c r="AE43" s="117" t="str">
        <f t="shared" si="52"/>
        <v/>
      </c>
      <c r="AF43" s="7" t="str">
        <f t="shared" si="53"/>
        <v/>
      </c>
      <c r="AG43" s="7" t="str">
        <f t="shared" si="54"/>
        <v/>
      </c>
      <c r="AH43" s="7" t="str">
        <f t="shared" si="55"/>
        <v/>
      </c>
      <c r="AI43" s="7" t="str">
        <f t="shared" si="56"/>
        <v/>
      </c>
      <c r="AJ43" s="118" t="str">
        <f t="shared" si="57"/>
        <v/>
      </c>
    </row>
    <row r="44" spans="31:36" x14ac:dyDescent="0.25">
      <c r="AE44" s="117" t="str">
        <f t="shared" si="52"/>
        <v/>
      </c>
      <c r="AF44" s="7" t="str">
        <f t="shared" si="53"/>
        <v/>
      </c>
      <c r="AG44" s="7" t="str">
        <f t="shared" si="54"/>
        <v/>
      </c>
      <c r="AH44" s="7" t="str">
        <f t="shared" si="55"/>
        <v/>
      </c>
      <c r="AI44" s="7" t="str">
        <f t="shared" si="56"/>
        <v/>
      </c>
      <c r="AJ44" s="118" t="str">
        <f t="shared" si="57"/>
        <v/>
      </c>
    </row>
    <row r="45" spans="31:36" x14ac:dyDescent="0.25">
      <c r="AE45" s="117" t="str">
        <f t="shared" si="52"/>
        <v/>
      </c>
      <c r="AF45" s="7" t="str">
        <f t="shared" si="53"/>
        <v/>
      </c>
      <c r="AG45" s="7" t="str">
        <f t="shared" si="54"/>
        <v/>
      </c>
      <c r="AH45" s="7" t="str">
        <f t="shared" si="55"/>
        <v/>
      </c>
      <c r="AI45" s="7" t="str">
        <f t="shared" si="56"/>
        <v/>
      </c>
      <c r="AJ45" s="118" t="str">
        <f t="shared" si="57"/>
        <v/>
      </c>
    </row>
    <row r="46" spans="31:36" x14ac:dyDescent="0.25">
      <c r="AE46" s="117" t="str">
        <f t="shared" si="52"/>
        <v/>
      </c>
      <c r="AF46" s="7" t="str">
        <f t="shared" si="53"/>
        <v/>
      </c>
      <c r="AG46" s="7" t="str">
        <f t="shared" si="54"/>
        <v/>
      </c>
      <c r="AH46" s="7" t="str">
        <f t="shared" si="55"/>
        <v/>
      </c>
      <c r="AI46" s="7" t="str">
        <f t="shared" si="56"/>
        <v/>
      </c>
      <c r="AJ46" s="118" t="str">
        <f t="shared" si="57"/>
        <v/>
      </c>
    </row>
    <row r="47" spans="31:36" x14ac:dyDescent="0.25">
      <c r="AE47" s="117" t="str">
        <f t="shared" si="52"/>
        <v/>
      </c>
      <c r="AF47" s="7" t="str">
        <f t="shared" si="53"/>
        <v/>
      </c>
      <c r="AG47" s="7" t="str">
        <f t="shared" si="54"/>
        <v/>
      </c>
      <c r="AH47" s="7" t="str">
        <f t="shared" si="55"/>
        <v/>
      </c>
      <c r="AI47" s="7" t="str">
        <f t="shared" si="56"/>
        <v/>
      </c>
      <c r="AJ47" s="118" t="str">
        <f t="shared" si="57"/>
        <v/>
      </c>
    </row>
    <row r="48" spans="31:36" x14ac:dyDescent="0.25">
      <c r="AE48" s="117" t="str">
        <f t="shared" si="52"/>
        <v/>
      </c>
      <c r="AF48" s="7" t="str">
        <f t="shared" si="53"/>
        <v/>
      </c>
      <c r="AG48" s="7" t="str">
        <f t="shared" si="54"/>
        <v/>
      </c>
      <c r="AH48" s="7" t="str">
        <f t="shared" si="55"/>
        <v/>
      </c>
      <c r="AI48" s="7" t="str">
        <f t="shared" si="56"/>
        <v/>
      </c>
      <c r="AJ48" s="118" t="str">
        <f t="shared" si="57"/>
        <v/>
      </c>
    </row>
    <row r="49" spans="31:36" x14ac:dyDescent="0.25">
      <c r="AE49" s="117" t="str">
        <f t="shared" si="52"/>
        <v/>
      </c>
      <c r="AF49" s="7" t="str">
        <f t="shared" si="53"/>
        <v/>
      </c>
      <c r="AG49" s="7" t="str">
        <f t="shared" si="54"/>
        <v/>
      </c>
      <c r="AH49" s="7" t="str">
        <f t="shared" si="55"/>
        <v/>
      </c>
      <c r="AI49" s="7" t="str">
        <f t="shared" si="56"/>
        <v/>
      </c>
      <c r="AJ49" s="118" t="str">
        <f t="shared" si="57"/>
        <v/>
      </c>
    </row>
    <row r="50" spans="31:36" x14ac:dyDescent="0.25">
      <c r="AE50" s="117" t="str">
        <f t="shared" si="52"/>
        <v/>
      </c>
      <c r="AF50" s="7" t="str">
        <f t="shared" si="53"/>
        <v/>
      </c>
      <c r="AG50" s="7" t="str">
        <f t="shared" si="54"/>
        <v/>
      </c>
      <c r="AH50" s="7" t="str">
        <f t="shared" si="55"/>
        <v/>
      </c>
      <c r="AI50" s="7" t="str">
        <f t="shared" si="56"/>
        <v/>
      </c>
      <c r="AJ50" s="118" t="str">
        <f t="shared" si="57"/>
        <v/>
      </c>
    </row>
    <row r="51" spans="31:36" x14ac:dyDescent="0.25">
      <c r="AE51" s="117" t="str">
        <f t="shared" si="52"/>
        <v/>
      </c>
      <c r="AF51" s="7" t="str">
        <f t="shared" si="53"/>
        <v/>
      </c>
      <c r="AG51" s="7" t="str">
        <f t="shared" si="54"/>
        <v/>
      </c>
      <c r="AH51" s="7" t="str">
        <f t="shared" si="55"/>
        <v/>
      </c>
      <c r="AI51" s="7" t="str">
        <f t="shared" si="56"/>
        <v/>
      </c>
      <c r="AJ51" s="118" t="str">
        <f t="shared" si="57"/>
        <v/>
      </c>
    </row>
    <row r="52" spans="31:36" x14ac:dyDescent="0.25">
      <c r="AE52" s="117" t="str">
        <f t="shared" si="52"/>
        <v/>
      </c>
      <c r="AF52" s="7" t="str">
        <f t="shared" si="53"/>
        <v/>
      </c>
      <c r="AG52" s="7" t="str">
        <f t="shared" si="54"/>
        <v/>
      </c>
      <c r="AH52" s="7" t="str">
        <f t="shared" si="55"/>
        <v/>
      </c>
      <c r="AI52" s="7" t="str">
        <f t="shared" si="56"/>
        <v/>
      </c>
      <c r="AJ52" s="118" t="str">
        <f t="shared" si="57"/>
        <v/>
      </c>
    </row>
    <row r="53" spans="31:36" x14ac:dyDescent="0.25">
      <c r="AE53" s="117" t="str">
        <f t="shared" si="52"/>
        <v/>
      </c>
      <c r="AF53" s="7" t="str">
        <f t="shared" si="53"/>
        <v/>
      </c>
      <c r="AG53" s="7" t="str">
        <f t="shared" si="54"/>
        <v/>
      </c>
      <c r="AH53" s="7" t="str">
        <f t="shared" si="55"/>
        <v/>
      </c>
      <c r="AI53" s="7" t="str">
        <f t="shared" si="56"/>
        <v/>
      </c>
      <c r="AJ53" s="118" t="str">
        <f t="shared" si="57"/>
        <v/>
      </c>
    </row>
    <row r="54" spans="31:36" x14ac:dyDescent="0.25">
      <c r="AE54" s="117" t="str">
        <f t="shared" si="52"/>
        <v/>
      </c>
      <c r="AF54" s="7" t="str">
        <f t="shared" si="53"/>
        <v/>
      </c>
      <c r="AG54" s="7" t="str">
        <f t="shared" si="54"/>
        <v/>
      </c>
      <c r="AH54" s="7" t="str">
        <f t="shared" si="55"/>
        <v/>
      </c>
      <c r="AI54" s="7" t="str">
        <f t="shared" si="56"/>
        <v/>
      </c>
      <c r="AJ54" s="118" t="str">
        <f t="shared" si="57"/>
        <v/>
      </c>
    </row>
    <row r="55" spans="31:36" x14ac:dyDescent="0.25">
      <c r="AE55" s="117" t="str">
        <f t="shared" si="52"/>
        <v/>
      </c>
      <c r="AF55" s="7" t="str">
        <f t="shared" si="53"/>
        <v/>
      </c>
      <c r="AG55" s="7" t="str">
        <f t="shared" si="54"/>
        <v/>
      </c>
      <c r="AH55" s="7" t="str">
        <f t="shared" si="55"/>
        <v/>
      </c>
      <c r="AI55" s="7" t="str">
        <f t="shared" si="56"/>
        <v/>
      </c>
      <c r="AJ55" s="118" t="str">
        <f t="shared" si="57"/>
        <v/>
      </c>
    </row>
    <row r="56" spans="31:36" x14ac:dyDescent="0.25">
      <c r="AE56" s="117" t="str">
        <f t="shared" si="52"/>
        <v/>
      </c>
      <c r="AF56" s="7" t="str">
        <f t="shared" si="53"/>
        <v/>
      </c>
      <c r="AG56" s="7" t="str">
        <f t="shared" si="54"/>
        <v/>
      </c>
      <c r="AH56" s="7" t="str">
        <f t="shared" si="55"/>
        <v/>
      </c>
      <c r="AI56" s="7" t="str">
        <f t="shared" si="56"/>
        <v/>
      </c>
      <c r="AJ56" s="118" t="str">
        <f t="shared" si="57"/>
        <v/>
      </c>
    </row>
    <row r="57" spans="31:36" x14ac:dyDescent="0.25">
      <c r="AE57" s="117" t="str">
        <f t="shared" si="52"/>
        <v/>
      </c>
      <c r="AF57" s="7" t="str">
        <f t="shared" si="53"/>
        <v/>
      </c>
      <c r="AG57" s="7" t="str">
        <f t="shared" si="54"/>
        <v/>
      </c>
      <c r="AH57" s="7" t="str">
        <f t="shared" si="55"/>
        <v/>
      </c>
      <c r="AI57" s="7" t="str">
        <f t="shared" si="56"/>
        <v/>
      </c>
      <c r="AJ57" s="118" t="str">
        <f t="shared" si="57"/>
        <v/>
      </c>
    </row>
    <row r="58" spans="31:36" x14ac:dyDescent="0.25">
      <c r="AE58" s="117" t="str">
        <f t="shared" si="52"/>
        <v/>
      </c>
      <c r="AF58" s="7" t="str">
        <f t="shared" si="53"/>
        <v/>
      </c>
      <c r="AG58" s="7" t="str">
        <f t="shared" si="54"/>
        <v/>
      </c>
      <c r="AH58" s="7" t="str">
        <f t="shared" si="55"/>
        <v/>
      </c>
      <c r="AI58" s="7" t="str">
        <f t="shared" si="56"/>
        <v/>
      </c>
      <c r="AJ58" s="118" t="str">
        <f t="shared" si="57"/>
        <v/>
      </c>
    </row>
    <row r="59" spans="31:36" x14ac:dyDescent="0.25">
      <c r="AE59" s="117" t="str">
        <f t="shared" si="52"/>
        <v/>
      </c>
      <c r="AF59" s="7" t="str">
        <f t="shared" si="53"/>
        <v/>
      </c>
      <c r="AG59" s="7" t="str">
        <f t="shared" si="54"/>
        <v/>
      </c>
      <c r="AH59" s="7" t="str">
        <f t="shared" si="55"/>
        <v/>
      </c>
      <c r="AI59" s="7" t="str">
        <f t="shared" si="56"/>
        <v/>
      </c>
      <c r="AJ59" s="118" t="str">
        <f t="shared" si="57"/>
        <v/>
      </c>
    </row>
    <row r="60" spans="31:36" x14ac:dyDescent="0.25">
      <c r="AE60" s="117" t="str">
        <f t="shared" si="52"/>
        <v/>
      </c>
      <c r="AF60" s="7" t="str">
        <f t="shared" si="53"/>
        <v/>
      </c>
      <c r="AG60" s="7" t="str">
        <f t="shared" si="54"/>
        <v/>
      </c>
      <c r="AH60" s="7" t="str">
        <f t="shared" si="55"/>
        <v/>
      </c>
      <c r="AI60" s="7" t="str">
        <f t="shared" si="56"/>
        <v/>
      </c>
      <c r="AJ60" s="118" t="str">
        <f t="shared" si="57"/>
        <v/>
      </c>
    </row>
    <row r="61" spans="31:36" x14ac:dyDescent="0.25">
      <c r="AE61" s="117" t="str">
        <f t="shared" si="52"/>
        <v/>
      </c>
      <c r="AF61" s="7" t="str">
        <f t="shared" si="53"/>
        <v/>
      </c>
      <c r="AG61" s="7" t="str">
        <f t="shared" si="54"/>
        <v/>
      </c>
      <c r="AH61" s="7" t="str">
        <f t="shared" si="55"/>
        <v/>
      </c>
      <c r="AI61" s="7" t="str">
        <f t="shared" si="56"/>
        <v/>
      </c>
      <c r="AJ61" s="118" t="str">
        <f t="shared" si="57"/>
        <v/>
      </c>
    </row>
    <row r="62" spans="31:36" x14ac:dyDescent="0.25">
      <c r="AE62" s="117" t="str">
        <f t="shared" si="52"/>
        <v/>
      </c>
      <c r="AF62" s="7" t="str">
        <f t="shared" si="53"/>
        <v/>
      </c>
      <c r="AG62" s="7" t="str">
        <f t="shared" si="54"/>
        <v/>
      </c>
      <c r="AH62" s="7" t="str">
        <f t="shared" si="55"/>
        <v/>
      </c>
      <c r="AI62" s="7" t="str">
        <f t="shared" si="56"/>
        <v/>
      </c>
      <c r="AJ62" s="118" t="str">
        <f t="shared" si="57"/>
        <v/>
      </c>
    </row>
    <row r="63" spans="31:36" x14ac:dyDescent="0.25">
      <c r="AE63" s="117" t="str">
        <f t="shared" si="52"/>
        <v/>
      </c>
      <c r="AF63" s="7" t="str">
        <f t="shared" si="53"/>
        <v/>
      </c>
      <c r="AG63" s="7" t="str">
        <f t="shared" si="54"/>
        <v/>
      </c>
      <c r="AH63" s="7" t="str">
        <f t="shared" si="55"/>
        <v/>
      </c>
      <c r="AI63" s="7" t="str">
        <f t="shared" si="56"/>
        <v/>
      </c>
      <c r="AJ63" s="118" t="str">
        <f t="shared" si="57"/>
        <v/>
      </c>
    </row>
    <row r="64" spans="31:36" x14ac:dyDescent="0.25">
      <c r="AE64" s="117" t="str">
        <f t="shared" si="52"/>
        <v/>
      </c>
      <c r="AF64" s="7" t="str">
        <f t="shared" si="53"/>
        <v/>
      </c>
      <c r="AG64" s="7" t="str">
        <f t="shared" si="54"/>
        <v/>
      </c>
      <c r="AH64" s="7" t="str">
        <f t="shared" si="55"/>
        <v/>
      </c>
      <c r="AI64" s="7" t="str">
        <f t="shared" si="56"/>
        <v/>
      </c>
      <c r="AJ64" s="118" t="str">
        <f t="shared" si="57"/>
        <v/>
      </c>
    </row>
    <row r="65" spans="31:36" x14ac:dyDescent="0.25">
      <c r="AE65" s="117" t="str">
        <f t="shared" si="52"/>
        <v/>
      </c>
      <c r="AF65" s="7" t="str">
        <f t="shared" si="53"/>
        <v/>
      </c>
      <c r="AG65" s="7" t="str">
        <f t="shared" si="54"/>
        <v/>
      </c>
      <c r="AH65" s="7" t="str">
        <f t="shared" si="55"/>
        <v/>
      </c>
      <c r="AI65" s="7" t="str">
        <f t="shared" si="56"/>
        <v/>
      </c>
      <c r="AJ65" s="118" t="str">
        <f t="shared" si="57"/>
        <v/>
      </c>
    </row>
    <row r="66" spans="31:36" x14ac:dyDescent="0.25">
      <c r="AE66" s="117" t="str">
        <f t="shared" si="52"/>
        <v/>
      </c>
      <c r="AF66" s="7" t="str">
        <f t="shared" si="53"/>
        <v/>
      </c>
      <c r="AG66" s="7" t="str">
        <f t="shared" si="54"/>
        <v/>
      </c>
      <c r="AH66" s="7" t="str">
        <f t="shared" si="55"/>
        <v/>
      </c>
      <c r="AI66" s="7" t="str">
        <f t="shared" si="56"/>
        <v/>
      </c>
      <c r="AJ66" s="118" t="str">
        <f t="shared" si="57"/>
        <v/>
      </c>
    </row>
    <row r="67" spans="31:36" x14ac:dyDescent="0.25">
      <c r="AE67" s="117" t="str">
        <f t="shared" si="52"/>
        <v/>
      </c>
      <c r="AF67" s="7" t="str">
        <f t="shared" si="53"/>
        <v/>
      </c>
      <c r="AG67" s="7" t="str">
        <f t="shared" si="54"/>
        <v/>
      </c>
      <c r="AH67" s="7" t="str">
        <f t="shared" si="55"/>
        <v/>
      </c>
      <c r="AI67" s="7" t="str">
        <f t="shared" si="56"/>
        <v/>
      </c>
      <c r="AJ67" s="118" t="str">
        <f t="shared" si="57"/>
        <v/>
      </c>
    </row>
    <row r="68" spans="31:36" x14ac:dyDescent="0.25">
      <c r="AE68" s="117" t="str">
        <f t="shared" si="52"/>
        <v/>
      </c>
      <c r="AF68" s="7" t="str">
        <f t="shared" si="53"/>
        <v/>
      </c>
      <c r="AG68" s="7" t="str">
        <f t="shared" si="54"/>
        <v/>
      </c>
      <c r="AH68" s="7" t="str">
        <f t="shared" si="55"/>
        <v/>
      </c>
      <c r="AI68" s="7" t="str">
        <f t="shared" si="56"/>
        <v/>
      </c>
      <c r="AJ68" s="118" t="str">
        <f t="shared" si="57"/>
        <v/>
      </c>
    </row>
    <row r="69" spans="31:36" x14ac:dyDescent="0.25">
      <c r="AE69" s="117" t="str">
        <f t="shared" si="52"/>
        <v/>
      </c>
      <c r="AF69" s="7" t="str">
        <f t="shared" si="53"/>
        <v/>
      </c>
      <c r="AG69" s="7" t="str">
        <f t="shared" si="54"/>
        <v/>
      </c>
      <c r="AH69" s="7" t="str">
        <f t="shared" si="55"/>
        <v/>
      </c>
      <c r="AI69" s="7" t="str">
        <f t="shared" si="56"/>
        <v/>
      </c>
      <c r="AJ69" s="118" t="str">
        <f t="shared" si="57"/>
        <v/>
      </c>
    </row>
    <row r="70" spans="31:36" x14ac:dyDescent="0.25">
      <c r="AE70" s="117" t="str">
        <f t="shared" si="52"/>
        <v/>
      </c>
      <c r="AF70" s="7" t="str">
        <f t="shared" si="53"/>
        <v/>
      </c>
      <c r="AG70" s="7" t="str">
        <f t="shared" si="54"/>
        <v/>
      </c>
      <c r="AH70" s="7" t="str">
        <f t="shared" si="55"/>
        <v/>
      </c>
      <c r="AI70" s="7" t="str">
        <f t="shared" si="56"/>
        <v/>
      </c>
      <c r="AJ70" s="118" t="str">
        <f t="shared" si="57"/>
        <v/>
      </c>
    </row>
    <row r="71" spans="31:36" x14ac:dyDescent="0.25">
      <c r="AE71" s="117" t="str">
        <f t="shared" si="52"/>
        <v/>
      </c>
      <c r="AF71" s="7" t="str">
        <f t="shared" si="53"/>
        <v/>
      </c>
      <c r="AG71" s="7" t="str">
        <f t="shared" si="54"/>
        <v/>
      </c>
      <c r="AH71" s="7" t="str">
        <f t="shared" si="55"/>
        <v/>
      </c>
      <c r="AI71" s="7" t="str">
        <f t="shared" si="56"/>
        <v/>
      </c>
      <c r="AJ71" s="118" t="str">
        <f t="shared" si="57"/>
        <v/>
      </c>
    </row>
    <row r="72" spans="31:36" x14ac:dyDescent="0.25">
      <c r="AE72" s="117" t="str">
        <f t="shared" si="52"/>
        <v/>
      </c>
      <c r="AF72" s="7" t="str">
        <f t="shared" si="53"/>
        <v/>
      </c>
      <c r="AG72" s="7" t="str">
        <f t="shared" si="54"/>
        <v/>
      </c>
      <c r="AH72" s="7" t="str">
        <f t="shared" si="55"/>
        <v/>
      </c>
      <c r="AI72" s="7" t="str">
        <f t="shared" si="56"/>
        <v/>
      </c>
      <c r="AJ72" s="118" t="str">
        <f t="shared" si="57"/>
        <v/>
      </c>
    </row>
    <row r="73" spans="31:36" x14ac:dyDescent="0.25">
      <c r="AE73" s="117" t="str">
        <f t="shared" si="52"/>
        <v/>
      </c>
      <c r="AF73" s="7" t="str">
        <f t="shared" si="53"/>
        <v/>
      </c>
      <c r="AG73" s="7" t="str">
        <f t="shared" si="54"/>
        <v/>
      </c>
      <c r="AH73" s="7" t="str">
        <f t="shared" si="55"/>
        <v/>
      </c>
      <c r="AI73" s="7" t="str">
        <f t="shared" si="56"/>
        <v/>
      </c>
      <c r="AJ73" s="118" t="str">
        <f t="shared" si="57"/>
        <v/>
      </c>
    </row>
    <row r="74" spans="31:36" x14ac:dyDescent="0.25">
      <c r="AE74" s="117" t="str">
        <f t="shared" si="52"/>
        <v/>
      </c>
      <c r="AF74" s="7" t="str">
        <f t="shared" si="53"/>
        <v/>
      </c>
      <c r="AG74" s="7" t="str">
        <f t="shared" si="54"/>
        <v/>
      </c>
      <c r="AH74" s="7" t="str">
        <f t="shared" si="55"/>
        <v/>
      </c>
      <c r="AI74" s="7" t="str">
        <f t="shared" si="56"/>
        <v/>
      </c>
      <c r="AJ74" s="118" t="str">
        <f t="shared" si="57"/>
        <v/>
      </c>
    </row>
    <row r="75" spans="31:36" x14ac:dyDescent="0.25">
      <c r="AE75" s="117" t="str">
        <f t="shared" si="52"/>
        <v/>
      </c>
      <c r="AF75" s="7" t="str">
        <f t="shared" si="53"/>
        <v/>
      </c>
      <c r="AG75" s="7" t="str">
        <f t="shared" si="54"/>
        <v/>
      </c>
      <c r="AH75" s="7" t="str">
        <f t="shared" si="55"/>
        <v/>
      </c>
      <c r="AI75" s="7" t="str">
        <f t="shared" si="56"/>
        <v/>
      </c>
      <c r="AJ75" s="118" t="str">
        <f t="shared" si="57"/>
        <v/>
      </c>
    </row>
    <row r="76" spans="31:36" x14ac:dyDescent="0.25">
      <c r="AE76" s="117" t="str">
        <f t="shared" si="52"/>
        <v/>
      </c>
      <c r="AF76" s="7" t="str">
        <f t="shared" si="53"/>
        <v/>
      </c>
      <c r="AG76" s="7" t="str">
        <f t="shared" si="54"/>
        <v/>
      </c>
      <c r="AH76" s="7" t="str">
        <f t="shared" si="55"/>
        <v/>
      </c>
      <c r="AI76" s="7" t="str">
        <f t="shared" si="56"/>
        <v/>
      </c>
      <c r="AJ76" s="118" t="str">
        <f t="shared" si="57"/>
        <v/>
      </c>
    </row>
    <row r="77" spans="31:36" x14ac:dyDescent="0.25">
      <c r="AE77" s="117" t="str">
        <f t="shared" si="52"/>
        <v/>
      </c>
      <c r="AF77" s="7" t="str">
        <f t="shared" si="53"/>
        <v/>
      </c>
      <c r="AG77" s="7" t="str">
        <f t="shared" si="54"/>
        <v/>
      </c>
      <c r="AH77" s="7" t="str">
        <f t="shared" si="55"/>
        <v/>
      </c>
      <c r="AI77" s="7" t="str">
        <f t="shared" si="56"/>
        <v/>
      </c>
      <c r="AJ77" s="118" t="str">
        <f t="shared" si="57"/>
        <v/>
      </c>
    </row>
    <row r="78" spans="31:36" x14ac:dyDescent="0.25">
      <c r="AE78" s="117" t="str">
        <f t="shared" si="52"/>
        <v/>
      </c>
      <c r="AF78" s="7" t="str">
        <f t="shared" si="53"/>
        <v/>
      </c>
      <c r="AG78" s="7" t="str">
        <f t="shared" si="54"/>
        <v/>
      </c>
      <c r="AH78" s="7" t="str">
        <f t="shared" si="55"/>
        <v/>
      </c>
      <c r="AI78" s="7" t="str">
        <f t="shared" si="56"/>
        <v/>
      </c>
      <c r="AJ78" s="118" t="str">
        <f t="shared" si="57"/>
        <v/>
      </c>
    </row>
    <row r="79" spans="31:36" x14ac:dyDescent="0.25">
      <c r="AE79" s="117" t="str">
        <f t="shared" si="52"/>
        <v/>
      </c>
      <c r="AF79" s="7" t="str">
        <f t="shared" si="53"/>
        <v/>
      </c>
      <c r="AG79" s="7" t="str">
        <f t="shared" si="54"/>
        <v/>
      </c>
      <c r="AH79" s="7" t="str">
        <f t="shared" si="55"/>
        <v/>
      </c>
      <c r="AI79" s="7" t="str">
        <f t="shared" si="56"/>
        <v/>
      </c>
      <c r="AJ79" s="118" t="str">
        <f t="shared" si="57"/>
        <v/>
      </c>
    </row>
    <row r="80" spans="31:36" x14ac:dyDescent="0.25">
      <c r="AE80" s="117" t="str">
        <f t="shared" si="52"/>
        <v/>
      </c>
      <c r="AF80" s="7" t="str">
        <f t="shared" si="53"/>
        <v/>
      </c>
      <c r="AG80" s="7" t="str">
        <f t="shared" si="54"/>
        <v/>
      </c>
      <c r="AH80" s="7" t="str">
        <f t="shared" si="55"/>
        <v/>
      </c>
      <c r="AI80" s="7" t="str">
        <f t="shared" si="56"/>
        <v/>
      </c>
      <c r="AJ80" s="118" t="str">
        <f t="shared" si="57"/>
        <v/>
      </c>
    </row>
    <row r="81" spans="31:36" x14ac:dyDescent="0.25">
      <c r="AE81" s="117" t="str">
        <f t="shared" ref="AE81:AE83" si="58">CONCATENER_MODELCENTER(K81,$F81,$G81)</f>
        <v/>
      </c>
      <c r="AF81" s="7" t="str">
        <f t="shared" ref="AF81:AF83" si="59">CONCATENER_MODELCENTER(L81,$F81,$G81)</f>
        <v/>
      </c>
      <c r="AG81" s="7" t="str">
        <f t="shared" ref="AG81:AG83" si="60">CONCATENER_MODELCENTER(M81,$F81,$G81)</f>
        <v/>
      </c>
      <c r="AH81" s="7" t="str">
        <f t="shared" ref="AH81:AH83" si="61">CONCATENER_MODELCENTER(N81,$F81,$G81)</f>
        <v/>
      </c>
      <c r="AI81" s="7" t="str">
        <f t="shared" ref="AI81:AI83" si="62">CONCATENER_MODELCENTER(O81,$F81,$G81)</f>
        <v/>
      </c>
      <c r="AJ81" s="118" t="str">
        <f t="shared" ref="AJ81:AJ83" si="63">CONCATENER_MODELCENTER(P81,$F81,$G81)</f>
        <v/>
      </c>
    </row>
    <row r="82" spans="31:36" x14ac:dyDescent="0.25">
      <c r="AE82" s="117" t="str">
        <f t="shared" si="58"/>
        <v/>
      </c>
      <c r="AF82" s="7" t="str">
        <f t="shared" si="59"/>
        <v/>
      </c>
      <c r="AG82" s="7" t="str">
        <f t="shared" si="60"/>
        <v/>
      </c>
      <c r="AH82" s="7" t="str">
        <f t="shared" si="61"/>
        <v/>
      </c>
      <c r="AI82" s="7" t="str">
        <f t="shared" si="62"/>
        <v/>
      </c>
      <c r="AJ82" s="118" t="str">
        <f t="shared" si="63"/>
        <v/>
      </c>
    </row>
    <row r="83" spans="31:36" ht="13.8" thickBot="1" x14ac:dyDescent="0.3">
      <c r="AE83" s="119" t="str">
        <f t="shared" si="58"/>
        <v/>
      </c>
      <c r="AF83" s="120" t="str">
        <f t="shared" si="59"/>
        <v/>
      </c>
      <c r="AG83" s="120" t="str">
        <f t="shared" si="60"/>
        <v/>
      </c>
      <c r="AH83" s="120" t="str">
        <f t="shared" si="61"/>
        <v/>
      </c>
      <c r="AI83" s="120" t="str">
        <f t="shared" si="62"/>
        <v/>
      </c>
      <c r="AJ83" s="121" t="str">
        <f t="shared" si="63"/>
        <v/>
      </c>
    </row>
  </sheetData>
  <dataConsolidate/>
  <mergeCells count="6">
    <mergeCell ref="B2:T2"/>
    <mergeCell ref="B3:T3"/>
    <mergeCell ref="E8:E12"/>
    <mergeCell ref="E6:E7"/>
    <mergeCell ref="B6:C7"/>
    <mergeCell ref="I6:P6"/>
  </mergeCells>
  <phoneticPr fontId="0" type="noConversion"/>
  <dataValidations count="1">
    <dataValidation type="list" allowBlank="1" showInputMessage="1" showErrorMessage="1" sqref="G16:G24">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381000</xdr:colOff>
                    <xdr:row>5</xdr:row>
                    <xdr:rowOff>144780</xdr:rowOff>
                  </from>
                  <to>
                    <xdr:col>8</xdr:col>
                    <xdr:colOff>76200</xdr:colOff>
                    <xdr:row>6</xdr:row>
                    <xdr:rowOff>175260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312420</xdr:colOff>
                    <xdr:row>7</xdr:row>
                    <xdr:rowOff>175260</xdr:rowOff>
                  </from>
                  <to>
                    <xdr:col>8</xdr:col>
                    <xdr:colOff>259080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MC'!$B$2:$B$8</xm:f>
          </x14:formula1>
          <xm:sqref>F16:F24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44"/>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6640625" bestFit="1" customWidth="1"/>
  </cols>
  <sheetData>
    <row r="1" spans="1:5" ht="19.5" customHeight="1" x14ac:dyDescent="0.25">
      <c r="A1" s="161" t="s">
        <v>290</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647</v>
      </c>
      <c r="B10" s="45"/>
      <c r="C10" s="45"/>
      <c r="D10" s="45"/>
      <c r="E10" s="45"/>
    </row>
    <row r="11" spans="1:5" ht="13.8" thickTop="1" x14ac:dyDescent="0.25">
      <c r="A11" t="s">
        <v>375</v>
      </c>
      <c r="B11" t="s">
        <v>8</v>
      </c>
      <c r="C11" t="s">
        <v>155</v>
      </c>
      <c r="D11" t="s">
        <v>71</v>
      </c>
      <c r="E11" t="s">
        <v>7</v>
      </c>
    </row>
    <row r="12" spans="1:5" x14ac:dyDescent="0.25">
      <c r="A12" t="s">
        <v>378</v>
      </c>
      <c r="B12" t="s">
        <v>8</v>
      </c>
      <c r="C12" t="s">
        <v>155</v>
      </c>
      <c r="D12" t="s">
        <v>57</v>
      </c>
      <c r="E12" t="s">
        <v>23</v>
      </c>
    </row>
    <row r="13" spans="1:5" x14ac:dyDescent="0.25">
      <c r="A13" t="s">
        <v>377</v>
      </c>
      <c r="B13" t="s">
        <v>8</v>
      </c>
      <c r="C13" t="s">
        <v>155</v>
      </c>
      <c r="D13" t="s">
        <v>58</v>
      </c>
      <c r="E13" t="s">
        <v>23</v>
      </c>
    </row>
    <row r="14" spans="1:5" x14ac:dyDescent="0.25">
      <c r="A14" t="s">
        <v>311</v>
      </c>
      <c r="B14" t="s">
        <v>8</v>
      </c>
      <c r="C14" t="s">
        <v>155</v>
      </c>
      <c r="D14" t="s">
        <v>59</v>
      </c>
      <c r="E14" t="s">
        <v>19</v>
      </c>
    </row>
    <row r="15" spans="1:5" x14ac:dyDescent="0.25">
      <c r="A15" t="s">
        <v>312</v>
      </c>
      <c r="B15" t="s">
        <v>8</v>
      </c>
      <c r="C15" t="s">
        <v>155</v>
      </c>
      <c r="D15" t="s">
        <v>251</v>
      </c>
      <c r="E15" t="s">
        <v>19</v>
      </c>
    </row>
    <row r="16" spans="1:5" x14ac:dyDescent="0.25">
      <c r="A16" t="s">
        <v>313</v>
      </c>
      <c r="B16" t="s">
        <v>8</v>
      </c>
      <c r="C16" t="s">
        <v>155</v>
      </c>
      <c r="D16" t="s">
        <v>60</v>
      </c>
      <c r="E16" t="s">
        <v>19</v>
      </c>
    </row>
    <row r="17" spans="1:5" x14ac:dyDescent="0.25">
      <c r="A17" t="s">
        <v>314</v>
      </c>
      <c r="B17" t="s">
        <v>8</v>
      </c>
      <c r="C17" t="s">
        <v>155</v>
      </c>
      <c r="D17" t="s">
        <v>61</v>
      </c>
      <c r="E17" t="s">
        <v>19</v>
      </c>
    </row>
    <row r="18" spans="1:5" x14ac:dyDescent="0.25">
      <c r="A18" t="s">
        <v>315</v>
      </c>
      <c r="B18" t="s">
        <v>8</v>
      </c>
      <c r="C18" t="s">
        <v>155</v>
      </c>
      <c r="D18" t="s">
        <v>252</v>
      </c>
      <c r="E18" t="s">
        <v>19</v>
      </c>
    </row>
    <row r="19" spans="1:5" x14ac:dyDescent="0.25">
      <c r="A19" t="s">
        <v>327</v>
      </c>
      <c r="B19" t="s">
        <v>8</v>
      </c>
      <c r="C19" t="s">
        <v>155</v>
      </c>
      <c r="D19" t="s">
        <v>32</v>
      </c>
      <c r="E19" t="s">
        <v>23</v>
      </c>
    </row>
    <row r="20" spans="1:5" x14ac:dyDescent="0.25">
      <c r="A20" t="s">
        <v>328</v>
      </c>
      <c r="B20" t="s">
        <v>8</v>
      </c>
      <c r="C20" t="s">
        <v>155</v>
      </c>
      <c r="D20" t="s">
        <v>255</v>
      </c>
      <c r="E20" t="s">
        <v>23</v>
      </c>
    </row>
    <row r="21" spans="1:5" x14ac:dyDescent="0.25">
      <c r="A21" t="s">
        <v>329</v>
      </c>
      <c r="B21" t="s">
        <v>8</v>
      </c>
      <c r="C21" t="s">
        <v>155</v>
      </c>
      <c r="D21" t="s">
        <v>33</v>
      </c>
      <c r="E21" t="s">
        <v>23</v>
      </c>
    </row>
    <row r="22" spans="1:5" x14ac:dyDescent="0.25">
      <c r="A22" t="s">
        <v>330</v>
      </c>
      <c r="B22" t="s">
        <v>8</v>
      </c>
      <c r="C22" t="s">
        <v>155</v>
      </c>
      <c r="D22" t="s">
        <v>62</v>
      </c>
      <c r="E22" t="s">
        <v>23</v>
      </c>
    </row>
    <row r="23" spans="1:5" x14ac:dyDescent="0.25">
      <c r="A23" t="s">
        <v>331</v>
      </c>
      <c r="B23" t="s">
        <v>8</v>
      </c>
      <c r="C23" t="s">
        <v>155</v>
      </c>
      <c r="D23" t="s">
        <v>256</v>
      </c>
      <c r="E23" t="s">
        <v>23</v>
      </c>
    </row>
    <row r="24" spans="1:5" x14ac:dyDescent="0.25">
      <c r="A24" t="s">
        <v>332</v>
      </c>
      <c r="B24" t="s">
        <v>8</v>
      </c>
      <c r="C24" t="s">
        <v>155</v>
      </c>
      <c r="D24" t="s">
        <v>63</v>
      </c>
      <c r="E24" t="s">
        <v>23</v>
      </c>
    </row>
    <row r="25" spans="1:5" x14ac:dyDescent="0.25">
      <c r="A25" t="s">
        <v>379</v>
      </c>
      <c r="B25" t="s">
        <v>8</v>
      </c>
      <c r="C25" t="s">
        <v>155</v>
      </c>
      <c r="D25" t="s">
        <v>159</v>
      </c>
      <c r="E25" t="s">
        <v>23</v>
      </c>
    </row>
    <row r="26" spans="1:5" x14ac:dyDescent="0.25">
      <c r="A26" t="s">
        <v>380</v>
      </c>
      <c r="B26" t="s">
        <v>8</v>
      </c>
      <c r="C26" t="s">
        <v>155</v>
      </c>
      <c r="D26" t="s">
        <v>160</v>
      </c>
      <c r="E26" t="s">
        <v>23</v>
      </c>
    </row>
    <row r="27" spans="1:5" x14ac:dyDescent="0.25">
      <c r="A27" t="s">
        <v>323</v>
      </c>
      <c r="B27" t="s">
        <v>8</v>
      </c>
      <c r="C27" t="s">
        <v>155</v>
      </c>
      <c r="D27" t="s">
        <v>167</v>
      </c>
      <c r="E27" t="s">
        <v>7</v>
      </c>
    </row>
    <row r="28" spans="1:5" x14ac:dyDescent="0.25">
      <c r="A28" t="s">
        <v>326</v>
      </c>
      <c r="B28" t="s">
        <v>8</v>
      </c>
      <c r="C28" t="s">
        <v>155</v>
      </c>
      <c r="D28" t="s">
        <v>260</v>
      </c>
      <c r="E28" t="s">
        <v>7</v>
      </c>
    </row>
    <row r="29" spans="1:5" x14ac:dyDescent="0.25">
      <c r="A29" t="s">
        <v>324</v>
      </c>
      <c r="B29" t="s">
        <v>8</v>
      </c>
      <c r="C29" t="s">
        <v>155</v>
      </c>
      <c r="D29" t="s">
        <v>190</v>
      </c>
      <c r="E29" t="s">
        <v>7</v>
      </c>
    </row>
    <row r="30" spans="1:5" x14ac:dyDescent="0.25">
      <c r="A30" t="s">
        <v>521</v>
      </c>
      <c r="B30" t="s">
        <v>8</v>
      </c>
      <c r="C30" t="s">
        <v>155</v>
      </c>
      <c r="D30" t="s">
        <v>228</v>
      </c>
      <c r="E30" t="s">
        <v>7</v>
      </c>
    </row>
    <row r="31" spans="1:5" x14ac:dyDescent="0.25">
      <c r="A31" t="s">
        <v>522</v>
      </c>
      <c r="B31" t="s">
        <v>8</v>
      </c>
      <c r="C31" t="s">
        <v>155</v>
      </c>
      <c r="D31" t="s">
        <v>227</v>
      </c>
      <c r="E31" t="s">
        <v>7</v>
      </c>
    </row>
    <row r="32" spans="1:5" x14ac:dyDescent="0.25">
      <c r="A32" t="s">
        <v>399</v>
      </c>
      <c r="B32" t="s">
        <v>8</v>
      </c>
      <c r="C32" t="s">
        <v>155</v>
      </c>
      <c r="D32" t="s">
        <v>64</v>
      </c>
      <c r="E32" t="s">
        <v>19</v>
      </c>
    </row>
    <row r="33" spans="1:5" x14ac:dyDescent="0.25">
      <c r="A33" t="s">
        <v>400</v>
      </c>
      <c r="B33" t="s">
        <v>8</v>
      </c>
      <c r="C33" t="s">
        <v>155</v>
      </c>
      <c r="D33" t="s">
        <v>65</v>
      </c>
      <c r="E33" t="s">
        <v>7</v>
      </c>
    </row>
    <row r="34" spans="1:5" x14ac:dyDescent="0.25">
      <c r="A34" t="s">
        <v>401</v>
      </c>
      <c r="B34" t="s">
        <v>8</v>
      </c>
      <c r="C34" t="s">
        <v>155</v>
      </c>
      <c r="D34" t="s">
        <v>264</v>
      </c>
      <c r="E34" t="s">
        <v>7</v>
      </c>
    </row>
    <row r="35" spans="1:5" x14ac:dyDescent="0.25">
      <c r="A35" t="s">
        <v>402</v>
      </c>
      <c r="B35" t="s">
        <v>8</v>
      </c>
      <c r="C35" t="s">
        <v>155</v>
      </c>
      <c r="D35" t="s">
        <v>66</v>
      </c>
      <c r="E35" t="s">
        <v>7</v>
      </c>
    </row>
    <row r="36" spans="1:5" x14ac:dyDescent="0.25">
      <c r="A36" t="s">
        <v>403</v>
      </c>
      <c r="B36" t="s">
        <v>8</v>
      </c>
      <c r="C36" t="s">
        <v>155</v>
      </c>
      <c r="D36" t="s">
        <v>67</v>
      </c>
      <c r="E36" t="s">
        <v>7</v>
      </c>
    </row>
    <row r="37" spans="1:5" x14ac:dyDescent="0.25">
      <c r="A37" t="s">
        <v>406</v>
      </c>
      <c r="B37" t="s">
        <v>8</v>
      </c>
      <c r="C37" t="s">
        <v>155</v>
      </c>
      <c r="D37" t="s">
        <v>36</v>
      </c>
      <c r="E37" t="s">
        <v>7</v>
      </c>
    </row>
    <row r="38" spans="1:5" ht="18" thickBot="1" x14ac:dyDescent="0.4">
      <c r="A38" s="45"/>
      <c r="B38" s="45"/>
      <c r="C38" s="45"/>
      <c r="D38" s="45"/>
      <c r="E38" s="45"/>
    </row>
    <row r="39" spans="1:5" ht="18.600000000000001" thickTop="1" thickBot="1" x14ac:dyDescent="0.4">
      <c r="A39" s="45" t="s">
        <v>648</v>
      </c>
      <c r="B39" s="45"/>
      <c r="C39" s="45"/>
      <c r="D39" s="45"/>
      <c r="E39" s="45"/>
    </row>
    <row r="40" spans="1:5" ht="13.8" thickTop="1" x14ac:dyDescent="0.25">
      <c r="A40" t="s">
        <v>381</v>
      </c>
      <c r="B40" t="s">
        <v>8</v>
      </c>
      <c r="C40" t="s">
        <v>155</v>
      </c>
      <c r="D40" t="s">
        <v>161</v>
      </c>
      <c r="E40" t="s">
        <v>7</v>
      </c>
    </row>
    <row r="41" spans="1:5" x14ac:dyDescent="0.25">
      <c r="A41" t="s">
        <v>383</v>
      </c>
      <c r="B41" t="s">
        <v>8</v>
      </c>
      <c r="C41" t="s">
        <v>155</v>
      </c>
      <c r="D41" t="s">
        <v>162</v>
      </c>
      <c r="E41" t="s">
        <v>7</v>
      </c>
    </row>
    <row r="42" spans="1:5" x14ac:dyDescent="0.25">
      <c r="A42" t="s">
        <v>384</v>
      </c>
      <c r="B42" t="s">
        <v>8</v>
      </c>
      <c r="C42" t="s">
        <v>155</v>
      </c>
      <c r="D42" t="s">
        <v>257</v>
      </c>
      <c r="E42" t="s">
        <v>7</v>
      </c>
    </row>
    <row r="43" spans="1:5" x14ac:dyDescent="0.25">
      <c r="A43" t="s">
        <v>385</v>
      </c>
      <c r="B43" t="s">
        <v>8</v>
      </c>
      <c r="C43" t="s">
        <v>155</v>
      </c>
      <c r="D43" t="s">
        <v>258</v>
      </c>
      <c r="E43" t="s">
        <v>7</v>
      </c>
    </row>
    <row r="44" spans="1:5" x14ac:dyDescent="0.25">
      <c r="A44" t="s">
        <v>382</v>
      </c>
      <c r="B44" t="s">
        <v>8</v>
      </c>
      <c r="C44" t="s">
        <v>155</v>
      </c>
      <c r="D44" t="s">
        <v>163</v>
      </c>
      <c r="E44" t="s">
        <v>7</v>
      </c>
    </row>
    <row r="45" spans="1:5" x14ac:dyDescent="0.25">
      <c r="A45" t="s">
        <v>386</v>
      </c>
      <c r="B45" t="s">
        <v>8</v>
      </c>
      <c r="C45" t="s">
        <v>155</v>
      </c>
      <c r="D45" t="s">
        <v>164</v>
      </c>
      <c r="E45" t="s">
        <v>7</v>
      </c>
    </row>
    <row r="46" spans="1:5" x14ac:dyDescent="0.25">
      <c r="A46" t="s">
        <v>321</v>
      </c>
      <c r="B46" t="s">
        <v>8</v>
      </c>
      <c r="C46" t="s">
        <v>155</v>
      </c>
      <c r="D46" t="s">
        <v>165</v>
      </c>
      <c r="E46" t="s">
        <v>7</v>
      </c>
    </row>
    <row r="47" spans="1:5" x14ac:dyDescent="0.25">
      <c r="A47" t="s">
        <v>325</v>
      </c>
      <c r="B47" t="s">
        <v>8</v>
      </c>
      <c r="C47" t="s">
        <v>155</v>
      </c>
      <c r="D47" t="s">
        <v>259</v>
      </c>
      <c r="E47" t="s">
        <v>7</v>
      </c>
    </row>
    <row r="48" spans="1:5" x14ac:dyDescent="0.25">
      <c r="A48" t="s">
        <v>322</v>
      </c>
      <c r="B48" t="s">
        <v>8</v>
      </c>
      <c r="C48" t="s">
        <v>155</v>
      </c>
      <c r="D48" t="s">
        <v>166</v>
      </c>
      <c r="E48" t="s">
        <v>7</v>
      </c>
    </row>
    <row r="49" spans="1:5" ht="18" thickBot="1" x14ac:dyDescent="0.4">
      <c r="A49" s="45"/>
      <c r="B49" s="45"/>
      <c r="C49" s="45"/>
      <c r="D49" s="45"/>
      <c r="E49" s="45"/>
    </row>
    <row r="50" spans="1:5" ht="18.600000000000001" thickTop="1" thickBot="1" x14ac:dyDescent="0.4">
      <c r="A50" s="45" t="s">
        <v>649</v>
      </c>
      <c r="B50" s="45"/>
      <c r="C50" s="45"/>
      <c r="D50" s="45"/>
      <c r="E50" s="45"/>
    </row>
    <row r="51" spans="1:5" ht="13.8" thickTop="1" x14ac:dyDescent="0.25">
      <c r="A51" t="s">
        <v>415</v>
      </c>
      <c r="B51" t="s">
        <v>8</v>
      </c>
      <c r="C51" t="s">
        <v>155</v>
      </c>
      <c r="D51" t="s">
        <v>37</v>
      </c>
      <c r="E51" t="s">
        <v>7</v>
      </c>
    </row>
    <row r="52" spans="1:5" x14ac:dyDescent="0.25">
      <c r="A52" t="s">
        <v>341</v>
      </c>
      <c r="B52" t="s">
        <v>8</v>
      </c>
      <c r="C52" t="s">
        <v>155</v>
      </c>
      <c r="D52" t="s">
        <v>38</v>
      </c>
      <c r="E52" t="s">
        <v>19</v>
      </c>
    </row>
    <row r="53" spans="1:5" ht="18" thickBot="1" x14ac:dyDescent="0.4">
      <c r="A53" s="45"/>
      <c r="B53" s="45"/>
      <c r="C53" s="45"/>
      <c r="D53" s="45"/>
      <c r="E53" s="45"/>
    </row>
    <row r="54" spans="1:5" ht="18.600000000000001" thickTop="1" thickBot="1" x14ac:dyDescent="0.4">
      <c r="A54" s="45" t="s">
        <v>650</v>
      </c>
      <c r="B54" s="45"/>
      <c r="C54" s="45"/>
      <c r="D54" s="45"/>
      <c r="E54" s="45"/>
    </row>
    <row r="55" spans="1:5" ht="13.8" thickTop="1" x14ac:dyDescent="0.25">
      <c r="A55" t="s">
        <v>416</v>
      </c>
      <c r="B55" t="s">
        <v>8</v>
      </c>
      <c r="C55" t="s">
        <v>155</v>
      </c>
      <c r="D55" t="s">
        <v>89</v>
      </c>
      <c r="E55" t="s">
        <v>217</v>
      </c>
    </row>
    <row r="56" spans="1:5" x14ac:dyDescent="0.25">
      <c r="A56" t="s">
        <v>417</v>
      </c>
      <c r="B56" t="s">
        <v>8</v>
      </c>
      <c r="C56" t="s">
        <v>155</v>
      </c>
      <c r="D56" t="s">
        <v>91</v>
      </c>
      <c r="E56" t="s">
        <v>23</v>
      </c>
    </row>
    <row r="57" spans="1:5" x14ac:dyDescent="0.25">
      <c r="A57" t="s">
        <v>418</v>
      </c>
      <c r="B57" t="s">
        <v>8</v>
      </c>
      <c r="C57" t="s">
        <v>155</v>
      </c>
      <c r="D57" t="s">
        <v>90</v>
      </c>
      <c r="E57" t="s">
        <v>23</v>
      </c>
    </row>
    <row r="58" spans="1:5" x14ac:dyDescent="0.25">
      <c r="A58" t="s">
        <v>419</v>
      </c>
      <c r="B58" t="s">
        <v>8</v>
      </c>
      <c r="C58" t="s">
        <v>155</v>
      </c>
      <c r="D58" t="s">
        <v>92</v>
      </c>
      <c r="E58" t="s">
        <v>19</v>
      </c>
    </row>
    <row r="59" spans="1:5" x14ac:dyDescent="0.25">
      <c r="A59" t="s">
        <v>420</v>
      </c>
      <c r="B59" t="s">
        <v>8</v>
      </c>
      <c r="C59" t="s">
        <v>155</v>
      </c>
      <c r="D59" t="s">
        <v>93</v>
      </c>
      <c r="E59" t="s">
        <v>23</v>
      </c>
    </row>
    <row r="60" spans="1:5" x14ac:dyDescent="0.25">
      <c r="A60" t="s">
        <v>423</v>
      </c>
      <c r="B60" t="s">
        <v>8</v>
      </c>
      <c r="C60" t="s">
        <v>155</v>
      </c>
      <c r="D60" t="s">
        <v>94</v>
      </c>
      <c r="E60" t="s">
        <v>7</v>
      </c>
    </row>
    <row r="61" spans="1:5" x14ac:dyDescent="0.25">
      <c r="A61" t="s">
        <v>422</v>
      </c>
      <c r="B61" t="s">
        <v>8</v>
      </c>
      <c r="C61" t="s">
        <v>155</v>
      </c>
      <c r="D61" t="s">
        <v>95</v>
      </c>
      <c r="E61" t="s">
        <v>7</v>
      </c>
    </row>
    <row r="62" spans="1:5" x14ac:dyDescent="0.25">
      <c r="A62" t="s">
        <v>425</v>
      </c>
      <c r="B62" t="s">
        <v>8</v>
      </c>
      <c r="C62" t="s">
        <v>155</v>
      </c>
      <c r="D62" t="s">
        <v>96</v>
      </c>
      <c r="E62" t="s">
        <v>7</v>
      </c>
    </row>
    <row r="63" spans="1:5" x14ac:dyDescent="0.25">
      <c r="A63" t="s">
        <v>426</v>
      </c>
      <c r="B63" t="s">
        <v>8</v>
      </c>
      <c r="C63" t="s">
        <v>155</v>
      </c>
      <c r="D63" t="s">
        <v>98</v>
      </c>
      <c r="E63" t="s">
        <v>7</v>
      </c>
    </row>
    <row r="64" spans="1:5" x14ac:dyDescent="0.25">
      <c r="A64" t="s">
        <v>428</v>
      </c>
      <c r="B64" t="s">
        <v>8</v>
      </c>
      <c r="C64" t="s">
        <v>155</v>
      </c>
      <c r="D64" t="s">
        <v>97</v>
      </c>
      <c r="E64" t="s">
        <v>19</v>
      </c>
    </row>
    <row r="65" spans="1:5" ht="18" thickBot="1" x14ac:dyDescent="0.4">
      <c r="A65" s="45"/>
      <c r="B65" s="45"/>
      <c r="C65" s="45"/>
      <c r="D65" s="45"/>
      <c r="E65" s="45"/>
    </row>
    <row r="66" spans="1:5" ht="18.600000000000001" thickTop="1" thickBot="1" x14ac:dyDescent="0.4">
      <c r="A66" s="45" t="s">
        <v>651</v>
      </c>
      <c r="B66" s="45"/>
      <c r="C66" s="45"/>
      <c r="D66" s="45"/>
      <c r="E66" s="45"/>
    </row>
    <row r="67" spans="1:5" ht="13.8" thickTop="1" x14ac:dyDescent="0.25">
      <c r="A67" t="s">
        <v>345</v>
      </c>
      <c r="B67" t="s">
        <v>8</v>
      </c>
      <c r="C67" t="s">
        <v>155</v>
      </c>
      <c r="D67" t="s">
        <v>168</v>
      </c>
      <c r="E67" t="s">
        <v>7</v>
      </c>
    </row>
    <row r="68" spans="1:5" x14ac:dyDescent="0.25">
      <c r="A68" t="s">
        <v>346</v>
      </c>
      <c r="B68" t="s">
        <v>8</v>
      </c>
      <c r="C68" t="s">
        <v>155</v>
      </c>
      <c r="D68" t="s">
        <v>169</v>
      </c>
      <c r="E68" t="s">
        <v>7</v>
      </c>
    </row>
    <row r="69" spans="1:5" x14ac:dyDescent="0.25">
      <c r="A69" t="s">
        <v>347</v>
      </c>
      <c r="B69" t="s">
        <v>8</v>
      </c>
      <c r="C69" t="s">
        <v>155</v>
      </c>
      <c r="D69" t="s">
        <v>170</v>
      </c>
      <c r="E69" t="s">
        <v>7</v>
      </c>
    </row>
    <row r="70" spans="1:5" x14ac:dyDescent="0.25">
      <c r="A70" t="s">
        <v>348</v>
      </c>
      <c r="B70" t="s">
        <v>8</v>
      </c>
      <c r="C70" t="s">
        <v>155</v>
      </c>
      <c r="D70" t="s">
        <v>171</v>
      </c>
      <c r="E70" t="s">
        <v>7</v>
      </c>
    </row>
    <row r="71" spans="1:5" x14ac:dyDescent="0.25">
      <c r="A71" t="s">
        <v>349</v>
      </c>
      <c r="B71" t="s">
        <v>8</v>
      </c>
      <c r="C71" t="s">
        <v>155</v>
      </c>
      <c r="D71" t="s">
        <v>172</v>
      </c>
      <c r="E71" t="s">
        <v>7</v>
      </c>
    </row>
    <row r="72" spans="1:5" x14ac:dyDescent="0.25">
      <c r="A72" t="s">
        <v>350</v>
      </c>
      <c r="B72" t="s">
        <v>8</v>
      </c>
      <c r="C72" t="s">
        <v>155</v>
      </c>
      <c r="D72" t="s">
        <v>173</v>
      </c>
      <c r="E72" t="s">
        <v>7</v>
      </c>
    </row>
    <row r="73" spans="1:5" x14ac:dyDescent="0.25">
      <c r="A73" t="s">
        <v>429</v>
      </c>
      <c r="B73" t="s">
        <v>8</v>
      </c>
      <c r="C73" t="s">
        <v>155</v>
      </c>
      <c r="D73" t="s">
        <v>174</v>
      </c>
      <c r="E73" t="s">
        <v>7</v>
      </c>
    </row>
    <row r="74" spans="1:5" x14ac:dyDescent="0.25">
      <c r="A74" t="s">
        <v>430</v>
      </c>
      <c r="B74" t="s">
        <v>8</v>
      </c>
      <c r="C74" t="s">
        <v>155</v>
      </c>
      <c r="D74" t="s">
        <v>175</v>
      </c>
      <c r="E74" t="s">
        <v>7</v>
      </c>
    </row>
    <row r="75" spans="1:5" ht="18" thickBot="1" x14ac:dyDescent="0.4">
      <c r="A75" s="45"/>
      <c r="B75" s="45"/>
      <c r="C75" s="45"/>
      <c r="D75" s="45"/>
      <c r="E75" s="45"/>
    </row>
    <row r="76" spans="1:5" ht="18.600000000000001" thickTop="1" thickBot="1" x14ac:dyDescent="0.4">
      <c r="A76" s="45" t="s">
        <v>652</v>
      </c>
      <c r="B76" s="45"/>
      <c r="C76" s="45"/>
      <c r="D76" s="45"/>
      <c r="E76" s="45"/>
    </row>
    <row r="77" spans="1:5" ht="13.8" thickTop="1" x14ac:dyDescent="0.25">
      <c r="A77" t="s">
        <v>431</v>
      </c>
      <c r="B77" t="s">
        <v>8</v>
      </c>
      <c r="C77" t="s">
        <v>155</v>
      </c>
      <c r="D77" t="s">
        <v>110</v>
      </c>
      <c r="E77" t="s">
        <v>19</v>
      </c>
    </row>
    <row r="78" spans="1:5" ht="18" thickBot="1" x14ac:dyDescent="0.4">
      <c r="A78" s="45"/>
      <c r="B78" s="45"/>
      <c r="C78" s="45"/>
      <c r="D78" s="45"/>
      <c r="E78" s="45"/>
    </row>
    <row r="79" spans="1:5" ht="18.600000000000001" thickTop="1" thickBot="1" x14ac:dyDescent="0.4">
      <c r="A79" s="45" t="s">
        <v>653</v>
      </c>
      <c r="B79" s="45"/>
      <c r="C79" s="45"/>
      <c r="D79" s="45"/>
      <c r="E79" s="45"/>
    </row>
    <row r="80" spans="1:5" ht="13.8" thickTop="1" x14ac:dyDescent="0.25">
      <c r="A80" t="s">
        <v>432</v>
      </c>
      <c r="B80" t="s">
        <v>8</v>
      </c>
      <c r="C80" t="s">
        <v>155</v>
      </c>
      <c r="D80" t="s">
        <v>176</v>
      </c>
      <c r="E80" t="s">
        <v>7</v>
      </c>
    </row>
    <row r="81" spans="1:5" x14ac:dyDescent="0.25">
      <c r="A81" t="s">
        <v>433</v>
      </c>
      <c r="B81" t="s">
        <v>8</v>
      </c>
      <c r="C81" t="s">
        <v>155</v>
      </c>
      <c r="D81" t="s">
        <v>177</v>
      </c>
      <c r="E81" t="s">
        <v>7</v>
      </c>
    </row>
    <row r="82" spans="1:5" x14ac:dyDescent="0.25">
      <c r="A82" t="s">
        <v>434</v>
      </c>
      <c r="B82" t="s">
        <v>8</v>
      </c>
      <c r="C82" t="s">
        <v>155</v>
      </c>
      <c r="D82" t="s">
        <v>178</v>
      </c>
      <c r="E82" t="s">
        <v>7</v>
      </c>
    </row>
    <row r="83" spans="1:5" x14ac:dyDescent="0.25">
      <c r="A83" t="s">
        <v>435</v>
      </c>
      <c r="B83" t="s">
        <v>8</v>
      </c>
      <c r="C83" t="s">
        <v>155</v>
      </c>
      <c r="D83" t="s">
        <v>180</v>
      </c>
      <c r="E83" t="s">
        <v>7</v>
      </c>
    </row>
    <row r="84" spans="1:5" x14ac:dyDescent="0.25">
      <c r="A84" t="s">
        <v>436</v>
      </c>
      <c r="B84" t="s">
        <v>8</v>
      </c>
      <c r="C84" t="s">
        <v>155</v>
      </c>
      <c r="D84" t="s">
        <v>181</v>
      </c>
      <c r="E84" t="s">
        <v>7</v>
      </c>
    </row>
    <row r="85" spans="1:5" x14ac:dyDescent="0.25">
      <c r="A85" t="s">
        <v>437</v>
      </c>
      <c r="B85" t="s">
        <v>8</v>
      </c>
      <c r="C85" t="s">
        <v>155</v>
      </c>
      <c r="D85" t="s">
        <v>182</v>
      </c>
      <c r="E85" t="s">
        <v>7</v>
      </c>
    </row>
    <row r="86" spans="1:5" ht="18" thickBot="1" x14ac:dyDescent="0.4">
      <c r="A86" s="45"/>
      <c r="B86" s="45"/>
      <c r="C86" s="45"/>
      <c r="D86" s="45"/>
      <c r="E86" s="45"/>
    </row>
    <row r="87" spans="1:5" ht="18.600000000000001" thickTop="1" thickBot="1" x14ac:dyDescent="0.4">
      <c r="A87" s="45" t="s">
        <v>654</v>
      </c>
      <c r="B87" s="45"/>
      <c r="C87" s="45"/>
      <c r="D87" s="45"/>
      <c r="E87" s="45"/>
    </row>
    <row r="88" spans="1:5" ht="13.8" thickTop="1" x14ac:dyDescent="0.25">
      <c r="A88" t="s">
        <v>440</v>
      </c>
      <c r="B88" t="s">
        <v>8</v>
      </c>
      <c r="C88" t="s">
        <v>155</v>
      </c>
      <c r="D88" t="s">
        <v>183</v>
      </c>
      <c r="E88" t="s">
        <v>7</v>
      </c>
    </row>
    <row r="89" spans="1:5" x14ac:dyDescent="0.25">
      <c r="A89" t="s">
        <v>441</v>
      </c>
      <c r="B89" t="s">
        <v>8</v>
      </c>
      <c r="C89" t="s">
        <v>155</v>
      </c>
      <c r="D89" t="s">
        <v>184</v>
      </c>
      <c r="E89" t="s">
        <v>7</v>
      </c>
    </row>
    <row r="90" spans="1:5" x14ac:dyDescent="0.25">
      <c r="A90" t="s">
        <v>442</v>
      </c>
      <c r="B90" t="s">
        <v>8</v>
      </c>
      <c r="C90" t="s">
        <v>155</v>
      </c>
      <c r="D90" t="s">
        <v>185</v>
      </c>
      <c r="E90" t="s">
        <v>7</v>
      </c>
    </row>
    <row r="91" spans="1:5" ht="18" thickBot="1" x14ac:dyDescent="0.4">
      <c r="A91" s="45"/>
      <c r="B91" s="45"/>
      <c r="C91" s="45"/>
      <c r="D91" s="45"/>
      <c r="E91" s="45"/>
    </row>
    <row r="92" spans="1:5" ht="18.600000000000001" thickTop="1" thickBot="1" x14ac:dyDescent="0.4">
      <c r="A92" s="45" t="s">
        <v>655</v>
      </c>
      <c r="B92" s="45"/>
      <c r="C92" s="45"/>
      <c r="D92" s="45"/>
      <c r="E92" s="45"/>
    </row>
    <row r="93" spans="1:5" ht="13.8" thickTop="1" x14ac:dyDescent="0.25">
      <c r="A93" t="s">
        <v>333</v>
      </c>
      <c r="B93" t="s">
        <v>277</v>
      </c>
      <c r="C93" t="s">
        <v>155</v>
      </c>
      <c r="D93" t="s">
        <v>22</v>
      </c>
      <c r="E93" t="s">
        <v>23</v>
      </c>
    </row>
    <row r="94" spans="1:5" ht="18" thickBot="1" x14ac:dyDescent="0.4">
      <c r="A94" s="45"/>
      <c r="B94" s="45"/>
      <c r="C94" s="45"/>
      <c r="D94" s="45"/>
      <c r="E94" s="45"/>
    </row>
    <row r="95" spans="1:5" ht="18.600000000000001" thickTop="1" thickBot="1" x14ac:dyDescent="0.4">
      <c r="A95" s="45" t="s">
        <v>656</v>
      </c>
      <c r="B95" s="45"/>
      <c r="C95" s="45"/>
      <c r="D95" s="45"/>
      <c r="E95" s="45"/>
    </row>
    <row r="96" spans="1:5" ht="13.8" thickTop="1" x14ac:dyDescent="0.25">
      <c r="A96" t="s">
        <v>617</v>
      </c>
      <c r="B96" t="s">
        <v>280</v>
      </c>
      <c r="C96" t="s">
        <v>28</v>
      </c>
      <c r="D96" t="s">
        <v>113</v>
      </c>
      <c r="E96" t="s">
        <v>23</v>
      </c>
    </row>
    <row r="97" spans="1:5" x14ac:dyDescent="0.25">
      <c r="A97" t="s">
        <v>618</v>
      </c>
      <c r="B97" t="s">
        <v>280</v>
      </c>
      <c r="C97" t="s">
        <v>28</v>
      </c>
      <c r="D97" t="s">
        <v>114</v>
      </c>
      <c r="E97" t="s">
        <v>23</v>
      </c>
    </row>
    <row r="98" spans="1:5" x14ac:dyDescent="0.25">
      <c r="A98" t="s">
        <v>619</v>
      </c>
      <c r="B98" t="s">
        <v>280</v>
      </c>
      <c r="C98" t="s">
        <v>28</v>
      </c>
      <c r="D98" t="s">
        <v>243</v>
      </c>
      <c r="E98" t="s">
        <v>23</v>
      </c>
    </row>
    <row r="99" spans="1:5" x14ac:dyDescent="0.25">
      <c r="A99" t="s">
        <v>620</v>
      </c>
      <c r="B99" t="s">
        <v>280</v>
      </c>
      <c r="C99" t="s">
        <v>28</v>
      </c>
      <c r="D99" t="s">
        <v>244</v>
      </c>
      <c r="E99" t="s">
        <v>23</v>
      </c>
    </row>
    <row r="100" spans="1:5" x14ac:dyDescent="0.25">
      <c r="A100" t="s">
        <v>621</v>
      </c>
      <c r="B100" t="s">
        <v>280</v>
      </c>
      <c r="C100" t="s">
        <v>28</v>
      </c>
      <c r="D100" t="s">
        <v>115</v>
      </c>
      <c r="E100" t="s">
        <v>23</v>
      </c>
    </row>
    <row r="101" spans="1:5" x14ac:dyDescent="0.25">
      <c r="A101" t="s">
        <v>622</v>
      </c>
      <c r="B101" t="s">
        <v>280</v>
      </c>
      <c r="C101" t="s">
        <v>28</v>
      </c>
      <c r="D101" t="s">
        <v>116</v>
      </c>
      <c r="E101" t="s">
        <v>23</v>
      </c>
    </row>
    <row r="102" spans="1:5" x14ac:dyDescent="0.25">
      <c r="A102" t="s">
        <v>623</v>
      </c>
      <c r="B102" t="s">
        <v>280</v>
      </c>
      <c r="C102" t="s">
        <v>28</v>
      </c>
      <c r="D102" t="s">
        <v>117</v>
      </c>
      <c r="E102" t="s">
        <v>23</v>
      </c>
    </row>
    <row r="103" spans="1:5" x14ac:dyDescent="0.25">
      <c r="A103" t="s">
        <v>624</v>
      </c>
      <c r="B103" t="s">
        <v>280</v>
      </c>
      <c r="C103" t="s">
        <v>28</v>
      </c>
      <c r="D103" t="s">
        <v>118</v>
      </c>
      <c r="E103" t="s">
        <v>23</v>
      </c>
    </row>
    <row r="104" spans="1:5" x14ac:dyDescent="0.25">
      <c r="A104" t="s">
        <v>625</v>
      </c>
      <c r="B104" t="s">
        <v>280</v>
      </c>
      <c r="C104" t="s">
        <v>28</v>
      </c>
      <c r="D104" t="s">
        <v>222</v>
      </c>
      <c r="E104" t="s">
        <v>23</v>
      </c>
    </row>
    <row r="105" spans="1:5" x14ac:dyDescent="0.25">
      <c r="A105" t="s">
        <v>626</v>
      </c>
      <c r="B105" t="s">
        <v>280</v>
      </c>
      <c r="C105" t="s">
        <v>28</v>
      </c>
      <c r="D105" t="s">
        <v>223</v>
      </c>
      <c r="E105" t="s">
        <v>23</v>
      </c>
    </row>
    <row r="106" spans="1:5" x14ac:dyDescent="0.25">
      <c r="A106" t="s">
        <v>627</v>
      </c>
      <c r="B106" t="s">
        <v>280</v>
      </c>
      <c r="C106" t="s">
        <v>28</v>
      </c>
      <c r="D106" t="s">
        <v>119</v>
      </c>
      <c r="E106" t="s">
        <v>23</v>
      </c>
    </row>
    <row r="107" spans="1:5" x14ac:dyDescent="0.25">
      <c r="A107" t="s">
        <v>628</v>
      </c>
      <c r="B107" t="s">
        <v>280</v>
      </c>
      <c r="C107" t="s">
        <v>28</v>
      </c>
      <c r="D107" t="s">
        <v>120</v>
      </c>
      <c r="E107" t="s">
        <v>23</v>
      </c>
    </row>
    <row r="108" spans="1:5" x14ac:dyDescent="0.25">
      <c r="A108" t="s">
        <v>629</v>
      </c>
      <c r="B108" t="s">
        <v>280</v>
      </c>
      <c r="C108" t="s">
        <v>28</v>
      </c>
      <c r="D108" t="s">
        <v>186</v>
      </c>
      <c r="E108" t="s">
        <v>23</v>
      </c>
    </row>
    <row r="109" spans="1:5" x14ac:dyDescent="0.25">
      <c r="A109" t="s">
        <v>630</v>
      </c>
      <c r="B109" t="s">
        <v>280</v>
      </c>
      <c r="C109" t="s">
        <v>28</v>
      </c>
      <c r="D109" t="s">
        <v>187</v>
      </c>
      <c r="E109" t="s">
        <v>23</v>
      </c>
    </row>
    <row r="110" spans="1:5" x14ac:dyDescent="0.25">
      <c r="A110" t="s">
        <v>631</v>
      </c>
      <c r="B110" t="s">
        <v>280</v>
      </c>
      <c r="C110" t="s">
        <v>28</v>
      </c>
      <c r="D110" t="s">
        <v>188</v>
      </c>
      <c r="E110" t="s">
        <v>23</v>
      </c>
    </row>
    <row r="111" spans="1:5" x14ac:dyDescent="0.25">
      <c r="A111" t="s">
        <v>632</v>
      </c>
      <c r="B111" t="s">
        <v>280</v>
      </c>
      <c r="C111" t="s">
        <v>28</v>
      </c>
      <c r="D111" t="s">
        <v>189</v>
      </c>
      <c r="E111" t="s">
        <v>23</v>
      </c>
    </row>
    <row r="112" spans="1:5" x14ac:dyDescent="0.25">
      <c r="A112" t="s">
        <v>633</v>
      </c>
      <c r="B112" t="s">
        <v>280</v>
      </c>
      <c r="C112" t="s">
        <v>28</v>
      </c>
      <c r="D112" t="s">
        <v>121</v>
      </c>
      <c r="E112" t="s">
        <v>23</v>
      </c>
    </row>
    <row r="113" spans="1:5" x14ac:dyDescent="0.25">
      <c r="A113" t="s">
        <v>634</v>
      </c>
      <c r="B113" t="s">
        <v>280</v>
      </c>
      <c r="C113" t="s">
        <v>28</v>
      </c>
      <c r="D113" t="s">
        <v>122</v>
      </c>
      <c r="E113" t="s">
        <v>23</v>
      </c>
    </row>
    <row r="114" spans="1:5" ht="18" thickBot="1" x14ac:dyDescent="0.4">
      <c r="A114" s="45"/>
      <c r="B114" s="45"/>
      <c r="C114" s="45"/>
      <c r="D114" s="45"/>
      <c r="E114" s="45"/>
    </row>
    <row r="115" spans="1:5" ht="18.600000000000001" thickTop="1" thickBot="1" x14ac:dyDescent="0.4">
      <c r="A115" s="45" t="s">
        <v>657</v>
      </c>
      <c r="B115" s="45"/>
      <c r="C115" s="45"/>
      <c r="D115" s="45"/>
      <c r="E115" s="45"/>
    </row>
    <row r="116" spans="1:5" ht="13.8" thickTop="1" x14ac:dyDescent="0.25">
      <c r="A116" t="s">
        <v>483</v>
      </c>
      <c r="B116" t="s">
        <v>8</v>
      </c>
      <c r="C116" t="s">
        <v>155</v>
      </c>
      <c r="D116" t="s">
        <v>70</v>
      </c>
      <c r="E116" t="s">
        <v>7</v>
      </c>
    </row>
    <row r="117" spans="1:5" x14ac:dyDescent="0.25">
      <c r="A117" t="s">
        <v>554</v>
      </c>
      <c r="B117" t="s">
        <v>8</v>
      </c>
      <c r="C117" t="s">
        <v>155</v>
      </c>
      <c r="D117" t="s">
        <v>642</v>
      </c>
      <c r="E117" t="s">
        <v>19</v>
      </c>
    </row>
    <row r="118" spans="1:5" x14ac:dyDescent="0.25">
      <c r="A118" t="s">
        <v>553</v>
      </c>
      <c r="B118" t="s">
        <v>8</v>
      </c>
      <c r="C118" t="s">
        <v>155</v>
      </c>
      <c r="D118" t="s">
        <v>643</v>
      </c>
      <c r="E118" t="s">
        <v>19</v>
      </c>
    </row>
    <row r="119" spans="1:5" x14ac:dyDescent="0.25">
      <c r="A119" t="s">
        <v>552</v>
      </c>
      <c r="B119" t="s">
        <v>8</v>
      </c>
      <c r="C119" t="s">
        <v>155</v>
      </c>
      <c r="D119" t="s">
        <v>641</v>
      </c>
      <c r="E119" t="s">
        <v>19</v>
      </c>
    </row>
    <row r="120" spans="1:5" x14ac:dyDescent="0.25">
      <c r="A120" t="s">
        <v>360</v>
      </c>
      <c r="B120" t="s">
        <v>8</v>
      </c>
      <c r="C120" t="s">
        <v>155</v>
      </c>
      <c r="D120" t="s">
        <v>34</v>
      </c>
      <c r="E120" t="s">
        <v>19</v>
      </c>
    </row>
    <row r="121" spans="1:5" x14ac:dyDescent="0.25">
      <c r="A121" t="s">
        <v>361</v>
      </c>
      <c r="B121" t="s">
        <v>8</v>
      </c>
      <c r="C121" t="s">
        <v>155</v>
      </c>
      <c r="D121" t="s">
        <v>267</v>
      </c>
      <c r="E121" t="s">
        <v>19</v>
      </c>
    </row>
    <row r="122" spans="1:5" x14ac:dyDescent="0.25">
      <c r="A122" t="s">
        <v>362</v>
      </c>
      <c r="B122" t="s">
        <v>8</v>
      </c>
      <c r="C122" t="s">
        <v>155</v>
      </c>
      <c r="D122" t="s">
        <v>35</v>
      </c>
      <c r="E122" t="s">
        <v>19</v>
      </c>
    </row>
    <row r="124" spans="1:5" ht="18" thickBot="1" x14ac:dyDescent="0.4">
      <c r="A124" s="45" t="s">
        <v>658</v>
      </c>
      <c r="B124" s="45"/>
      <c r="C124" s="45"/>
      <c r="D124" s="45"/>
      <c r="E124" s="45"/>
    </row>
    <row r="125" spans="1:5" ht="13.8" thickTop="1" x14ac:dyDescent="0.25">
      <c r="A125" t="s">
        <v>469</v>
      </c>
      <c r="B125" t="s">
        <v>280</v>
      </c>
      <c r="C125" t="s">
        <v>28</v>
      </c>
      <c r="D125" t="s">
        <v>133</v>
      </c>
      <c r="E125" t="s">
        <v>7</v>
      </c>
    </row>
    <row r="126" spans="1:5" x14ac:dyDescent="0.25">
      <c r="A126" t="s">
        <v>470</v>
      </c>
      <c r="B126" t="s">
        <v>280</v>
      </c>
      <c r="C126" t="s">
        <v>28</v>
      </c>
      <c r="D126" t="s">
        <v>179</v>
      </c>
      <c r="E126" t="s">
        <v>7</v>
      </c>
    </row>
    <row r="127" spans="1:5" x14ac:dyDescent="0.25">
      <c r="A127" t="s">
        <v>471</v>
      </c>
      <c r="B127" t="s">
        <v>280</v>
      </c>
      <c r="C127" t="s">
        <v>28</v>
      </c>
      <c r="D127" t="s">
        <v>550</v>
      </c>
      <c r="E127" t="s">
        <v>7</v>
      </c>
    </row>
    <row r="129" spans="1:5" ht="18" thickBot="1" x14ac:dyDescent="0.4">
      <c r="A129" s="45" t="s">
        <v>659</v>
      </c>
      <c r="B129" s="45"/>
      <c r="C129" s="45"/>
      <c r="D129" s="45"/>
      <c r="E129" s="45"/>
    </row>
    <row r="130" spans="1:5" ht="13.8" thickTop="1" x14ac:dyDescent="0.25">
      <c r="A130" t="s">
        <v>472</v>
      </c>
      <c r="B130" t="s">
        <v>280</v>
      </c>
      <c r="C130" t="s">
        <v>28</v>
      </c>
      <c r="D130" t="s">
        <v>156</v>
      </c>
      <c r="E130" t="s">
        <v>7</v>
      </c>
    </row>
    <row r="131" spans="1:5" x14ac:dyDescent="0.25">
      <c r="A131" t="s">
        <v>473</v>
      </c>
      <c r="B131" t="s">
        <v>280</v>
      </c>
      <c r="C131" t="s">
        <v>28</v>
      </c>
      <c r="D131" t="s">
        <v>157</v>
      </c>
      <c r="E131" t="s">
        <v>7</v>
      </c>
    </row>
    <row r="133" spans="1:5" ht="18" thickBot="1" x14ac:dyDescent="0.4">
      <c r="A133" s="45" t="s">
        <v>660</v>
      </c>
      <c r="B133" s="45"/>
      <c r="C133" s="45"/>
      <c r="D133" s="45"/>
      <c r="E133" s="45"/>
    </row>
    <row r="134" spans="1:5" ht="13.8" thickTop="1" x14ac:dyDescent="0.25">
      <c r="A134" t="s">
        <v>504</v>
      </c>
      <c r="B134" t="s">
        <v>277</v>
      </c>
      <c r="C134" t="s">
        <v>155</v>
      </c>
      <c r="D134" t="s">
        <v>72</v>
      </c>
      <c r="E134" t="s">
        <v>23</v>
      </c>
    </row>
    <row r="135" spans="1:5" x14ac:dyDescent="0.25">
      <c r="A135" t="s">
        <v>512</v>
      </c>
      <c r="B135" t="s">
        <v>277</v>
      </c>
      <c r="C135" t="s">
        <v>155</v>
      </c>
      <c r="D135" t="s">
        <v>73</v>
      </c>
      <c r="E135" t="s">
        <v>23</v>
      </c>
    </row>
    <row r="136" spans="1:5" x14ac:dyDescent="0.25">
      <c r="A136" t="s">
        <v>363</v>
      </c>
      <c r="B136" t="s">
        <v>8</v>
      </c>
      <c r="C136" t="s">
        <v>155</v>
      </c>
      <c r="D136" t="s">
        <v>74</v>
      </c>
      <c r="E136" t="s">
        <v>218</v>
      </c>
    </row>
    <row r="137" spans="1:5" x14ac:dyDescent="0.25">
      <c r="A137" t="s">
        <v>489</v>
      </c>
      <c r="B137" t="s">
        <v>8</v>
      </c>
      <c r="C137" t="s">
        <v>155</v>
      </c>
      <c r="D137" t="s">
        <v>76</v>
      </c>
      <c r="E137" t="s">
        <v>218</v>
      </c>
    </row>
    <row r="138" spans="1:5" x14ac:dyDescent="0.25">
      <c r="A138" t="s">
        <v>507</v>
      </c>
      <c r="B138" t="s">
        <v>277</v>
      </c>
      <c r="C138" t="s">
        <v>155</v>
      </c>
      <c r="D138" t="s">
        <v>75</v>
      </c>
      <c r="E138" t="s">
        <v>23</v>
      </c>
    </row>
    <row r="139" spans="1:5" x14ac:dyDescent="0.25">
      <c r="A139" t="s">
        <v>513</v>
      </c>
      <c r="B139" t="s">
        <v>277</v>
      </c>
      <c r="C139" t="s">
        <v>155</v>
      </c>
      <c r="D139" t="s">
        <v>730</v>
      </c>
      <c r="E139" t="s">
        <v>23</v>
      </c>
    </row>
    <row r="141" spans="1:5" ht="18" thickBot="1" x14ac:dyDescent="0.4">
      <c r="A141" s="45" t="s">
        <v>661</v>
      </c>
      <c r="B141" s="45"/>
      <c r="C141" s="45"/>
      <c r="D141" s="45"/>
      <c r="E141" s="45"/>
    </row>
    <row r="142" spans="1:5" ht="13.8" thickTop="1" x14ac:dyDescent="0.25">
      <c r="A142" t="s">
        <v>514</v>
      </c>
      <c r="B142" t="s">
        <v>277</v>
      </c>
      <c r="C142" t="s">
        <v>155</v>
      </c>
      <c r="D142" t="s">
        <v>137</v>
      </c>
      <c r="E142" t="s">
        <v>23</v>
      </c>
    </row>
    <row r="143" spans="1:5" x14ac:dyDescent="0.25">
      <c r="A143" t="s">
        <v>515</v>
      </c>
      <c r="B143" t="s">
        <v>280</v>
      </c>
      <c r="C143" t="s">
        <v>28</v>
      </c>
      <c r="D143" t="s">
        <v>138</v>
      </c>
      <c r="E143" t="s">
        <v>7</v>
      </c>
    </row>
    <row r="144" spans="1:5" x14ac:dyDescent="0.25">
      <c r="A144" t="s">
        <v>518</v>
      </c>
      <c r="B144" t="s">
        <v>8</v>
      </c>
      <c r="C144" t="s">
        <v>155</v>
      </c>
      <c r="D144" t="s">
        <v>142</v>
      </c>
      <c r="E144" t="s">
        <v>7</v>
      </c>
    </row>
  </sheetData>
  <mergeCells count="1">
    <mergeCell ref="A1: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9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61" t="s">
        <v>296</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668</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330</v>
      </c>
      <c r="B19" t="s">
        <v>8</v>
      </c>
      <c r="C19" t="s">
        <v>155</v>
      </c>
      <c r="D19" t="s">
        <v>62</v>
      </c>
      <c r="E19" t="s">
        <v>23</v>
      </c>
    </row>
    <row r="20" spans="1:5" x14ac:dyDescent="0.25">
      <c r="A20" t="s">
        <v>331</v>
      </c>
      <c r="B20" t="s">
        <v>8</v>
      </c>
      <c r="C20" t="s">
        <v>155</v>
      </c>
      <c r="D20" t="s">
        <v>256</v>
      </c>
      <c r="E20" t="s">
        <v>23</v>
      </c>
    </row>
    <row r="21" spans="1:5" x14ac:dyDescent="0.25">
      <c r="A21" t="s">
        <v>332</v>
      </c>
      <c r="B21" t="s">
        <v>8</v>
      </c>
      <c r="C21" t="s">
        <v>155</v>
      </c>
      <c r="D21" t="s">
        <v>63</v>
      </c>
      <c r="E21" t="s">
        <v>23</v>
      </c>
    </row>
    <row r="22" spans="1:5" x14ac:dyDescent="0.25">
      <c r="A22" t="s">
        <v>379</v>
      </c>
      <c r="B22" t="s">
        <v>8</v>
      </c>
      <c r="C22" t="s">
        <v>155</v>
      </c>
      <c r="D22" t="s">
        <v>159</v>
      </c>
      <c r="E22" t="s">
        <v>23</v>
      </c>
    </row>
    <row r="23" spans="1:5" x14ac:dyDescent="0.25">
      <c r="A23" t="s">
        <v>380</v>
      </c>
      <c r="B23" t="s">
        <v>8</v>
      </c>
      <c r="C23" t="s">
        <v>155</v>
      </c>
      <c r="D23" t="s">
        <v>160</v>
      </c>
      <c r="E23" t="s">
        <v>23</v>
      </c>
    </row>
    <row r="24" spans="1:5" x14ac:dyDescent="0.25">
      <c r="A24" t="s">
        <v>323</v>
      </c>
      <c r="B24" t="s">
        <v>8</v>
      </c>
      <c r="C24" t="s">
        <v>155</v>
      </c>
      <c r="D24" t="s">
        <v>167</v>
      </c>
      <c r="E24" t="s">
        <v>7</v>
      </c>
    </row>
    <row r="25" spans="1:5" x14ac:dyDescent="0.25">
      <c r="A25" t="s">
        <v>326</v>
      </c>
      <c r="B25" t="s">
        <v>8</v>
      </c>
      <c r="C25" t="s">
        <v>155</v>
      </c>
      <c r="D25" t="s">
        <v>260</v>
      </c>
      <c r="E25" t="s">
        <v>7</v>
      </c>
    </row>
    <row r="26" spans="1:5" x14ac:dyDescent="0.25">
      <c r="A26" t="s">
        <v>324</v>
      </c>
      <c r="B26" t="s">
        <v>8</v>
      </c>
      <c r="C26" t="s">
        <v>155</v>
      </c>
      <c r="D26" t="s">
        <v>190</v>
      </c>
      <c r="E26" t="s">
        <v>7</v>
      </c>
    </row>
    <row r="27" spans="1:5" x14ac:dyDescent="0.25">
      <c r="A27" t="s">
        <v>387</v>
      </c>
      <c r="B27" t="s">
        <v>8</v>
      </c>
      <c r="C27" t="s">
        <v>155</v>
      </c>
      <c r="D27" t="s">
        <v>646</v>
      </c>
      <c r="E27" t="s">
        <v>7</v>
      </c>
    </row>
    <row r="28" spans="1:5" x14ac:dyDescent="0.25">
      <c r="A28" t="s">
        <v>388</v>
      </c>
      <c r="B28" t="s">
        <v>8</v>
      </c>
      <c r="C28" t="s">
        <v>155</v>
      </c>
      <c r="D28" t="s">
        <v>266</v>
      </c>
      <c r="E28" t="s">
        <v>7</v>
      </c>
    </row>
    <row r="29" spans="1:5" x14ac:dyDescent="0.25">
      <c r="A29" t="s">
        <v>389</v>
      </c>
      <c r="B29" t="s">
        <v>8</v>
      </c>
      <c r="C29" t="s">
        <v>155</v>
      </c>
      <c r="D29" t="s">
        <v>191</v>
      </c>
      <c r="E29" t="s">
        <v>7</v>
      </c>
    </row>
    <row r="30" spans="1:5" x14ac:dyDescent="0.25">
      <c r="A30" t="s">
        <v>390</v>
      </c>
      <c r="B30" t="s">
        <v>8</v>
      </c>
      <c r="C30" t="s">
        <v>155</v>
      </c>
      <c r="D30" t="s">
        <v>192</v>
      </c>
      <c r="E30" t="s">
        <v>7</v>
      </c>
    </row>
    <row r="31" spans="1:5" x14ac:dyDescent="0.25">
      <c r="A31" t="s">
        <v>391</v>
      </c>
      <c r="B31" t="s">
        <v>8</v>
      </c>
      <c r="C31" t="s">
        <v>155</v>
      </c>
      <c r="D31" t="s">
        <v>261</v>
      </c>
      <c r="E31" t="s">
        <v>7</v>
      </c>
    </row>
    <row r="32" spans="1:5" x14ac:dyDescent="0.25">
      <c r="A32" t="s">
        <v>392</v>
      </c>
      <c r="B32" t="s">
        <v>8</v>
      </c>
      <c r="C32" t="s">
        <v>155</v>
      </c>
      <c r="D32" t="s">
        <v>268</v>
      </c>
      <c r="E32" t="s">
        <v>7</v>
      </c>
    </row>
    <row r="33" spans="1:5" x14ac:dyDescent="0.25">
      <c r="A33" t="s">
        <v>398</v>
      </c>
      <c r="B33" t="s">
        <v>8</v>
      </c>
      <c r="C33" t="s">
        <v>155</v>
      </c>
      <c r="D33" t="s">
        <v>645</v>
      </c>
      <c r="E33" t="s">
        <v>7</v>
      </c>
    </row>
    <row r="34" spans="1:5" x14ac:dyDescent="0.25">
      <c r="A34" t="s">
        <v>393</v>
      </c>
      <c r="B34" t="s">
        <v>8</v>
      </c>
      <c r="C34" t="s">
        <v>155</v>
      </c>
      <c r="D34" t="s">
        <v>262</v>
      </c>
      <c r="E34" t="s">
        <v>7</v>
      </c>
    </row>
    <row r="35" spans="1:5" x14ac:dyDescent="0.25">
      <c r="A35" t="s">
        <v>394</v>
      </c>
      <c r="B35" t="s">
        <v>8</v>
      </c>
      <c r="C35" t="s">
        <v>155</v>
      </c>
      <c r="D35" t="s">
        <v>29</v>
      </c>
      <c r="E35" t="s">
        <v>7</v>
      </c>
    </row>
    <row r="36" spans="1:5" x14ac:dyDescent="0.25">
      <c r="A36" t="s">
        <v>395</v>
      </c>
      <c r="B36" t="s">
        <v>8</v>
      </c>
      <c r="C36" t="s">
        <v>155</v>
      </c>
      <c r="D36" t="s">
        <v>30</v>
      </c>
      <c r="E36" t="s">
        <v>7</v>
      </c>
    </row>
    <row r="37" spans="1:5" x14ac:dyDescent="0.25">
      <c r="A37" t="s">
        <v>396</v>
      </c>
      <c r="B37" t="s">
        <v>8</v>
      </c>
      <c r="C37" t="s">
        <v>155</v>
      </c>
      <c r="D37" t="s">
        <v>263</v>
      </c>
      <c r="E37" t="s">
        <v>7</v>
      </c>
    </row>
    <row r="38" spans="1:5" x14ac:dyDescent="0.25">
      <c r="A38" t="s">
        <v>397</v>
      </c>
      <c r="B38" t="s">
        <v>8</v>
      </c>
      <c r="C38" t="s">
        <v>155</v>
      </c>
      <c r="D38" t="s">
        <v>31</v>
      </c>
      <c r="E38" t="s">
        <v>7</v>
      </c>
    </row>
    <row r="39" spans="1:5" x14ac:dyDescent="0.25">
      <c r="A39" t="s">
        <v>399</v>
      </c>
      <c r="B39" t="s">
        <v>8</v>
      </c>
      <c r="C39" t="s">
        <v>155</v>
      </c>
      <c r="D39" t="s">
        <v>64</v>
      </c>
      <c r="E39" t="s">
        <v>19</v>
      </c>
    </row>
    <row r="40" spans="1:5" x14ac:dyDescent="0.25">
      <c r="A40" t="s">
        <v>400</v>
      </c>
      <c r="B40" t="s">
        <v>8</v>
      </c>
      <c r="C40" t="s">
        <v>155</v>
      </c>
      <c r="D40" t="s">
        <v>65</v>
      </c>
      <c r="E40" t="s">
        <v>7</v>
      </c>
    </row>
    <row r="41" spans="1:5" x14ac:dyDescent="0.25">
      <c r="A41" t="s">
        <v>401</v>
      </c>
      <c r="B41" t="s">
        <v>8</v>
      </c>
      <c r="C41" t="s">
        <v>155</v>
      </c>
      <c r="D41" t="s">
        <v>264</v>
      </c>
      <c r="E41" t="s">
        <v>7</v>
      </c>
    </row>
    <row r="42" spans="1:5" x14ac:dyDescent="0.25">
      <c r="A42" t="s">
        <v>402</v>
      </c>
      <c r="B42" t="s">
        <v>8</v>
      </c>
      <c r="C42" t="s">
        <v>155</v>
      </c>
      <c r="D42" t="s">
        <v>66</v>
      </c>
      <c r="E42" t="s">
        <v>7</v>
      </c>
    </row>
    <row r="43" spans="1:5" x14ac:dyDescent="0.25">
      <c r="A43" t="s">
        <v>403</v>
      </c>
      <c r="B43" t="s">
        <v>8</v>
      </c>
      <c r="C43" t="s">
        <v>155</v>
      </c>
      <c r="D43" t="s">
        <v>67</v>
      </c>
      <c r="E43" t="s">
        <v>7</v>
      </c>
    </row>
    <row r="44" spans="1:5" x14ac:dyDescent="0.25">
      <c r="A44" t="s">
        <v>405</v>
      </c>
      <c r="B44" t="s">
        <v>8</v>
      </c>
      <c r="C44" t="s">
        <v>155</v>
      </c>
      <c r="D44" t="s">
        <v>265</v>
      </c>
      <c r="E44" t="s">
        <v>7</v>
      </c>
    </row>
    <row r="45" spans="1:5" x14ac:dyDescent="0.25">
      <c r="A45" t="s">
        <v>404</v>
      </c>
      <c r="B45" t="s">
        <v>8</v>
      </c>
      <c r="C45" t="s">
        <v>155</v>
      </c>
      <c r="D45" t="s">
        <v>68</v>
      </c>
      <c r="E45" t="s">
        <v>7</v>
      </c>
    </row>
    <row r="46" spans="1:5" x14ac:dyDescent="0.25">
      <c r="A46" t="s">
        <v>406</v>
      </c>
      <c r="B46" t="s">
        <v>8</v>
      </c>
      <c r="C46" t="s">
        <v>155</v>
      </c>
      <c r="D46" t="s">
        <v>36</v>
      </c>
      <c r="E46" t="s">
        <v>7</v>
      </c>
    </row>
    <row r="48" spans="1:5" ht="18" thickBot="1" x14ac:dyDescent="0.4">
      <c r="A48" s="45" t="s">
        <v>683</v>
      </c>
      <c r="B48" s="45"/>
      <c r="C48" s="45"/>
      <c r="D48" s="45"/>
      <c r="E48" s="45"/>
    </row>
    <row r="49" spans="1:5" ht="13.8" thickTop="1" x14ac:dyDescent="0.25">
      <c r="A49" t="s">
        <v>311</v>
      </c>
      <c r="B49" t="s">
        <v>8</v>
      </c>
      <c r="C49" t="s">
        <v>155</v>
      </c>
      <c r="D49" t="s">
        <v>59</v>
      </c>
      <c r="E49" t="s">
        <v>19</v>
      </c>
    </row>
    <row r="50" spans="1:5" x14ac:dyDescent="0.25">
      <c r="A50" t="s">
        <v>312</v>
      </c>
      <c r="B50" t="s">
        <v>8</v>
      </c>
      <c r="C50" t="s">
        <v>155</v>
      </c>
      <c r="D50" t="s">
        <v>251</v>
      </c>
      <c r="E50" t="s">
        <v>19</v>
      </c>
    </row>
    <row r="51" spans="1:5" x14ac:dyDescent="0.25">
      <c r="A51" t="s">
        <v>313</v>
      </c>
      <c r="B51" t="s">
        <v>8</v>
      </c>
      <c r="C51" t="s">
        <v>155</v>
      </c>
      <c r="D51" t="s">
        <v>60</v>
      </c>
      <c r="E51" t="s">
        <v>19</v>
      </c>
    </row>
    <row r="52" spans="1:5" x14ac:dyDescent="0.25">
      <c r="A52" t="s">
        <v>314</v>
      </c>
      <c r="B52" t="s">
        <v>8</v>
      </c>
      <c r="C52" t="s">
        <v>155</v>
      </c>
      <c r="D52" t="s">
        <v>61</v>
      </c>
      <c r="E52" t="s">
        <v>19</v>
      </c>
    </row>
    <row r="53" spans="1:5" x14ac:dyDescent="0.25">
      <c r="A53" t="s">
        <v>315</v>
      </c>
      <c r="B53" t="s">
        <v>8</v>
      </c>
      <c r="C53" t="s">
        <v>155</v>
      </c>
      <c r="D53" t="s">
        <v>252</v>
      </c>
      <c r="E53" t="s">
        <v>19</v>
      </c>
    </row>
    <row r="54" spans="1:5" x14ac:dyDescent="0.25">
      <c r="A54" t="s">
        <v>327</v>
      </c>
      <c r="B54" t="s">
        <v>8</v>
      </c>
      <c r="C54" t="s">
        <v>155</v>
      </c>
      <c r="D54" t="s">
        <v>32</v>
      </c>
      <c r="E54" t="s">
        <v>23</v>
      </c>
    </row>
    <row r="55" spans="1:5" x14ac:dyDescent="0.25">
      <c r="A55" t="s">
        <v>328</v>
      </c>
      <c r="B55" t="s">
        <v>8</v>
      </c>
      <c r="C55" t="s">
        <v>155</v>
      </c>
      <c r="D55" t="s">
        <v>255</v>
      </c>
      <c r="E55" t="s">
        <v>23</v>
      </c>
    </row>
    <row r="56" spans="1:5" x14ac:dyDescent="0.25">
      <c r="A56" t="s">
        <v>329</v>
      </c>
      <c r="B56" t="s">
        <v>8</v>
      </c>
      <c r="C56" t="s">
        <v>155</v>
      </c>
      <c r="D56" t="s">
        <v>33</v>
      </c>
      <c r="E56" t="s">
        <v>23</v>
      </c>
    </row>
    <row r="57" spans="1:5" x14ac:dyDescent="0.25">
      <c r="A57" t="s">
        <v>379</v>
      </c>
      <c r="B57" t="s">
        <v>8</v>
      </c>
      <c r="C57" t="s">
        <v>155</v>
      </c>
      <c r="D57" t="s">
        <v>159</v>
      </c>
      <c r="E57" t="s">
        <v>23</v>
      </c>
    </row>
    <row r="58" spans="1:5" x14ac:dyDescent="0.25">
      <c r="A58" t="s">
        <v>380</v>
      </c>
      <c r="B58" t="s">
        <v>8</v>
      </c>
      <c r="C58" t="s">
        <v>155</v>
      </c>
      <c r="D58" t="s">
        <v>160</v>
      </c>
      <c r="E58" t="s">
        <v>23</v>
      </c>
    </row>
    <row r="59" spans="1:5" x14ac:dyDescent="0.25">
      <c r="A59" t="s">
        <v>323</v>
      </c>
      <c r="B59" t="s">
        <v>8</v>
      </c>
      <c r="C59" t="s">
        <v>155</v>
      </c>
      <c r="D59" t="s">
        <v>167</v>
      </c>
      <c r="E59" t="s">
        <v>7</v>
      </c>
    </row>
    <row r="60" spans="1:5" x14ac:dyDescent="0.25">
      <c r="A60" t="s">
        <v>326</v>
      </c>
      <c r="B60" t="s">
        <v>8</v>
      </c>
      <c r="C60" t="s">
        <v>155</v>
      </c>
      <c r="D60" t="s">
        <v>260</v>
      </c>
      <c r="E60" t="s">
        <v>7</v>
      </c>
    </row>
    <row r="61" spans="1:5" x14ac:dyDescent="0.25">
      <c r="A61" t="s">
        <v>324</v>
      </c>
      <c r="B61" t="s">
        <v>8</v>
      </c>
      <c r="C61" t="s">
        <v>155</v>
      </c>
      <c r="D61" t="s">
        <v>190</v>
      </c>
      <c r="E61" t="s">
        <v>7</v>
      </c>
    </row>
    <row r="62" spans="1:5" x14ac:dyDescent="0.25">
      <c r="A62" t="s">
        <v>387</v>
      </c>
      <c r="B62" t="s">
        <v>8</v>
      </c>
      <c r="C62" t="s">
        <v>155</v>
      </c>
      <c r="D62" t="s">
        <v>646</v>
      </c>
      <c r="E62" t="s">
        <v>7</v>
      </c>
    </row>
    <row r="63" spans="1:5" x14ac:dyDescent="0.25">
      <c r="A63" t="s">
        <v>388</v>
      </c>
      <c r="B63" t="s">
        <v>8</v>
      </c>
      <c r="C63" t="s">
        <v>155</v>
      </c>
      <c r="D63" t="s">
        <v>266</v>
      </c>
      <c r="E63" t="s">
        <v>7</v>
      </c>
    </row>
    <row r="64" spans="1:5" x14ac:dyDescent="0.25">
      <c r="A64" t="s">
        <v>389</v>
      </c>
      <c r="B64" t="s">
        <v>8</v>
      </c>
      <c r="C64" t="s">
        <v>155</v>
      </c>
      <c r="D64" t="s">
        <v>191</v>
      </c>
      <c r="E64" t="s">
        <v>7</v>
      </c>
    </row>
    <row r="65" spans="1:5" x14ac:dyDescent="0.25">
      <c r="A65" t="s">
        <v>390</v>
      </c>
      <c r="B65" t="s">
        <v>8</v>
      </c>
      <c r="C65" t="s">
        <v>155</v>
      </c>
      <c r="D65" t="s">
        <v>192</v>
      </c>
      <c r="E65" t="s">
        <v>7</v>
      </c>
    </row>
    <row r="66" spans="1:5" x14ac:dyDescent="0.25">
      <c r="A66" t="s">
        <v>391</v>
      </c>
      <c r="B66" t="s">
        <v>8</v>
      </c>
      <c r="C66" t="s">
        <v>155</v>
      </c>
      <c r="D66" t="s">
        <v>261</v>
      </c>
      <c r="E66" t="s">
        <v>7</v>
      </c>
    </row>
    <row r="67" spans="1:5" x14ac:dyDescent="0.25">
      <c r="A67" t="s">
        <v>392</v>
      </c>
      <c r="B67" t="s">
        <v>8</v>
      </c>
      <c r="C67" t="s">
        <v>155</v>
      </c>
      <c r="D67" t="s">
        <v>268</v>
      </c>
      <c r="E67" t="s">
        <v>7</v>
      </c>
    </row>
    <row r="68" spans="1:5" x14ac:dyDescent="0.25">
      <c r="A68" t="s">
        <v>398</v>
      </c>
      <c r="B68" t="s">
        <v>8</v>
      </c>
      <c r="C68" t="s">
        <v>155</v>
      </c>
      <c r="D68" t="s">
        <v>645</v>
      </c>
      <c r="E68" t="s">
        <v>7</v>
      </c>
    </row>
    <row r="69" spans="1:5" x14ac:dyDescent="0.25">
      <c r="A69" t="s">
        <v>393</v>
      </c>
      <c r="B69" t="s">
        <v>8</v>
      </c>
      <c r="C69" t="s">
        <v>155</v>
      </c>
      <c r="D69" t="s">
        <v>262</v>
      </c>
      <c r="E69" t="s">
        <v>7</v>
      </c>
    </row>
    <row r="70" spans="1:5" x14ac:dyDescent="0.25">
      <c r="A70" t="s">
        <v>394</v>
      </c>
      <c r="B70" t="s">
        <v>8</v>
      </c>
      <c r="C70" t="s">
        <v>155</v>
      </c>
      <c r="D70" t="s">
        <v>29</v>
      </c>
      <c r="E70" t="s">
        <v>7</v>
      </c>
    </row>
    <row r="71" spans="1:5" x14ac:dyDescent="0.25">
      <c r="A71" t="s">
        <v>395</v>
      </c>
      <c r="B71" t="s">
        <v>8</v>
      </c>
      <c r="C71" t="s">
        <v>155</v>
      </c>
      <c r="D71" t="s">
        <v>30</v>
      </c>
      <c r="E71" t="s">
        <v>7</v>
      </c>
    </row>
    <row r="72" spans="1:5" x14ac:dyDescent="0.25">
      <c r="A72" t="s">
        <v>396</v>
      </c>
      <c r="B72" t="s">
        <v>8</v>
      </c>
      <c r="C72" t="s">
        <v>155</v>
      </c>
      <c r="D72" t="s">
        <v>263</v>
      </c>
      <c r="E72" t="s">
        <v>7</v>
      </c>
    </row>
    <row r="73" spans="1:5" x14ac:dyDescent="0.25">
      <c r="A73" t="s">
        <v>397</v>
      </c>
      <c r="B73" t="s">
        <v>8</v>
      </c>
      <c r="C73" t="s">
        <v>155</v>
      </c>
      <c r="D73" t="s">
        <v>31</v>
      </c>
      <c r="E73" t="s">
        <v>7</v>
      </c>
    </row>
    <row r="74" spans="1:5" x14ac:dyDescent="0.25">
      <c r="A74" t="s">
        <v>399</v>
      </c>
      <c r="B74" t="s">
        <v>8</v>
      </c>
      <c r="C74" t="s">
        <v>155</v>
      </c>
      <c r="D74" t="s">
        <v>64</v>
      </c>
      <c r="E74" t="s">
        <v>19</v>
      </c>
    </row>
    <row r="75" spans="1:5" x14ac:dyDescent="0.25">
      <c r="A75" t="s">
        <v>400</v>
      </c>
      <c r="B75" t="s">
        <v>8</v>
      </c>
      <c r="C75" t="s">
        <v>155</v>
      </c>
      <c r="D75" t="s">
        <v>65</v>
      </c>
      <c r="E75" t="s">
        <v>7</v>
      </c>
    </row>
    <row r="76" spans="1:5" x14ac:dyDescent="0.25">
      <c r="A76" t="s">
        <v>401</v>
      </c>
      <c r="B76" t="s">
        <v>8</v>
      </c>
      <c r="C76" t="s">
        <v>155</v>
      </c>
      <c r="D76" t="s">
        <v>264</v>
      </c>
      <c r="E76" t="s">
        <v>7</v>
      </c>
    </row>
    <row r="77" spans="1:5" x14ac:dyDescent="0.25">
      <c r="A77" t="s">
        <v>402</v>
      </c>
      <c r="B77" t="s">
        <v>8</v>
      </c>
      <c r="C77" t="s">
        <v>155</v>
      </c>
      <c r="D77" t="s">
        <v>66</v>
      </c>
      <c r="E77" t="s">
        <v>7</v>
      </c>
    </row>
    <row r="78" spans="1:5" x14ac:dyDescent="0.25">
      <c r="A78" t="s">
        <v>403</v>
      </c>
      <c r="B78" t="s">
        <v>8</v>
      </c>
      <c r="C78" t="s">
        <v>155</v>
      </c>
      <c r="D78" t="s">
        <v>67</v>
      </c>
      <c r="E78" t="s">
        <v>7</v>
      </c>
    </row>
    <row r="79" spans="1:5" x14ac:dyDescent="0.25">
      <c r="A79" t="s">
        <v>405</v>
      </c>
      <c r="B79" t="s">
        <v>8</v>
      </c>
      <c r="C79" t="s">
        <v>155</v>
      </c>
      <c r="D79" t="s">
        <v>265</v>
      </c>
      <c r="E79" t="s">
        <v>7</v>
      </c>
    </row>
    <row r="80" spans="1:5" x14ac:dyDescent="0.25">
      <c r="A80" t="s">
        <v>404</v>
      </c>
      <c r="B80" t="s">
        <v>8</v>
      </c>
      <c r="C80" t="s">
        <v>155</v>
      </c>
      <c r="D80" t="s">
        <v>68</v>
      </c>
      <c r="E80" t="s">
        <v>7</v>
      </c>
    </row>
    <row r="81" spans="1:5" x14ac:dyDescent="0.25">
      <c r="A81" t="s">
        <v>406</v>
      </c>
      <c r="B81" t="s">
        <v>8</v>
      </c>
      <c r="C81" t="s">
        <v>155</v>
      </c>
      <c r="D81" t="s">
        <v>36</v>
      </c>
      <c r="E81" t="s">
        <v>7</v>
      </c>
    </row>
    <row r="83" spans="1:5" ht="18" thickBot="1" x14ac:dyDescent="0.4">
      <c r="A83" s="45" t="s">
        <v>718</v>
      </c>
      <c r="B83" s="45"/>
      <c r="C83" s="45"/>
      <c r="D83" s="45"/>
      <c r="E83" s="45"/>
    </row>
    <row r="84" spans="1:5" ht="13.8" thickTop="1" x14ac:dyDescent="0.25">
      <c r="A84" t="s">
        <v>316</v>
      </c>
      <c r="B84" t="s">
        <v>8</v>
      </c>
      <c r="C84" t="s">
        <v>155</v>
      </c>
      <c r="D84" t="s">
        <v>224</v>
      </c>
      <c r="E84" t="s">
        <v>19</v>
      </c>
    </row>
    <row r="85" spans="1:5" x14ac:dyDescent="0.25">
      <c r="A85" t="s">
        <v>317</v>
      </c>
      <c r="B85" t="s">
        <v>8</v>
      </c>
      <c r="C85" t="s">
        <v>155</v>
      </c>
      <c r="D85" t="s">
        <v>253</v>
      </c>
      <c r="E85" t="s">
        <v>19</v>
      </c>
    </row>
    <row r="86" spans="1:5" x14ac:dyDescent="0.25">
      <c r="A86" t="s">
        <v>318</v>
      </c>
      <c r="B86" t="s">
        <v>8</v>
      </c>
      <c r="C86" t="s">
        <v>155</v>
      </c>
      <c r="D86" t="s">
        <v>225</v>
      </c>
      <c r="E86" t="s">
        <v>19</v>
      </c>
    </row>
    <row r="87" spans="1:5" x14ac:dyDescent="0.25">
      <c r="A87" t="s">
        <v>319</v>
      </c>
      <c r="B87" t="s">
        <v>8</v>
      </c>
      <c r="C87" t="s">
        <v>155</v>
      </c>
      <c r="D87" t="s">
        <v>226</v>
      </c>
      <c r="E87" t="s">
        <v>19</v>
      </c>
    </row>
    <row r="88" spans="1:5" x14ac:dyDescent="0.25">
      <c r="A88" t="s">
        <v>320</v>
      </c>
      <c r="B88" t="s">
        <v>8</v>
      </c>
      <c r="C88" t="s">
        <v>155</v>
      </c>
      <c r="D88" t="s">
        <v>254</v>
      </c>
      <c r="E88" t="s">
        <v>19</v>
      </c>
    </row>
    <row r="90" spans="1:5" ht="18" thickBot="1" x14ac:dyDescent="0.4">
      <c r="A90" s="45" t="s">
        <v>684</v>
      </c>
      <c r="B90" s="45"/>
      <c r="C90" s="45"/>
      <c r="D90" s="45"/>
      <c r="E90" s="45"/>
    </row>
    <row r="91" spans="1:5" ht="13.8" thickTop="1" x14ac:dyDescent="0.25">
      <c r="A91" t="s">
        <v>336</v>
      </c>
      <c r="B91" t="s">
        <v>8</v>
      </c>
      <c r="C91" t="s">
        <v>155</v>
      </c>
      <c r="D91" t="s">
        <v>9</v>
      </c>
      <c r="E91" t="s">
        <v>7</v>
      </c>
    </row>
    <row r="92" spans="1:5" x14ac:dyDescent="0.25">
      <c r="A92" t="s">
        <v>408</v>
      </c>
      <c r="B92" t="s">
        <v>8</v>
      </c>
      <c r="C92" t="s">
        <v>155</v>
      </c>
      <c r="D92" t="s">
        <v>12</v>
      </c>
      <c r="E92" t="s">
        <v>7</v>
      </c>
    </row>
    <row r="93" spans="1:5" x14ac:dyDescent="0.25">
      <c r="A93" t="s">
        <v>407</v>
      </c>
      <c r="B93" t="s">
        <v>8</v>
      </c>
      <c r="C93" t="s">
        <v>155</v>
      </c>
      <c r="D93" t="s">
        <v>11</v>
      </c>
      <c r="E93" t="s">
        <v>7</v>
      </c>
    </row>
    <row r="94" spans="1:5" x14ac:dyDescent="0.25">
      <c r="A94" t="s">
        <v>409</v>
      </c>
      <c r="B94" t="s">
        <v>8</v>
      </c>
      <c r="C94" t="s">
        <v>155</v>
      </c>
      <c r="D94" t="s">
        <v>242</v>
      </c>
      <c r="E94" t="s">
        <v>7</v>
      </c>
    </row>
    <row r="95" spans="1:5" x14ac:dyDescent="0.25">
      <c r="A95" t="s">
        <v>410</v>
      </c>
      <c r="B95" t="s">
        <v>8</v>
      </c>
      <c r="C95" t="s">
        <v>155</v>
      </c>
      <c r="D95" t="s">
        <v>229</v>
      </c>
      <c r="E95" t="s">
        <v>7</v>
      </c>
    </row>
    <row r="96" spans="1:5" x14ac:dyDescent="0.25">
      <c r="A96" t="s">
        <v>411</v>
      </c>
      <c r="B96" t="s">
        <v>8</v>
      </c>
      <c r="C96" t="s">
        <v>155</v>
      </c>
      <c r="D96" t="s">
        <v>644</v>
      </c>
      <c r="E96" t="s">
        <v>7</v>
      </c>
    </row>
    <row r="97" spans="1:5" x14ac:dyDescent="0.25">
      <c r="A97" t="s">
        <v>412</v>
      </c>
      <c r="B97" t="s">
        <v>8</v>
      </c>
      <c r="C97" t="s">
        <v>155</v>
      </c>
      <c r="D97" t="s">
        <v>21</v>
      </c>
      <c r="E97" t="s">
        <v>7</v>
      </c>
    </row>
    <row r="98" spans="1:5" x14ac:dyDescent="0.25">
      <c r="A98" t="s">
        <v>337</v>
      </c>
      <c r="B98" t="s">
        <v>8</v>
      </c>
      <c r="C98" t="s">
        <v>155</v>
      </c>
      <c r="D98" t="s">
        <v>20</v>
      </c>
      <c r="E98" t="s">
        <v>7</v>
      </c>
    </row>
    <row r="99" spans="1:5" x14ac:dyDescent="0.25">
      <c r="A99" t="s">
        <v>413</v>
      </c>
      <c r="B99" t="s">
        <v>8</v>
      </c>
      <c r="C99" t="s">
        <v>155</v>
      </c>
      <c r="D99" t="s">
        <v>13</v>
      </c>
      <c r="E99" t="s">
        <v>7</v>
      </c>
    </row>
    <row r="100" spans="1:5" x14ac:dyDescent="0.25">
      <c r="A100" t="s">
        <v>414</v>
      </c>
      <c r="B100" t="s">
        <v>8</v>
      </c>
      <c r="C100" t="s">
        <v>155</v>
      </c>
      <c r="D100" t="s">
        <v>17</v>
      </c>
      <c r="E100" t="s">
        <v>7</v>
      </c>
    </row>
    <row r="101" spans="1:5" x14ac:dyDescent="0.25">
      <c r="A101" t="s">
        <v>338</v>
      </c>
      <c r="B101" t="s">
        <v>8</v>
      </c>
      <c r="C101" t="s">
        <v>155</v>
      </c>
      <c r="D101" t="s">
        <v>10</v>
      </c>
      <c r="E101" t="s">
        <v>7</v>
      </c>
    </row>
    <row r="102" spans="1:5" x14ac:dyDescent="0.25">
      <c r="A102" t="s">
        <v>339</v>
      </c>
      <c r="B102" t="s">
        <v>8</v>
      </c>
      <c r="C102" t="s">
        <v>155</v>
      </c>
      <c r="D102" t="s">
        <v>14</v>
      </c>
      <c r="E102" t="s">
        <v>7</v>
      </c>
    </row>
    <row r="103" spans="1:5" x14ac:dyDescent="0.25">
      <c r="A103" t="s">
        <v>340</v>
      </c>
      <c r="B103" t="s">
        <v>8</v>
      </c>
      <c r="C103" t="s">
        <v>155</v>
      </c>
      <c r="D103" t="s">
        <v>18</v>
      </c>
      <c r="E103" t="s">
        <v>7</v>
      </c>
    </row>
    <row r="105" spans="1:5" ht="18" thickBot="1" x14ac:dyDescent="0.4">
      <c r="A105" s="45" t="s">
        <v>685</v>
      </c>
      <c r="B105" s="45"/>
      <c r="C105" s="45"/>
      <c r="D105" s="45"/>
      <c r="E105" s="45"/>
    </row>
    <row r="106" spans="1:5" ht="13.8" thickTop="1" x14ac:dyDescent="0.25">
      <c r="A106" t="s">
        <v>342</v>
      </c>
      <c r="B106" t="s">
        <v>8</v>
      </c>
      <c r="C106" t="s">
        <v>155</v>
      </c>
      <c r="D106" t="s">
        <v>15</v>
      </c>
      <c r="E106" t="s">
        <v>7</v>
      </c>
    </row>
    <row r="107" spans="1:5" x14ac:dyDescent="0.25">
      <c r="A107" t="s">
        <v>343</v>
      </c>
      <c r="B107" t="s">
        <v>8</v>
      </c>
      <c r="C107" t="s">
        <v>155</v>
      </c>
      <c r="D107" t="s">
        <v>241</v>
      </c>
      <c r="E107" t="s">
        <v>7</v>
      </c>
    </row>
    <row r="108" spans="1:5" x14ac:dyDescent="0.25">
      <c r="A108" t="s">
        <v>344</v>
      </c>
      <c r="B108" t="s">
        <v>8</v>
      </c>
      <c r="C108" t="s">
        <v>155</v>
      </c>
      <c r="D108" t="s">
        <v>16</v>
      </c>
      <c r="E108" t="s">
        <v>7</v>
      </c>
    </row>
    <row r="110" spans="1:5" ht="18" thickBot="1" x14ac:dyDescent="0.4">
      <c r="A110" s="45" t="s">
        <v>670</v>
      </c>
      <c r="B110" s="45"/>
      <c r="C110" s="45"/>
      <c r="D110" s="45"/>
      <c r="E110" s="45"/>
    </row>
    <row r="111" spans="1:5" ht="13.8" thickTop="1" x14ac:dyDescent="0.25">
      <c r="A111" t="s">
        <v>418</v>
      </c>
      <c r="B111" t="s">
        <v>8</v>
      </c>
      <c r="C111" t="s">
        <v>155</v>
      </c>
      <c r="D111" t="s">
        <v>90</v>
      </c>
      <c r="E111" t="s">
        <v>23</v>
      </c>
    </row>
    <row r="112" spans="1:5" x14ac:dyDescent="0.25">
      <c r="A112" t="s">
        <v>419</v>
      </c>
      <c r="B112" t="s">
        <v>8</v>
      </c>
      <c r="C112" t="s">
        <v>155</v>
      </c>
      <c r="D112" t="s">
        <v>92</v>
      </c>
      <c r="E112" t="s">
        <v>19</v>
      </c>
    </row>
    <row r="113" spans="1:5" x14ac:dyDescent="0.25">
      <c r="A113" t="s">
        <v>420</v>
      </c>
      <c r="B113" t="s">
        <v>8</v>
      </c>
      <c r="C113" t="s">
        <v>155</v>
      </c>
      <c r="D113" t="s">
        <v>93</v>
      </c>
      <c r="E113" t="s">
        <v>23</v>
      </c>
    </row>
    <row r="114" spans="1:5" x14ac:dyDescent="0.25">
      <c r="A114" t="s">
        <v>421</v>
      </c>
      <c r="B114" t="s">
        <v>8</v>
      </c>
      <c r="C114" t="s">
        <v>155</v>
      </c>
      <c r="D114" t="s">
        <v>195</v>
      </c>
      <c r="E114" t="s">
        <v>7</v>
      </c>
    </row>
    <row r="115" spans="1:5" x14ac:dyDescent="0.25">
      <c r="A115" t="s">
        <v>423</v>
      </c>
      <c r="B115" t="s">
        <v>8</v>
      </c>
      <c r="C115" t="s">
        <v>155</v>
      </c>
      <c r="D115" t="s">
        <v>94</v>
      </c>
      <c r="E115" t="s">
        <v>7</v>
      </c>
    </row>
    <row r="116" spans="1:5" x14ac:dyDescent="0.25">
      <c r="A116" t="s">
        <v>422</v>
      </c>
      <c r="B116" t="s">
        <v>8</v>
      </c>
      <c r="C116" t="s">
        <v>155</v>
      </c>
      <c r="D116" t="s">
        <v>95</v>
      </c>
      <c r="E116" t="s">
        <v>7</v>
      </c>
    </row>
    <row r="117" spans="1:5" x14ac:dyDescent="0.25">
      <c r="A117" t="s">
        <v>424</v>
      </c>
      <c r="B117" t="s">
        <v>8</v>
      </c>
      <c r="C117" t="s">
        <v>155</v>
      </c>
      <c r="D117" t="s">
        <v>100</v>
      </c>
      <c r="E117" t="s">
        <v>7</v>
      </c>
    </row>
    <row r="118" spans="1:5" x14ac:dyDescent="0.25">
      <c r="A118" t="s">
        <v>425</v>
      </c>
      <c r="B118" t="s">
        <v>8</v>
      </c>
      <c r="C118" t="s">
        <v>155</v>
      </c>
      <c r="D118" t="s">
        <v>96</v>
      </c>
      <c r="E118" t="s">
        <v>7</v>
      </c>
    </row>
    <row r="119" spans="1:5" x14ac:dyDescent="0.25">
      <c r="A119" t="s">
        <v>426</v>
      </c>
      <c r="B119" t="s">
        <v>8</v>
      </c>
      <c r="C119" t="s">
        <v>155</v>
      </c>
      <c r="D119" t="s">
        <v>98</v>
      </c>
      <c r="E119" t="s">
        <v>7</v>
      </c>
    </row>
    <row r="120" spans="1:5" x14ac:dyDescent="0.25">
      <c r="A120" t="s">
        <v>427</v>
      </c>
      <c r="B120" t="s">
        <v>8</v>
      </c>
      <c r="C120" t="s">
        <v>155</v>
      </c>
      <c r="D120" t="s">
        <v>99</v>
      </c>
      <c r="E120" t="s">
        <v>7</v>
      </c>
    </row>
    <row r="121" spans="1:5" x14ac:dyDescent="0.25">
      <c r="A121" t="s">
        <v>428</v>
      </c>
      <c r="B121" t="s">
        <v>8</v>
      </c>
      <c r="C121" t="s">
        <v>155</v>
      </c>
      <c r="D121" t="s">
        <v>97</v>
      </c>
      <c r="E121" t="s">
        <v>19</v>
      </c>
    </row>
    <row r="123" spans="1:5" ht="18" thickBot="1" x14ac:dyDescent="0.4">
      <c r="A123" s="45" t="s">
        <v>686</v>
      </c>
      <c r="B123" s="45"/>
      <c r="C123" s="45"/>
      <c r="D123" s="45"/>
      <c r="E123" s="45"/>
    </row>
    <row r="124" spans="1:5" ht="13.8" thickTop="1" x14ac:dyDescent="0.25">
      <c r="A124" t="s">
        <v>423</v>
      </c>
      <c r="B124" t="s">
        <v>8</v>
      </c>
      <c r="C124" t="s">
        <v>155</v>
      </c>
      <c r="D124" t="s">
        <v>94</v>
      </c>
      <c r="E124" t="s">
        <v>7</v>
      </c>
    </row>
    <row r="125" spans="1:5" x14ac:dyDescent="0.25">
      <c r="A125" t="s">
        <v>422</v>
      </c>
      <c r="B125" t="s">
        <v>8</v>
      </c>
      <c r="C125" t="s">
        <v>155</v>
      </c>
      <c r="D125" t="s">
        <v>95</v>
      </c>
      <c r="E125" t="s">
        <v>7</v>
      </c>
    </row>
    <row r="126" spans="1:5" x14ac:dyDescent="0.25">
      <c r="A126" t="s">
        <v>424</v>
      </c>
      <c r="B126" t="s">
        <v>8</v>
      </c>
      <c r="C126" t="s">
        <v>155</v>
      </c>
      <c r="D126" t="s">
        <v>100</v>
      </c>
      <c r="E126" t="s">
        <v>7</v>
      </c>
    </row>
    <row r="127" spans="1:5" x14ac:dyDescent="0.25">
      <c r="A127" t="s">
        <v>425</v>
      </c>
      <c r="B127" t="s">
        <v>8</v>
      </c>
      <c r="C127" t="s">
        <v>155</v>
      </c>
      <c r="D127" t="s">
        <v>96</v>
      </c>
      <c r="E127" t="s">
        <v>7</v>
      </c>
    </row>
    <row r="128" spans="1:5" x14ac:dyDescent="0.25">
      <c r="A128" t="s">
        <v>426</v>
      </c>
      <c r="B128" t="s">
        <v>8</v>
      </c>
      <c r="C128" t="s">
        <v>155</v>
      </c>
      <c r="D128" t="s">
        <v>98</v>
      </c>
      <c r="E128" t="s">
        <v>7</v>
      </c>
    </row>
    <row r="129" spans="1:5" x14ac:dyDescent="0.25">
      <c r="A129" t="s">
        <v>427</v>
      </c>
      <c r="B129" t="s">
        <v>8</v>
      </c>
      <c r="C129" t="s">
        <v>155</v>
      </c>
      <c r="D129" t="s">
        <v>99</v>
      </c>
      <c r="E129" t="s">
        <v>7</v>
      </c>
    </row>
    <row r="130" spans="1:5" x14ac:dyDescent="0.25">
      <c r="A130" t="s">
        <v>428</v>
      </c>
      <c r="B130" t="s">
        <v>8</v>
      </c>
      <c r="C130" t="s">
        <v>155</v>
      </c>
      <c r="D130" t="s">
        <v>97</v>
      </c>
      <c r="E130" t="s">
        <v>19</v>
      </c>
    </row>
    <row r="132" spans="1:5" ht="18" thickBot="1" x14ac:dyDescent="0.4">
      <c r="A132" s="45" t="s">
        <v>662</v>
      </c>
      <c r="B132" s="45"/>
      <c r="C132" s="45"/>
      <c r="D132" s="45"/>
      <c r="E132" s="45"/>
    </row>
    <row r="133" spans="1:5" ht="13.8" thickTop="1" x14ac:dyDescent="0.25">
      <c r="A133" t="s">
        <v>431</v>
      </c>
      <c r="B133" t="s">
        <v>8</v>
      </c>
      <c r="C133" t="s">
        <v>155</v>
      </c>
      <c r="D133" t="s">
        <v>110</v>
      </c>
      <c r="E133" t="s">
        <v>19</v>
      </c>
    </row>
    <row r="135" spans="1:5" ht="18" thickBot="1" x14ac:dyDescent="0.4">
      <c r="A135" s="45" t="s">
        <v>688</v>
      </c>
      <c r="B135" s="45"/>
      <c r="C135" s="45"/>
      <c r="D135" s="45"/>
      <c r="E135" s="45"/>
    </row>
    <row r="136" spans="1:5" ht="13.8" thickTop="1" x14ac:dyDescent="0.25">
      <c r="A136" t="s">
        <v>432</v>
      </c>
      <c r="B136" t="s">
        <v>8</v>
      </c>
      <c r="C136" t="s">
        <v>155</v>
      </c>
      <c r="D136" t="s">
        <v>176</v>
      </c>
      <c r="E136" t="s">
        <v>7</v>
      </c>
    </row>
    <row r="137" spans="1:5" x14ac:dyDescent="0.25">
      <c r="A137" t="s">
        <v>433</v>
      </c>
      <c r="B137" t="s">
        <v>8</v>
      </c>
      <c r="C137" t="s">
        <v>155</v>
      </c>
      <c r="D137" t="s">
        <v>177</v>
      </c>
      <c r="E137" t="s">
        <v>7</v>
      </c>
    </row>
    <row r="138" spans="1:5" x14ac:dyDescent="0.25">
      <c r="A138" t="s">
        <v>434</v>
      </c>
      <c r="B138" t="s">
        <v>8</v>
      </c>
      <c r="C138" t="s">
        <v>155</v>
      </c>
      <c r="D138" t="s">
        <v>178</v>
      </c>
      <c r="E138" t="s">
        <v>7</v>
      </c>
    </row>
    <row r="139" spans="1:5" x14ac:dyDescent="0.25">
      <c r="A139" t="s">
        <v>435</v>
      </c>
      <c r="B139" t="s">
        <v>8</v>
      </c>
      <c r="C139" t="s">
        <v>155</v>
      </c>
      <c r="D139" t="s">
        <v>180</v>
      </c>
      <c r="E139" t="s">
        <v>7</v>
      </c>
    </row>
    <row r="140" spans="1:5" x14ac:dyDescent="0.25">
      <c r="A140" t="s">
        <v>436</v>
      </c>
      <c r="B140" t="s">
        <v>8</v>
      </c>
      <c r="C140" t="s">
        <v>155</v>
      </c>
      <c r="D140" t="s">
        <v>181</v>
      </c>
      <c r="E140" t="s">
        <v>7</v>
      </c>
    </row>
    <row r="141" spans="1:5" x14ac:dyDescent="0.25">
      <c r="A141" t="s">
        <v>437</v>
      </c>
      <c r="B141" t="s">
        <v>8</v>
      </c>
      <c r="C141" t="s">
        <v>155</v>
      </c>
      <c r="D141" t="s">
        <v>182</v>
      </c>
      <c r="E141" t="s">
        <v>7</v>
      </c>
    </row>
    <row r="142" spans="1:5" ht="18" thickBot="1" x14ac:dyDescent="0.4">
      <c r="A142" s="45"/>
      <c r="B142" s="45"/>
      <c r="C142" s="45"/>
      <c r="D142" s="45"/>
      <c r="E142" s="45"/>
    </row>
    <row r="143" spans="1:5" ht="18.600000000000001" thickTop="1" thickBot="1" x14ac:dyDescent="0.4">
      <c r="A143" s="45" t="s">
        <v>663</v>
      </c>
      <c r="B143" s="45"/>
      <c r="C143" s="45"/>
      <c r="D143" s="45"/>
      <c r="E143" s="45"/>
    </row>
    <row r="144" spans="1:5" ht="13.8" thickTop="1" x14ac:dyDescent="0.25">
      <c r="A144" t="s">
        <v>333</v>
      </c>
      <c r="B144" t="s">
        <v>277</v>
      </c>
      <c r="C144" t="s">
        <v>155</v>
      </c>
      <c r="D144" t="s">
        <v>22</v>
      </c>
      <c r="E144" t="s">
        <v>23</v>
      </c>
    </row>
    <row r="145" spans="1:5" ht="18" thickBot="1" x14ac:dyDescent="0.4">
      <c r="A145" s="45"/>
      <c r="B145" s="45"/>
      <c r="C145" s="45"/>
      <c r="D145" s="45"/>
      <c r="E145" s="45"/>
    </row>
    <row r="146" spans="1:5" ht="18.600000000000001" thickTop="1" thickBot="1" x14ac:dyDescent="0.4">
      <c r="A146" s="45" t="s">
        <v>672</v>
      </c>
      <c r="B146" s="45"/>
      <c r="C146" s="45"/>
      <c r="D146" s="45"/>
      <c r="E146" s="45"/>
    </row>
    <row r="147" spans="1:5" ht="13.8" thickTop="1" x14ac:dyDescent="0.25">
      <c r="A147" t="s">
        <v>333</v>
      </c>
      <c r="B147" t="s">
        <v>277</v>
      </c>
      <c r="C147" t="s">
        <v>155</v>
      </c>
      <c r="D147" t="s">
        <v>22</v>
      </c>
      <c r="E147" t="s">
        <v>23</v>
      </c>
    </row>
    <row r="149" spans="1:5" ht="18" thickBot="1" x14ac:dyDescent="0.4">
      <c r="A149" s="45" t="s">
        <v>689</v>
      </c>
      <c r="B149" s="45"/>
      <c r="C149" s="45"/>
      <c r="D149" s="45"/>
      <c r="E149" s="45"/>
    </row>
    <row r="150" spans="1:5" ht="13.8" thickTop="1" x14ac:dyDescent="0.25">
      <c r="A150" t="s">
        <v>333</v>
      </c>
      <c r="B150" t="s">
        <v>277</v>
      </c>
      <c r="C150" t="s">
        <v>155</v>
      </c>
      <c r="D150" t="s">
        <v>22</v>
      </c>
      <c r="E150" t="s">
        <v>23</v>
      </c>
    </row>
    <row r="151" spans="1:5" ht="18" thickBot="1" x14ac:dyDescent="0.4">
      <c r="A151" s="45"/>
      <c r="B151" s="45"/>
      <c r="C151" s="45"/>
      <c r="D151" s="45"/>
      <c r="E151" s="45"/>
    </row>
    <row r="152" spans="1:5" ht="18.600000000000001" thickTop="1" thickBot="1" x14ac:dyDescent="0.4">
      <c r="A152" s="45" t="s">
        <v>701</v>
      </c>
      <c r="B152" s="45"/>
      <c r="C152" s="45"/>
      <c r="D152" s="45"/>
      <c r="E152" s="45"/>
    </row>
    <row r="153" spans="1:5" ht="13.8" thickTop="1" x14ac:dyDescent="0.25">
      <c r="A153" t="s">
        <v>333</v>
      </c>
      <c r="B153" t="s">
        <v>277</v>
      </c>
      <c r="C153" t="s">
        <v>155</v>
      </c>
      <c r="D153" t="s">
        <v>22</v>
      </c>
      <c r="E153" t="s">
        <v>23</v>
      </c>
    </row>
    <row r="155" spans="1:5" ht="18" thickBot="1" x14ac:dyDescent="0.4">
      <c r="A155" s="45" t="s">
        <v>710</v>
      </c>
      <c r="B155" s="45"/>
      <c r="C155" s="45"/>
      <c r="D155" s="45"/>
      <c r="E155" s="45"/>
    </row>
    <row r="156" spans="1:5" ht="13.8" thickTop="1" x14ac:dyDescent="0.25">
      <c r="A156" t="s">
        <v>333</v>
      </c>
      <c r="B156" t="s">
        <v>277</v>
      </c>
      <c r="C156" t="s">
        <v>155</v>
      </c>
      <c r="D156" t="s">
        <v>22</v>
      </c>
      <c r="E156" t="s">
        <v>23</v>
      </c>
    </row>
    <row r="158" spans="1:5" ht="18" thickBot="1" x14ac:dyDescent="0.4">
      <c r="A158" s="45" t="s">
        <v>695</v>
      </c>
      <c r="B158" s="45"/>
      <c r="C158" s="45"/>
      <c r="D158" s="45"/>
      <c r="E158" s="45"/>
    </row>
    <row r="159" spans="1:5" ht="13.8" thickTop="1" x14ac:dyDescent="0.25">
      <c r="A159" t="s">
        <v>463</v>
      </c>
      <c r="B159" t="s">
        <v>280</v>
      </c>
      <c r="C159" t="s">
        <v>28</v>
      </c>
      <c r="D159" t="s">
        <v>129</v>
      </c>
      <c r="E159" t="s">
        <v>7</v>
      </c>
    </row>
    <row r="160" spans="1:5" x14ac:dyDescent="0.25">
      <c r="A160" t="s">
        <v>464</v>
      </c>
      <c r="B160" t="s">
        <v>280</v>
      </c>
      <c r="C160" t="s">
        <v>28</v>
      </c>
      <c r="D160" t="s">
        <v>130</v>
      </c>
      <c r="E160" t="s">
        <v>7</v>
      </c>
    </row>
    <row r="161" spans="1:5" x14ac:dyDescent="0.25">
      <c r="A161" t="s">
        <v>465</v>
      </c>
      <c r="B161" t="s">
        <v>280</v>
      </c>
      <c r="C161" t="s">
        <v>28</v>
      </c>
      <c r="D161" t="s">
        <v>131</v>
      </c>
      <c r="E161" t="s">
        <v>7</v>
      </c>
    </row>
    <row r="162" spans="1:5" x14ac:dyDescent="0.25">
      <c r="A162" t="s">
        <v>466</v>
      </c>
      <c r="B162" t="s">
        <v>280</v>
      </c>
      <c r="C162" t="s">
        <v>28</v>
      </c>
      <c r="D162" t="s">
        <v>132</v>
      </c>
      <c r="E162" t="s">
        <v>7</v>
      </c>
    </row>
    <row r="163" spans="1:5" x14ac:dyDescent="0.25">
      <c r="A163" t="s">
        <v>467</v>
      </c>
      <c r="B163" t="s">
        <v>280</v>
      </c>
      <c r="C163" t="s">
        <v>28</v>
      </c>
      <c r="D163" t="s">
        <v>193</v>
      </c>
      <c r="E163" t="s">
        <v>7</v>
      </c>
    </row>
    <row r="164" spans="1:5" x14ac:dyDescent="0.25">
      <c r="A164" t="s">
        <v>468</v>
      </c>
      <c r="B164" t="s">
        <v>280</v>
      </c>
      <c r="C164" t="s">
        <v>28</v>
      </c>
      <c r="D164" t="s">
        <v>194</v>
      </c>
      <c r="E164" t="s">
        <v>7</v>
      </c>
    </row>
    <row r="165" spans="1:5" x14ac:dyDescent="0.25">
      <c r="A165" t="s">
        <v>469</v>
      </c>
      <c r="B165" t="s">
        <v>280</v>
      </c>
      <c r="C165" t="s">
        <v>28</v>
      </c>
      <c r="D165" t="s">
        <v>133</v>
      </c>
      <c r="E165" t="s">
        <v>7</v>
      </c>
    </row>
    <row r="166" spans="1:5" x14ac:dyDescent="0.25">
      <c r="A166" t="s">
        <v>470</v>
      </c>
      <c r="B166" t="s">
        <v>280</v>
      </c>
      <c r="C166" t="s">
        <v>28</v>
      </c>
      <c r="D166" t="s">
        <v>179</v>
      </c>
      <c r="E166" t="s">
        <v>7</v>
      </c>
    </row>
    <row r="167" spans="1:5" x14ac:dyDescent="0.25">
      <c r="A167" t="s">
        <v>471</v>
      </c>
      <c r="B167" t="s">
        <v>280</v>
      </c>
      <c r="C167" t="s">
        <v>28</v>
      </c>
      <c r="D167" t="s">
        <v>550</v>
      </c>
      <c r="E167" t="s">
        <v>7</v>
      </c>
    </row>
    <row r="169" spans="1:5" ht="18" thickBot="1" x14ac:dyDescent="0.4">
      <c r="A169" s="45" t="s">
        <v>679</v>
      </c>
      <c r="B169" s="45"/>
      <c r="C169" s="45"/>
      <c r="D169" s="45"/>
      <c r="E169" s="45"/>
    </row>
    <row r="170" spans="1:5" ht="13.8" thickTop="1" x14ac:dyDescent="0.25">
      <c r="A170" t="s">
        <v>469</v>
      </c>
      <c r="B170" t="s">
        <v>280</v>
      </c>
      <c r="C170" t="s">
        <v>28</v>
      </c>
      <c r="D170" t="s">
        <v>133</v>
      </c>
      <c r="E170" t="s">
        <v>7</v>
      </c>
    </row>
    <row r="172" spans="1:5" ht="18" thickBot="1" x14ac:dyDescent="0.4">
      <c r="A172" s="45" t="s">
        <v>696</v>
      </c>
      <c r="B172" s="45"/>
      <c r="C172" s="45"/>
      <c r="D172" s="45"/>
      <c r="E172" s="45"/>
    </row>
    <row r="173" spans="1:5" ht="13.8" thickTop="1" x14ac:dyDescent="0.25">
      <c r="A173" t="s">
        <v>505</v>
      </c>
      <c r="B173" t="s">
        <v>277</v>
      </c>
      <c r="C173" t="s">
        <v>155</v>
      </c>
      <c r="D173" t="s">
        <v>152</v>
      </c>
      <c r="E173" t="s">
        <v>23</v>
      </c>
    </row>
    <row r="174" spans="1:5" x14ac:dyDescent="0.25">
      <c r="A174" t="s">
        <v>506</v>
      </c>
      <c r="B174" t="s">
        <v>277</v>
      </c>
      <c r="C174" t="s">
        <v>155</v>
      </c>
      <c r="D174" t="s">
        <v>153</v>
      </c>
      <c r="E174" t="s">
        <v>23</v>
      </c>
    </row>
    <row r="175" spans="1:5" x14ac:dyDescent="0.25">
      <c r="A175" t="s">
        <v>512</v>
      </c>
      <c r="B175" t="s">
        <v>277</v>
      </c>
      <c r="C175" t="s">
        <v>155</v>
      </c>
      <c r="D175" t="s">
        <v>73</v>
      </c>
      <c r="E175" t="s">
        <v>23</v>
      </c>
    </row>
    <row r="176" spans="1:5" x14ac:dyDescent="0.25">
      <c r="A176" t="s">
        <v>507</v>
      </c>
      <c r="B176" t="s">
        <v>277</v>
      </c>
      <c r="C176" t="s">
        <v>155</v>
      </c>
      <c r="D176" t="s">
        <v>75</v>
      </c>
      <c r="E176" t="s">
        <v>23</v>
      </c>
    </row>
    <row r="177" spans="1:5" x14ac:dyDescent="0.25">
      <c r="A177" t="s">
        <v>513</v>
      </c>
      <c r="B177" t="s">
        <v>277</v>
      </c>
      <c r="C177" t="s">
        <v>155</v>
      </c>
      <c r="D177" t="s">
        <v>730</v>
      </c>
      <c r="E177" t="s">
        <v>23</v>
      </c>
    </row>
    <row r="178" spans="1:5" x14ac:dyDescent="0.25">
      <c r="A178" t="s">
        <v>508</v>
      </c>
      <c r="B178" t="s">
        <v>277</v>
      </c>
      <c r="C178" t="s">
        <v>155</v>
      </c>
      <c r="D178" t="s">
        <v>125</v>
      </c>
      <c r="E178" t="s">
        <v>23</v>
      </c>
    </row>
    <row r="179" spans="1:5" x14ac:dyDescent="0.25">
      <c r="A179" t="s">
        <v>509</v>
      </c>
      <c r="B179" t="s">
        <v>277</v>
      </c>
      <c r="C179" t="s">
        <v>155</v>
      </c>
      <c r="D179" t="s">
        <v>126</v>
      </c>
      <c r="E179" t="s">
        <v>23</v>
      </c>
    </row>
    <row r="180" spans="1:5" x14ac:dyDescent="0.25">
      <c r="A180" t="s">
        <v>510</v>
      </c>
      <c r="B180" t="s">
        <v>277</v>
      </c>
      <c r="C180" t="s">
        <v>155</v>
      </c>
      <c r="D180" t="s">
        <v>127</v>
      </c>
      <c r="E180" t="s">
        <v>23</v>
      </c>
    </row>
    <row r="181" spans="1:5" x14ac:dyDescent="0.25">
      <c r="A181" t="s">
        <v>511</v>
      </c>
      <c r="B181" t="s">
        <v>277</v>
      </c>
      <c r="C181" t="s">
        <v>155</v>
      </c>
      <c r="D181" t="s">
        <v>128</v>
      </c>
      <c r="E181" t="s">
        <v>23</v>
      </c>
    </row>
    <row r="183" spans="1:5" ht="18" thickBot="1" x14ac:dyDescent="0.4">
      <c r="A183" s="45" t="s">
        <v>682</v>
      </c>
      <c r="B183" s="45"/>
      <c r="C183" s="45"/>
      <c r="D183" s="45"/>
      <c r="E183" s="45"/>
    </row>
    <row r="184" spans="1:5" ht="13.8" thickTop="1" x14ac:dyDescent="0.25">
      <c r="A184" t="s">
        <v>514</v>
      </c>
      <c r="B184" t="s">
        <v>277</v>
      </c>
      <c r="C184" t="s">
        <v>155</v>
      </c>
      <c r="D184" t="s">
        <v>137</v>
      </c>
      <c r="E184" t="s">
        <v>23</v>
      </c>
    </row>
    <row r="185" spans="1:5" x14ac:dyDescent="0.25">
      <c r="A185" t="s">
        <v>515</v>
      </c>
      <c r="B185" t="s">
        <v>280</v>
      </c>
      <c r="C185" t="s">
        <v>28</v>
      </c>
      <c r="D185" t="s">
        <v>138</v>
      </c>
      <c r="E185" t="s">
        <v>7</v>
      </c>
    </row>
    <row r="186" spans="1:5" x14ac:dyDescent="0.25">
      <c r="A186" t="s">
        <v>516</v>
      </c>
      <c r="B186" t="s">
        <v>280</v>
      </c>
      <c r="C186" t="s">
        <v>28</v>
      </c>
      <c r="D186" t="s">
        <v>139</v>
      </c>
      <c r="E186" t="s">
        <v>7</v>
      </c>
    </row>
    <row r="187" spans="1:5" x14ac:dyDescent="0.25">
      <c r="A187" t="s">
        <v>517</v>
      </c>
      <c r="B187" t="s">
        <v>280</v>
      </c>
      <c r="C187" t="s">
        <v>28</v>
      </c>
      <c r="D187" t="s">
        <v>140</v>
      </c>
      <c r="E187" t="s">
        <v>7</v>
      </c>
    </row>
    <row r="188" spans="1:5" x14ac:dyDescent="0.25">
      <c r="A188" t="s">
        <v>518</v>
      </c>
      <c r="B188" t="s">
        <v>8</v>
      </c>
      <c r="C188" t="s">
        <v>155</v>
      </c>
      <c r="D188" t="s">
        <v>142</v>
      </c>
      <c r="E188" t="s">
        <v>7</v>
      </c>
    </row>
    <row r="190" spans="1:5" ht="18" thickBot="1" x14ac:dyDescent="0.4">
      <c r="A190" s="45" t="s">
        <v>699</v>
      </c>
      <c r="B190" s="45"/>
      <c r="C190" s="45"/>
      <c r="D190" s="45"/>
      <c r="E190" s="45"/>
    </row>
    <row r="191" spans="1:5" ht="13.8" thickTop="1" x14ac:dyDescent="0.25">
      <c r="A191" t="s">
        <v>514</v>
      </c>
      <c r="B191" t="s">
        <v>277</v>
      </c>
      <c r="C191" t="s">
        <v>155</v>
      </c>
      <c r="D191" t="s">
        <v>137</v>
      </c>
      <c r="E191" t="s">
        <v>23</v>
      </c>
    </row>
    <row r="192" spans="1:5" x14ac:dyDescent="0.25">
      <c r="A192" t="s">
        <v>515</v>
      </c>
      <c r="B192" t="s">
        <v>280</v>
      </c>
      <c r="C192" t="s">
        <v>28</v>
      </c>
      <c r="D192" t="s">
        <v>138</v>
      </c>
      <c r="E192" t="s">
        <v>7</v>
      </c>
    </row>
    <row r="193" spans="1:5" x14ac:dyDescent="0.25">
      <c r="A193" t="s">
        <v>516</v>
      </c>
      <c r="B193" t="s">
        <v>280</v>
      </c>
      <c r="C193" t="s">
        <v>28</v>
      </c>
      <c r="D193" t="s">
        <v>139</v>
      </c>
      <c r="E193" t="s">
        <v>7</v>
      </c>
    </row>
    <row r="194" spans="1:5" x14ac:dyDescent="0.25">
      <c r="A194" t="s">
        <v>517</v>
      </c>
      <c r="B194" t="s">
        <v>280</v>
      </c>
      <c r="C194" t="s">
        <v>28</v>
      </c>
      <c r="D194" t="s">
        <v>140</v>
      </c>
      <c r="E194" t="s">
        <v>7</v>
      </c>
    </row>
    <row r="195" spans="1:5" x14ac:dyDescent="0.25">
      <c r="A195" t="s">
        <v>518</v>
      </c>
      <c r="B195" t="s">
        <v>8</v>
      </c>
      <c r="C195" t="s">
        <v>155</v>
      </c>
      <c r="D195" t="s">
        <v>142</v>
      </c>
      <c r="E195" t="s">
        <v>7</v>
      </c>
    </row>
  </sheetData>
  <mergeCells count="1">
    <mergeCell ref="A1:E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RowHeight="13.2" x14ac:dyDescent="0.25"/>
  <cols>
    <col min="1" max="1" width="29.109375" bestFit="1" customWidth="1"/>
    <col min="2" max="2" width="7.5546875" bestFit="1" customWidth="1"/>
    <col min="3" max="3" width="10.88671875" bestFit="1" customWidth="1"/>
    <col min="4" max="4" width="76.44140625" bestFit="1" customWidth="1"/>
  </cols>
  <sheetData>
    <row r="1" spans="1:5" ht="19.5" customHeight="1" x14ac:dyDescent="0.25">
      <c r="A1" s="161" t="s">
        <v>292</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662</v>
      </c>
      <c r="B10" s="45"/>
      <c r="C10" s="45"/>
      <c r="D10" s="45"/>
      <c r="E10" s="45"/>
    </row>
    <row r="11" spans="1:5" ht="13.8" thickTop="1" x14ac:dyDescent="0.25">
      <c r="A11" t="s">
        <v>431</v>
      </c>
      <c r="B11" t="s">
        <v>8</v>
      </c>
      <c r="C11" t="s">
        <v>155</v>
      </c>
      <c r="D11" t="s">
        <v>110</v>
      </c>
      <c r="E11" t="s">
        <v>19</v>
      </c>
    </row>
    <row r="13" spans="1:5" ht="18" thickBot="1" x14ac:dyDescent="0.4">
      <c r="A13" s="45" t="s">
        <v>663</v>
      </c>
      <c r="B13" s="45"/>
      <c r="C13" s="45"/>
      <c r="D13" s="45"/>
      <c r="E13" s="45"/>
    </row>
    <row r="14" spans="1:5" ht="13.8" thickTop="1" x14ac:dyDescent="0.25">
      <c r="A14" t="s">
        <v>333</v>
      </c>
      <c r="B14" t="s">
        <v>277</v>
      </c>
      <c r="C14" t="s">
        <v>155</v>
      </c>
      <c r="D14" t="s">
        <v>22</v>
      </c>
      <c r="E14" t="s">
        <v>23</v>
      </c>
    </row>
    <row r="16" spans="1:5" ht="18" thickBot="1" x14ac:dyDescent="0.4">
      <c r="A16" s="45" t="s">
        <v>664</v>
      </c>
      <c r="B16" s="45"/>
      <c r="C16" s="45"/>
      <c r="D16" s="45"/>
      <c r="E16" s="45"/>
    </row>
    <row r="17" spans="1:5" ht="13.8" thickTop="1" x14ac:dyDescent="0.25">
      <c r="A17" t="s">
        <v>616</v>
      </c>
      <c r="B17" t="s">
        <v>280</v>
      </c>
      <c r="C17" t="s">
        <v>28</v>
      </c>
      <c r="D17" t="s">
        <v>111</v>
      </c>
      <c r="E17" t="s">
        <v>23</v>
      </c>
    </row>
    <row r="19" spans="1:5" ht="18" thickBot="1" x14ac:dyDescent="0.4">
      <c r="A19" s="45" t="s">
        <v>665</v>
      </c>
      <c r="B19" s="45"/>
      <c r="C19" s="45"/>
      <c r="D19" s="45"/>
      <c r="E19" s="45"/>
    </row>
    <row r="20" spans="1:5" ht="13.8" thickTop="1" x14ac:dyDescent="0.25">
      <c r="A20" t="s">
        <v>499</v>
      </c>
      <c r="B20" t="s">
        <v>280</v>
      </c>
      <c r="C20" t="s">
        <v>28</v>
      </c>
      <c r="D20" t="s">
        <v>231</v>
      </c>
      <c r="E20" t="s">
        <v>23</v>
      </c>
    </row>
    <row r="21" spans="1:5" x14ac:dyDescent="0.25">
      <c r="A21" t="s">
        <v>500</v>
      </c>
      <c r="B21" t="s">
        <v>280</v>
      </c>
      <c r="C21" t="s">
        <v>28</v>
      </c>
      <c r="D21" t="s">
        <v>236</v>
      </c>
      <c r="E21" t="s">
        <v>23</v>
      </c>
    </row>
    <row r="22" spans="1:5" x14ac:dyDescent="0.25">
      <c r="A22" t="s">
        <v>501</v>
      </c>
      <c r="B22" t="s">
        <v>280</v>
      </c>
      <c r="C22" t="s">
        <v>28</v>
      </c>
      <c r="D22" t="s">
        <v>237</v>
      </c>
      <c r="E22" t="s">
        <v>23</v>
      </c>
    </row>
    <row r="23" spans="1:5" x14ac:dyDescent="0.25">
      <c r="A23" t="s">
        <v>502</v>
      </c>
      <c r="B23" t="s">
        <v>280</v>
      </c>
      <c r="C23" t="s">
        <v>28</v>
      </c>
      <c r="D23" t="s">
        <v>238</v>
      </c>
      <c r="E23" t="s">
        <v>23</v>
      </c>
    </row>
    <row r="25" spans="1:5" ht="18" thickBot="1" x14ac:dyDescent="0.4">
      <c r="A25" s="45" t="s">
        <v>666</v>
      </c>
      <c r="B25" s="45"/>
      <c r="C25" s="45"/>
      <c r="D25" s="45"/>
      <c r="E25" s="45"/>
    </row>
    <row r="26" spans="1:5" ht="13.8" thickTop="1" x14ac:dyDescent="0.25">
      <c r="A26" t="s">
        <v>493</v>
      </c>
      <c r="B26" t="s">
        <v>8</v>
      </c>
      <c r="C26" t="s">
        <v>155</v>
      </c>
      <c r="D26" t="s">
        <v>79</v>
      </c>
      <c r="E26" t="s">
        <v>23</v>
      </c>
    </row>
    <row r="27" spans="1:5" x14ac:dyDescent="0.25">
      <c r="A27" t="s">
        <v>364</v>
      </c>
      <c r="B27" t="s">
        <v>8</v>
      </c>
      <c r="C27" t="s">
        <v>155</v>
      </c>
      <c r="D27" t="s">
        <v>80</v>
      </c>
      <c r="E27" t="s">
        <v>7</v>
      </c>
    </row>
    <row r="29" spans="1:5" ht="18" thickBot="1" x14ac:dyDescent="0.4">
      <c r="A29" s="45" t="s">
        <v>667</v>
      </c>
      <c r="B29" s="45"/>
      <c r="C29" s="45"/>
      <c r="D29" s="45"/>
      <c r="E29" s="45"/>
    </row>
    <row r="30" spans="1:5" ht="13.8" thickTop="1" x14ac:dyDescent="0.25">
      <c r="A30" t="s">
        <v>490</v>
      </c>
      <c r="B30" t="s">
        <v>8</v>
      </c>
      <c r="C30" t="s">
        <v>155</v>
      </c>
      <c r="D30" t="s">
        <v>78</v>
      </c>
      <c r="E30" t="s">
        <v>50</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topLeftCell="A46" workbookViewId="0">
      <selection activeCell="A4" sqref="A4:D4"/>
    </sheetView>
  </sheetViews>
  <sheetFormatPr baseColWidth="10" defaultRowHeight="13.2" x14ac:dyDescent="0.25"/>
  <cols>
    <col min="1" max="1" width="51.109375" bestFit="1" customWidth="1"/>
    <col min="2" max="2" width="7.5546875" bestFit="1" customWidth="1"/>
    <col min="3" max="3" width="10.88671875" bestFit="1" customWidth="1"/>
    <col min="4" max="4" width="66.5546875" bestFit="1" customWidth="1"/>
  </cols>
  <sheetData>
    <row r="1" spans="1:5" ht="19.5" customHeight="1" x14ac:dyDescent="0.25">
      <c r="A1" s="161" t="s">
        <v>297</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651</v>
      </c>
      <c r="B10" s="45"/>
      <c r="C10" s="45"/>
      <c r="D10" s="45"/>
      <c r="E10" s="45"/>
    </row>
    <row r="11" spans="1:5" ht="13.8" thickTop="1" x14ac:dyDescent="0.25">
      <c r="A11" t="s">
        <v>345</v>
      </c>
      <c r="B11" t="s">
        <v>8</v>
      </c>
      <c r="C11" t="s">
        <v>155</v>
      </c>
      <c r="D11" t="s">
        <v>168</v>
      </c>
      <c r="E11" t="s">
        <v>7</v>
      </c>
    </row>
    <row r="12" spans="1:5" x14ac:dyDescent="0.25">
      <c r="A12" t="s">
        <v>346</v>
      </c>
      <c r="B12" t="s">
        <v>8</v>
      </c>
      <c r="C12" t="s">
        <v>155</v>
      </c>
      <c r="D12" t="s">
        <v>169</v>
      </c>
      <c r="E12" t="s">
        <v>7</v>
      </c>
    </row>
    <row r="13" spans="1:5" x14ac:dyDescent="0.25">
      <c r="A13" t="s">
        <v>347</v>
      </c>
      <c r="B13" t="s">
        <v>8</v>
      </c>
      <c r="C13" t="s">
        <v>155</v>
      </c>
      <c r="D13" t="s">
        <v>170</v>
      </c>
      <c r="E13" t="s">
        <v>7</v>
      </c>
    </row>
    <row r="14" spans="1:5" x14ac:dyDescent="0.25">
      <c r="A14" t="s">
        <v>348</v>
      </c>
      <c r="B14" t="s">
        <v>8</v>
      </c>
      <c r="C14" t="s">
        <v>155</v>
      </c>
      <c r="D14" t="s">
        <v>171</v>
      </c>
      <c r="E14" t="s">
        <v>7</v>
      </c>
    </row>
    <row r="15" spans="1:5" x14ac:dyDescent="0.25">
      <c r="A15" t="s">
        <v>349</v>
      </c>
      <c r="B15" t="s">
        <v>8</v>
      </c>
      <c r="C15" t="s">
        <v>155</v>
      </c>
      <c r="D15" t="s">
        <v>172</v>
      </c>
      <c r="E15" t="s">
        <v>7</v>
      </c>
    </row>
    <row r="16" spans="1:5" x14ac:dyDescent="0.25">
      <c r="A16" t="s">
        <v>350</v>
      </c>
      <c r="B16" t="s">
        <v>8</v>
      </c>
      <c r="C16" t="s">
        <v>155</v>
      </c>
      <c r="D16" t="s">
        <v>173</v>
      </c>
      <c r="E16" t="s">
        <v>7</v>
      </c>
    </row>
    <row r="17" spans="1:5" x14ac:dyDescent="0.25">
      <c r="A17" t="s">
        <v>429</v>
      </c>
      <c r="B17" t="s">
        <v>8</v>
      </c>
      <c r="C17" t="s">
        <v>155</v>
      </c>
      <c r="D17" t="s">
        <v>174</v>
      </c>
      <c r="E17" t="s">
        <v>7</v>
      </c>
    </row>
    <row r="18" spans="1:5" x14ac:dyDescent="0.25">
      <c r="A18" t="s">
        <v>430</v>
      </c>
      <c r="B18" t="s">
        <v>8</v>
      </c>
      <c r="C18" t="s">
        <v>155</v>
      </c>
      <c r="D18" t="s">
        <v>175</v>
      </c>
      <c r="E18" t="s">
        <v>7</v>
      </c>
    </row>
    <row r="20" spans="1:5" ht="18" thickBot="1" x14ac:dyDescent="0.4">
      <c r="A20" s="45" t="s">
        <v>687</v>
      </c>
      <c r="B20" s="45"/>
      <c r="C20" s="45"/>
      <c r="D20" s="45"/>
      <c r="E20" s="45"/>
    </row>
    <row r="21" spans="1:5" ht="13.8" thickTop="1" x14ac:dyDescent="0.25">
      <c r="A21" t="s">
        <v>345</v>
      </c>
      <c r="B21" t="s">
        <v>8</v>
      </c>
      <c r="C21" t="s">
        <v>155</v>
      </c>
      <c r="D21" t="s">
        <v>168</v>
      </c>
      <c r="E21" t="s">
        <v>7</v>
      </c>
    </row>
    <row r="22" spans="1:5" x14ac:dyDescent="0.25">
      <c r="A22" t="s">
        <v>346</v>
      </c>
      <c r="B22" t="s">
        <v>8</v>
      </c>
      <c r="C22" t="s">
        <v>155</v>
      </c>
      <c r="D22" t="s">
        <v>169</v>
      </c>
      <c r="E22" t="s">
        <v>7</v>
      </c>
    </row>
    <row r="24" spans="1:5" ht="18" thickBot="1" x14ac:dyDescent="0.4">
      <c r="A24" s="45" t="s">
        <v>671</v>
      </c>
      <c r="B24" s="45"/>
      <c r="C24" s="45"/>
      <c r="D24" s="45"/>
      <c r="E24" s="45"/>
    </row>
    <row r="25" spans="1:5" ht="13.8" thickTop="1" x14ac:dyDescent="0.25">
      <c r="A25" t="s">
        <v>347</v>
      </c>
      <c r="B25" t="s">
        <v>8</v>
      </c>
      <c r="C25" t="s">
        <v>155</v>
      </c>
      <c r="D25" t="s">
        <v>170</v>
      </c>
      <c r="E25" t="s">
        <v>7</v>
      </c>
    </row>
    <row r="26" spans="1:5" x14ac:dyDescent="0.25">
      <c r="A26" t="s">
        <v>348</v>
      </c>
      <c r="B26" t="s">
        <v>8</v>
      </c>
      <c r="C26" t="s">
        <v>155</v>
      </c>
      <c r="D26" t="s">
        <v>171</v>
      </c>
      <c r="E26" t="s">
        <v>7</v>
      </c>
    </row>
    <row r="27" spans="1:5" x14ac:dyDescent="0.25">
      <c r="A27" t="s">
        <v>349</v>
      </c>
      <c r="B27" t="s">
        <v>8</v>
      </c>
      <c r="C27" t="s">
        <v>155</v>
      </c>
      <c r="D27" t="s">
        <v>172</v>
      </c>
      <c r="E27" t="s">
        <v>7</v>
      </c>
    </row>
    <row r="28" spans="1:5" x14ac:dyDescent="0.25">
      <c r="A28" t="s">
        <v>350</v>
      </c>
      <c r="B28" t="s">
        <v>8</v>
      </c>
      <c r="C28" t="s">
        <v>155</v>
      </c>
      <c r="D28" t="s">
        <v>173</v>
      </c>
      <c r="E28" t="s">
        <v>7</v>
      </c>
    </row>
    <row r="29" spans="1:5" x14ac:dyDescent="0.25">
      <c r="A29" t="s">
        <v>429</v>
      </c>
      <c r="B29" t="s">
        <v>8</v>
      </c>
      <c r="C29" t="s">
        <v>155</v>
      </c>
      <c r="D29" t="s">
        <v>174</v>
      </c>
      <c r="E29" t="s">
        <v>7</v>
      </c>
    </row>
    <row r="30" spans="1:5" x14ac:dyDescent="0.25">
      <c r="A30" t="s">
        <v>430</v>
      </c>
      <c r="B30" t="s">
        <v>8</v>
      </c>
      <c r="C30" t="s">
        <v>155</v>
      </c>
      <c r="D30" t="s">
        <v>175</v>
      </c>
      <c r="E30" t="s">
        <v>7</v>
      </c>
    </row>
    <row r="32" spans="1:5" ht="18" thickBot="1" x14ac:dyDescent="0.4">
      <c r="A32" s="45" t="s">
        <v>719</v>
      </c>
      <c r="B32" s="45"/>
      <c r="C32" s="45"/>
      <c r="D32" s="45"/>
      <c r="E32" s="45"/>
    </row>
    <row r="33" spans="1:5" ht="13.8" thickTop="1" x14ac:dyDescent="0.25">
      <c r="A33" t="s">
        <v>335</v>
      </c>
      <c r="B33" t="s">
        <v>8</v>
      </c>
      <c r="C33" t="s">
        <v>155</v>
      </c>
      <c r="D33" t="s">
        <v>81</v>
      </c>
      <c r="E33" t="s">
        <v>23</v>
      </c>
    </row>
    <row r="35" spans="1:5" ht="18" thickBot="1" x14ac:dyDescent="0.4">
      <c r="A35" s="45" t="s">
        <v>690</v>
      </c>
      <c r="B35" s="45"/>
      <c r="C35" s="45"/>
      <c r="D35" s="45"/>
      <c r="E35" s="45"/>
    </row>
    <row r="36" spans="1:5" ht="13.8" thickTop="1" x14ac:dyDescent="0.25">
      <c r="A36" t="s">
        <v>334</v>
      </c>
      <c r="B36" t="s">
        <v>8</v>
      </c>
      <c r="C36" t="s">
        <v>155</v>
      </c>
      <c r="D36" t="s">
        <v>39</v>
      </c>
      <c r="E36" t="s">
        <v>24</v>
      </c>
    </row>
    <row r="38" spans="1:5" ht="18" thickBot="1" x14ac:dyDescent="0.4">
      <c r="A38" s="45" t="s">
        <v>702</v>
      </c>
      <c r="B38" s="45"/>
      <c r="C38" s="45"/>
      <c r="D38" s="45"/>
      <c r="E38" s="45"/>
    </row>
    <row r="39" spans="1:5" ht="13.8" thickTop="1" x14ac:dyDescent="0.25">
      <c r="A39" t="s">
        <v>443</v>
      </c>
      <c r="B39" t="s">
        <v>8</v>
      </c>
      <c r="C39" t="s">
        <v>155</v>
      </c>
      <c r="D39" t="s">
        <v>230</v>
      </c>
      <c r="E39" t="s">
        <v>50</v>
      </c>
    </row>
    <row r="40" spans="1:5" x14ac:dyDescent="0.25">
      <c r="A40" t="s">
        <v>353</v>
      </c>
      <c r="B40" t="s">
        <v>280</v>
      </c>
      <c r="C40" t="s">
        <v>28</v>
      </c>
      <c r="D40" t="s">
        <v>232</v>
      </c>
      <c r="E40" t="s">
        <v>50</v>
      </c>
    </row>
    <row r="41" spans="1:5" x14ac:dyDescent="0.25">
      <c r="A41" t="s">
        <v>354</v>
      </c>
      <c r="B41" t="s">
        <v>280</v>
      </c>
      <c r="C41" t="s">
        <v>28</v>
      </c>
      <c r="D41" t="s">
        <v>233</v>
      </c>
      <c r="E41" t="s">
        <v>50</v>
      </c>
    </row>
    <row r="42" spans="1:5" x14ac:dyDescent="0.25">
      <c r="A42" t="s">
        <v>355</v>
      </c>
      <c r="B42" t="s">
        <v>280</v>
      </c>
      <c r="C42" t="s">
        <v>28</v>
      </c>
      <c r="D42" t="s">
        <v>234</v>
      </c>
      <c r="E42" t="s">
        <v>50</v>
      </c>
    </row>
    <row r="43" spans="1:5" x14ac:dyDescent="0.25">
      <c r="A43" t="s">
        <v>356</v>
      </c>
      <c r="B43" t="s">
        <v>280</v>
      </c>
      <c r="C43" t="s">
        <v>28</v>
      </c>
      <c r="D43" t="s">
        <v>235</v>
      </c>
      <c r="E43" t="s">
        <v>50</v>
      </c>
    </row>
    <row r="45" spans="1:5" ht="18" thickBot="1" x14ac:dyDescent="0.4">
      <c r="A45" s="45" t="s">
        <v>711</v>
      </c>
      <c r="B45" s="45"/>
      <c r="C45" s="45"/>
      <c r="D45" s="45"/>
      <c r="E45" s="45"/>
    </row>
    <row r="46" spans="1:5" ht="13.8" thickTop="1" x14ac:dyDescent="0.25">
      <c r="A46" t="s">
        <v>443</v>
      </c>
      <c r="B46" t="s">
        <v>8</v>
      </c>
      <c r="C46" t="s">
        <v>155</v>
      </c>
      <c r="D46" t="s">
        <v>230</v>
      </c>
      <c r="E46" t="s">
        <v>50</v>
      </c>
    </row>
    <row r="47" spans="1:5" x14ac:dyDescent="0.25">
      <c r="A47" t="s">
        <v>353</v>
      </c>
      <c r="B47" t="s">
        <v>280</v>
      </c>
      <c r="C47" t="s">
        <v>28</v>
      </c>
      <c r="D47" t="s">
        <v>232</v>
      </c>
      <c r="E47" t="s">
        <v>50</v>
      </c>
    </row>
    <row r="48" spans="1:5" x14ac:dyDescent="0.25">
      <c r="A48" t="s">
        <v>354</v>
      </c>
      <c r="B48" t="s">
        <v>280</v>
      </c>
      <c r="C48" t="s">
        <v>28</v>
      </c>
      <c r="D48" t="s">
        <v>233</v>
      </c>
      <c r="E48" t="s">
        <v>50</v>
      </c>
    </row>
    <row r="49" spans="1:5" x14ac:dyDescent="0.25">
      <c r="A49" t="s">
        <v>355</v>
      </c>
      <c r="B49" t="s">
        <v>280</v>
      </c>
      <c r="C49" t="s">
        <v>28</v>
      </c>
      <c r="D49" t="s">
        <v>234</v>
      </c>
      <c r="E49" t="s">
        <v>50</v>
      </c>
    </row>
    <row r="50" spans="1:5" x14ac:dyDescent="0.25">
      <c r="A50" t="s">
        <v>356</v>
      </c>
      <c r="B50" t="s">
        <v>280</v>
      </c>
      <c r="C50" t="s">
        <v>28</v>
      </c>
      <c r="D50" t="s">
        <v>235</v>
      </c>
      <c r="E50" t="s">
        <v>50</v>
      </c>
    </row>
    <row r="52" spans="1:5" ht="18" thickBot="1" x14ac:dyDescent="0.4">
      <c r="A52" s="45" t="s">
        <v>703</v>
      </c>
      <c r="B52" s="45"/>
      <c r="C52" s="45"/>
      <c r="D52" s="45"/>
      <c r="E52" s="45"/>
    </row>
    <row r="53" spans="1:5" ht="13.8" thickTop="1" x14ac:dyDescent="0.25">
      <c r="A53" t="s">
        <v>444</v>
      </c>
      <c r="B53" t="s">
        <v>8</v>
      </c>
      <c r="C53" t="s">
        <v>155</v>
      </c>
      <c r="D53" t="s">
        <v>246</v>
      </c>
      <c r="E53" t="s">
        <v>82</v>
      </c>
    </row>
    <row r="54" spans="1:5" x14ac:dyDescent="0.25">
      <c r="A54" t="s">
        <v>445</v>
      </c>
      <c r="B54" t="s">
        <v>280</v>
      </c>
      <c r="C54" t="s">
        <v>28</v>
      </c>
      <c r="D54" t="s">
        <v>247</v>
      </c>
      <c r="E54" t="s">
        <v>82</v>
      </c>
    </row>
    <row r="55" spans="1:5" x14ac:dyDescent="0.25">
      <c r="A55" t="s">
        <v>446</v>
      </c>
      <c r="B55" t="s">
        <v>280</v>
      </c>
      <c r="C55" t="s">
        <v>28</v>
      </c>
      <c r="D55" t="s">
        <v>248</v>
      </c>
      <c r="E55" t="s">
        <v>82</v>
      </c>
    </row>
    <row r="56" spans="1:5" x14ac:dyDescent="0.25">
      <c r="A56" t="s">
        <v>447</v>
      </c>
      <c r="B56" t="s">
        <v>280</v>
      </c>
      <c r="C56" t="s">
        <v>28</v>
      </c>
      <c r="D56" t="s">
        <v>249</v>
      </c>
      <c r="E56" t="s">
        <v>82</v>
      </c>
    </row>
    <row r="57" spans="1:5" x14ac:dyDescent="0.25">
      <c r="A57" t="s">
        <v>448</v>
      </c>
      <c r="B57" t="s">
        <v>280</v>
      </c>
      <c r="C57" t="s">
        <v>28</v>
      </c>
      <c r="D57" t="s">
        <v>250</v>
      </c>
      <c r="E57" t="s">
        <v>82</v>
      </c>
    </row>
    <row r="59" spans="1:5" ht="18" thickBot="1" x14ac:dyDescent="0.4">
      <c r="A59" s="45" t="s">
        <v>674</v>
      </c>
      <c r="B59" s="45"/>
      <c r="C59" s="45"/>
      <c r="D59" s="45"/>
      <c r="E59" s="45"/>
    </row>
    <row r="60" spans="1:5" ht="13.8" thickTop="1" x14ac:dyDescent="0.25">
      <c r="A60" t="s">
        <v>449</v>
      </c>
      <c r="B60" t="s">
        <v>280</v>
      </c>
      <c r="C60" t="s">
        <v>28</v>
      </c>
      <c r="D60" t="s">
        <v>112</v>
      </c>
      <c r="E60" t="s">
        <v>82</v>
      </c>
    </row>
    <row r="61" spans="1:5" x14ac:dyDescent="0.25">
      <c r="A61" t="s">
        <v>450</v>
      </c>
      <c r="B61" t="s">
        <v>280</v>
      </c>
      <c r="C61" t="s">
        <v>28</v>
      </c>
      <c r="D61" t="s">
        <v>147</v>
      </c>
      <c r="E61" t="s">
        <v>82</v>
      </c>
    </row>
    <row r="62" spans="1:5" x14ac:dyDescent="0.25">
      <c r="A62" t="s">
        <v>451</v>
      </c>
      <c r="B62" t="s">
        <v>280</v>
      </c>
      <c r="C62" t="s">
        <v>28</v>
      </c>
      <c r="D62" t="s">
        <v>148</v>
      </c>
      <c r="E62" t="s">
        <v>82</v>
      </c>
    </row>
    <row r="64" spans="1:5" ht="18" thickBot="1" x14ac:dyDescent="0.4">
      <c r="A64" s="45" t="s">
        <v>720</v>
      </c>
      <c r="B64" s="45"/>
      <c r="C64" s="45"/>
      <c r="D64" s="45"/>
      <c r="E64" s="45"/>
    </row>
    <row r="65" spans="1:5" ht="13.8" thickTop="1" x14ac:dyDescent="0.25">
      <c r="A65" t="s">
        <v>452</v>
      </c>
      <c r="B65" t="s">
        <v>280</v>
      </c>
      <c r="C65" t="s">
        <v>28</v>
      </c>
      <c r="D65" t="s">
        <v>197</v>
      </c>
      <c r="E65" t="s">
        <v>145</v>
      </c>
    </row>
    <row r="66" spans="1:5" x14ac:dyDescent="0.25">
      <c r="A66" t="s">
        <v>453</v>
      </c>
      <c r="B66" t="s">
        <v>280</v>
      </c>
      <c r="C66" t="s">
        <v>28</v>
      </c>
      <c r="D66" t="s">
        <v>198</v>
      </c>
      <c r="E66" t="s">
        <v>199</v>
      </c>
    </row>
    <row r="67" spans="1:5" x14ac:dyDescent="0.25">
      <c r="A67" t="s">
        <v>454</v>
      </c>
      <c r="B67" t="s">
        <v>280</v>
      </c>
      <c r="C67" t="s">
        <v>28</v>
      </c>
      <c r="D67" t="s">
        <v>200</v>
      </c>
      <c r="E67" t="s">
        <v>42</v>
      </c>
    </row>
    <row r="68" spans="1:5" x14ac:dyDescent="0.25">
      <c r="A68" t="s">
        <v>455</v>
      </c>
      <c r="B68" t="s">
        <v>280</v>
      </c>
      <c r="C68" t="s">
        <v>28</v>
      </c>
      <c r="D68" t="s">
        <v>201</v>
      </c>
      <c r="E68" t="s">
        <v>202</v>
      </c>
    </row>
    <row r="69" spans="1:5" x14ac:dyDescent="0.25">
      <c r="A69" t="s">
        <v>456</v>
      </c>
      <c r="B69" t="s">
        <v>280</v>
      </c>
      <c r="C69" t="s">
        <v>28</v>
      </c>
      <c r="D69" t="s">
        <v>144</v>
      </c>
      <c r="E69" t="s">
        <v>145</v>
      </c>
    </row>
    <row r="70" spans="1:5" x14ac:dyDescent="0.25">
      <c r="A70" t="s">
        <v>457</v>
      </c>
      <c r="B70" t="s">
        <v>280</v>
      </c>
      <c r="C70" t="s">
        <v>28</v>
      </c>
      <c r="D70" t="s">
        <v>146</v>
      </c>
      <c r="E70" t="s">
        <v>145</v>
      </c>
    </row>
    <row r="71" spans="1:5" x14ac:dyDescent="0.25">
      <c r="A71" t="s">
        <v>357</v>
      </c>
      <c r="B71" t="s">
        <v>280</v>
      </c>
      <c r="C71" t="s">
        <v>28</v>
      </c>
      <c r="D71" t="s">
        <v>150</v>
      </c>
      <c r="E71" t="s">
        <v>42</v>
      </c>
    </row>
    <row r="72" spans="1:5" x14ac:dyDescent="0.25">
      <c r="A72" t="s">
        <v>358</v>
      </c>
      <c r="B72" t="s">
        <v>280</v>
      </c>
      <c r="C72" t="s">
        <v>28</v>
      </c>
      <c r="D72" t="s">
        <v>151</v>
      </c>
      <c r="E72" t="s">
        <v>42</v>
      </c>
    </row>
    <row r="73" spans="1:5" x14ac:dyDescent="0.25">
      <c r="A73" t="s">
        <v>458</v>
      </c>
      <c r="B73" t="s">
        <v>280</v>
      </c>
      <c r="C73" t="s">
        <v>28</v>
      </c>
      <c r="D73" t="s">
        <v>203</v>
      </c>
      <c r="E73" t="s">
        <v>202</v>
      </c>
    </row>
    <row r="74" spans="1:5" x14ac:dyDescent="0.25">
      <c r="A74" t="s">
        <v>459</v>
      </c>
      <c r="B74" t="s">
        <v>280</v>
      </c>
      <c r="C74" t="s">
        <v>28</v>
      </c>
      <c r="D74" t="s">
        <v>204</v>
      </c>
      <c r="E74" t="s">
        <v>145</v>
      </c>
    </row>
    <row r="75" spans="1:5" x14ac:dyDescent="0.25">
      <c r="A75" t="s">
        <v>494</v>
      </c>
      <c r="B75" t="s">
        <v>280</v>
      </c>
      <c r="C75" t="s">
        <v>28</v>
      </c>
      <c r="D75" t="s">
        <v>205</v>
      </c>
      <c r="E75" t="s">
        <v>23</v>
      </c>
    </row>
    <row r="76" spans="1:5" x14ac:dyDescent="0.25">
      <c r="A76" t="s">
        <v>495</v>
      </c>
      <c r="B76" t="s">
        <v>280</v>
      </c>
      <c r="C76" t="s">
        <v>28</v>
      </c>
      <c r="D76" t="s">
        <v>206</v>
      </c>
      <c r="E76" t="s">
        <v>23</v>
      </c>
    </row>
    <row r="77" spans="1:5" x14ac:dyDescent="0.25">
      <c r="A77" t="s">
        <v>496</v>
      </c>
      <c r="B77" t="s">
        <v>280</v>
      </c>
      <c r="C77" t="s">
        <v>28</v>
      </c>
      <c r="D77" t="s">
        <v>207</v>
      </c>
      <c r="E77" t="s">
        <v>23</v>
      </c>
    </row>
    <row r="78" spans="1:5" x14ac:dyDescent="0.25">
      <c r="A78" t="s">
        <v>460</v>
      </c>
      <c r="B78" t="s">
        <v>8</v>
      </c>
      <c r="C78" t="s">
        <v>155</v>
      </c>
      <c r="D78" t="s">
        <v>208</v>
      </c>
      <c r="E78" t="s">
        <v>7</v>
      </c>
    </row>
    <row r="79" spans="1:5" x14ac:dyDescent="0.25">
      <c r="A79" t="s">
        <v>461</v>
      </c>
      <c r="B79" t="s">
        <v>277</v>
      </c>
      <c r="C79" t="s">
        <v>155</v>
      </c>
      <c r="D79" t="s">
        <v>209</v>
      </c>
      <c r="E79" t="s">
        <v>23</v>
      </c>
    </row>
    <row r="80" spans="1:5" x14ac:dyDescent="0.25">
      <c r="A80" t="s">
        <v>462</v>
      </c>
      <c r="B80" t="s">
        <v>277</v>
      </c>
      <c r="C80" t="s">
        <v>155</v>
      </c>
      <c r="D80" t="s">
        <v>210</v>
      </c>
      <c r="E80" t="s">
        <v>23</v>
      </c>
    </row>
    <row r="81" spans="1:5" x14ac:dyDescent="0.25">
      <c r="A81" t="s">
        <v>359</v>
      </c>
      <c r="B81" t="s">
        <v>280</v>
      </c>
      <c r="C81" t="s">
        <v>28</v>
      </c>
      <c r="D81" t="s">
        <v>211</v>
      </c>
      <c r="E81" t="s">
        <v>149</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34"/>
  <sheetViews>
    <sheetView topLeftCell="A109"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109375" bestFit="1" customWidth="1"/>
  </cols>
  <sheetData>
    <row r="1" spans="1:5" ht="19.5" customHeight="1" x14ac:dyDescent="0.25">
      <c r="A1" s="161" t="s">
        <v>291</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668</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330</v>
      </c>
      <c r="B19" t="s">
        <v>8</v>
      </c>
      <c r="C19" t="s">
        <v>155</v>
      </c>
      <c r="D19" t="s">
        <v>62</v>
      </c>
      <c r="E19" t="s">
        <v>23</v>
      </c>
    </row>
    <row r="20" spans="1:5" x14ac:dyDescent="0.25">
      <c r="A20" t="s">
        <v>331</v>
      </c>
      <c r="B20" t="s">
        <v>8</v>
      </c>
      <c r="C20" t="s">
        <v>155</v>
      </c>
      <c r="D20" t="s">
        <v>256</v>
      </c>
      <c r="E20" t="s">
        <v>23</v>
      </c>
    </row>
    <row r="21" spans="1:5" x14ac:dyDescent="0.25">
      <c r="A21" t="s">
        <v>332</v>
      </c>
      <c r="B21" t="s">
        <v>8</v>
      </c>
      <c r="C21" t="s">
        <v>155</v>
      </c>
      <c r="D21" t="s">
        <v>63</v>
      </c>
      <c r="E21" t="s">
        <v>23</v>
      </c>
    </row>
    <row r="22" spans="1:5" x14ac:dyDescent="0.25">
      <c r="A22" t="s">
        <v>379</v>
      </c>
      <c r="B22" t="s">
        <v>8</v>
      </c>
      <c r="C22" t="s">
        <v>155</v>
      </c>
      <c r="D22" t="s">
        <v>159</v>
      </c>
      <c r="E22" t="s">
        <v>23</v>
      </c>
    </row>
    <row r="23" spans="1:5" x14ac:dyDescent="0.25">
      <c r="A23" t="s">
        <v>380</v>
      </c>
      <c r="B23" t="s">
        <v>8</v>
      </c>
      <c r="C23" t="s">
        <v>155</v>
      </c>
      <c r="D23" t="s">
        <v>160</v>
      </c>
      <c r="E23" t="s">
        <v>23</v>
      </c>
    </row>
    <row r="24" spans="1:5" x14ac:dyDescent="0.25">
      <c r="A24" t="s">
        <v>323</v>
      </c>
      <c r="B24" t="s">
        <v>8</v>
      </c>
      <c r="C24" t="s">
        <v>155</v>
      </c>
      <c r="D24" t="s">
        <v>167</v>
      </c>
      <c r="E24" t="s">
        <v>7</v>
      </c>
    </row>
    <row r="25" spans="1:5" x14ac:dyDescent="0.25">
      <c r="A25" t="s">
        <v>326</v>
      </c>
      <c r="B25" t="s">
        <v>8</v>
      </c>
      <c r="C25" t="s">
        <v>155</v>
      </c>
      <c r="D25" t="s">
        <v>260</v>
      </c>
      <c r="E25" t="s">
        <v>7</v>
      </c>
    </row>
    <row r="26" spans="1:5" x14ac:dyDescent="0.25">
      <c r="A26" t="s">
        <v>324</v>
      </c>
      <c r="B26" t="s">
        <v>8</v>
      </c>
      <c r="C26" t="s">
        <v>155</v>
      </c>
      <c r="D26" t="s">
        <v>190</v>
      </c>
      <c r="E26" t="s">
        <v>7</v>
      </c>
    </row>
    <row r="27" spans="1:5" x14ac:dyDescent="0.25">
      <c r="A27" t="s">
        <v>387</v>
      </c>
      <c r="B27" t="s">
        <v>8</v>
      </c>
      <c r="C27" t="s">
        <v>155</v>
      </c>
      <c r="D27" t="s">
        <v>646</v>
      </c>
      <c r="E27" t="s">
        <v>7</v>
      </c>
    </row>
    <row r="28" spans="1:5" x14ac:dyDescent="0.25">
      <c r="A28" t="s">
        <v>388</v>
      </c>
      <c r="B28" t="s">
        <v>8</v>
      </c>
      <c r="C28" t="s">
        <v>155</v>
      </c>
      <c r="D28" t="s">
        <v>266</v>
      </c>
      <c r="E28" t="s">
        <v>7</v>
      </c>
    </row>
    <row r="29" spans="1:5" x14ac:dyDescent="0.25">
      <c r="A29" t="s">
        <v>389</v>
      </c>
      <c r="B29" t="s">
        <v>8</v>
      </c>
      <c r="C29" t="s">
        <v>155</v>
      </c>
      <c r="D29" t="s">
        <v>191</v>
      </c>
      <c r="E29" t="s">
        <v>7</v>
      </c>
    </row>
    <row r="30" spans="1:5" x14ac:dyDescent="0.25">
      <c r="A30" t="s">
        <v>390</v>
      </c>
      <c r="B30" t="s">
        <v>8</v>
      </c>
      <c r="C30" t="s">
        <v>155</v>
      </c>
      <c r="D30" t="s">
        <v>192</v>
      </c>
      <c r="E30" t="s">
        <v>7</v>
      </c>
    </row>
    <row r="31" spans="1:5" x14ac:dyDescent="0.25">
      <c r="A31" t="s">
        <v>391</v>
      </c>
      <c r="B31" t="s">
        <v>8</v>
      </c>
      <c r="C31" t="s">
        <v>155</v>
      </c>
      <c r="D31" t="s">
        <v>261</v>
      </c>
      <c r="E31" t="s">
        <v>7</v>
      </c>
    </row>
    <row r="32" spans="1:5" x14ac:dyDescent="0.25">
      <c r="A32" t="s">
        <v>392</v>
      </c>
      <c r="B32" t="s">
        <v>8</v>
      </c>
      <c r="C32" t="s">
        <v>155</v>
      </c>
      <c r="D32" t="s">
        <v>268</v>
      </c>
      <c r="E32" t="s">
        <v>7</v>
      </c>
    </row>
    <row r="33" spans="1:5" x14ac:dyDescent="0.25">
      <c r="A33" t="s">
        <v>398</v>
      </c>
      <c r="B33" t="s">
        <v>8</v>
      </c>
      <c r="C33" t="s">
        <v>155</v>
      </c>
      <c r="D33" t="s">
        <v>645</v>
      </c>
      <c r="E33" t="s">
        <v>7</v>
      </c>
    </row>
    <row r="34" spans="1:5" x14ac:dyDescent="0.25">
      <c r="A34" t="s">
        <v>393</v>
      </c>
      <c r="B34" t="s">
        <v>8</v>
      </c>
      <c r="C34" t="s">
        <v>155</v>
      </c>
      <c r="D34" t="s">
        <v>262</v>
      </c>
      <c r="E34" t="s">
        <v>7</v>
      </c>
    </row>
    <row r="35" spans="1:5" x14ac:dyDescent="0.25">
      <c r="A35" t="s">
        <v>394</v>
      </c>
      <c r="B35" t="s">
        <v>8</v>
      </c>
      <c r="C35" t="s">
        <v>155</v>
      </c>
      <c r="D35" t="s">
        <v>29</v>
      </c>
      <c r="E35" t="s">
        <v>7</v>
      </c>
    </row>
    <row r="36" spans="1:5" x14ac:dyDescent="0.25">
      <c r="A36" t="s">
        <v>395</v>
      </c>
      <c r="B36" t="s">
        <v>8</v>
      </c>
      <c r="C36" t="s">
        <v>155</v>
      </c>
      <c r="D36" t="s">
        <v>30</v>
      </c>
      <c r="E36" t="s">
        <v>7</v>
      </c>
    </row>
    <row r="37" spans="1:5" x14ac:dyDescent="0.25">
      <c r="A37" t="s">
        <v>396</v>
      </c>
      <c r="B37" t="s">
        <v>8</v>
      </c>
      <c r="C37" t="s">
        <v>155</v>
      </c>
      <c r="D37" t="s">
        <v>263</v>
      </c>
      <c r="E37" t="s">
        <v>7</v>
      </c>
    </row>
    <row r="38" spans="1:5" x14ac:dyDescent="0.25">
      <c r="A38" t="s">
        <v>397</v>
      </c>
      <c r="B38" t="s">
        <v>8</v>
      </c>
      <c r="C38" t="s">
        <v>155</v>
      </c>
      <c r="D38" t="s">
        <v>31</v>
      </c>
      <c r="E38" t="s">
        <v>7</v>
      </c>
    </row>
    <row r="39" spans="1:5" x14ac:dyDescent="0.25">
      <c r="A39" t="s">
        <v>399</v>
      </c>
      <c r="B39" t="s">
        <v>8</v>
      </c>
      <c r="C39" t="s">
        <v>155</v>
      </c>
      <c r="D39" t="s">
        <v>64</v>
      </c>
      <c r="E39" t="s">
        <v>19</v>
      </c>
    </row>
    <row r="40" spans="1:5" x14ac:dyDescent="0.25">
      <c r="A40" t="s">
        <v>400</v>
      </c>
      <c r="B40" t="s">
        <v>8</v>
      </c>
      <c r="C40" t="s">
        <v>155</v>
      </c>
      <c r="D40" t="s">
        <v>65</v>
      </c>
      <c r="E40" t="s">
        <v>7</v>
      </c>
    </row>
    <row r="41" spans="1:5" x14ac:dyDescent="0.25">
      <c r="A41" t="s">
        <v>401</v>
      </c>
      <c r="B41" t="s">
        <v>8</v>
      </c>
      <c r="C41" t="s">
        <v>155</v>
      </c>
      <c r="D41" t="s">
        <v>264</v>
      </c>
      <c r="E41" t="s">
        <v>7</v>
      </c>
    </row>
    <row r="42" spans="1:5" x14ac:dyDescent="0.25">
      <c r="A42" t="s">
        <v>402</v>
      </c>
      <c r="B42" t="s">
        <v>8</v>
      </c>
      <c r="C42" t="s">
        <v>155</v>
      </c>
      <c r="D42" t="s">
        <v>66</v>
      </c>
      <c r="E42" t="s">
        <v>7</v>
      </c>
    </row>
    <row r="43" spans="1:5" x14ac:dyDescent="0.25">
      <c r="A43" t="s">
        <v>403</v>
      </c>
      <c r="B43" t="s">
        <v>8</v>
      </c>
      <c r="C43" t="s">
        <v>155</v>
      </c>
      <c r="D43" t="s">
        <v>67</v>
      </c>
      <c r="E43" t="s">
        <v>7</v>
      </c>
    </row>
    <row r="44" spans="1:5" x14ac:dyDescent="0.25">
      <c r="A44" t="s">
        <v>405</v>
      </c>
      <c r="B44" t="s">
        <v>8</v>
      </c>
      <c r="C44" t="s">
        <v>155</v>
      </c>
      <c r="D44" t="s">
        <v>265</v>
      </c>
      <c r="E44" t="s">
        <v>7</v>
      </c>
    </row>
    <row r="45" spans="1:5" x14ac:dyDescent="0.25">
      <c r="A45" t="s">
        <v>404</v>
      </c>
      <c r="B45" t="s">
        <v>8</v>
      </c>
      <c r="C45" t="s">
        <v>155</v>
      </c>
      <c r="D45" t="s">
        <v>68</v>
      </c>
      <c r="E45" t="s">
        <v>7</v>
      </c>
    </row>
    <row r="46" spans="1:5" x14ac:dyDescent="0.25">
      <c r="A46" t="s">
        <v>406</v>
      </c>
      <c r="B46" t="s">
        <v>8</v>
      </c>
      <c r="C46" t="s">
        <v>155</v>
      </c>
      <c r="D46" t="s">
        <v>36</v>
      </c>
      <c r="E46" t="s">
        <v>7</v>
      </c>
    </row>
    <row r="48" spans="1:5" ht="18" thickBot="1" x14ac:dyDescent="0.4">
      <c r="A48" s="45" t="s">
        <v>669</v>
      </c>
      <c r="B48" s="45"/>
      <c r="C48" s="45"/>
      <c r="D48" s="45"/>
      <c r="E48" s="45"/>
    </row>
    <row r="49" spans="1:5" ht="13.8" thickTop="1" x14ac:dyDescent="0.25">
      <c r="A49" t="s">
        <v>321</v>
      </c>
      <c r="B49" t="s">
        <v>8</v>
      </c>
      <c r="C49" t="s">
        <v>155</v>
      </c>
      <c r="D49" t="s">
        <v>165</v>
      </c>
      <c r="E49" t="s">
        <v>7</v>
      </c>
    </row>
    <row r="50" spans="1:5" x14ac:dyDescent="0.25">
      <c r="A50" t="s">
        <v>325</v>
      </c>
      <c r="B50" t="s">
        <v>8</v>
      </c>
      <c r="C50" t="s">
        <v>155</v>
      </c>
      <c r="D50" t="s">
        <v>259</v>
      </c>
      <c r="E50" t="s">
        <v>7</v>
      </c>
    </row>
    <row r="51" spans="1:5" x14ac:dyDescent="0.25">
      <c r="A51" t="s">
        <v>322</v>
      </c>
      <c r="B51" t="s">
        <v>8</v>
      </c>
      <c r="C51" t="s">
        <v>155</v>
      </c>
      <c r="D51" t="s">
        <v>166</v>
      </c>
      <c r="E51" t="s">
        <v>7</v>
      </c>
    </row>
    <row r="53" spans="1:5" ht="18" thickBot="1" x14ac:dyDescent="0.4">
      <c r="A53" s="45" t="s">
        <v>670</v>
      </c>
      <c r="B53" s="45"/>
      <c r="C53" s="45"/>
      <c r="D53" s="45"/>
      <c r="E53" s="45"/>
    </row>
    <row r="54" spans="1:5" ht="13.8" thickTop="1" x14ac:dyDescent="0.25">
      <c r="A54" t="s">
        <v>418</v>
      </c>
      <c r="B54" t="s">
        <v>8</v>
      </c>
      <c r="C54" t="s">
        <v>155</v>
      </c>
      <c r="D54" t="s">
        <v>90</v>
      </c>
      <c r="E54" t="s">
        <v>23</v>
      </c>
    </row>
    <row r="55" spans="1:5" x14ac:dyDescent="0.25">
      <c r="A55" t="s">
        <v>419</v>
      </c>
      <c r="B55" t="s">
        <v>8</v>
      </c>
      <c r="C55" t="s">
        <v>155</v>
      </c>
      <c r="D55" t="s">
        <v>92</v>
      </c>
      <c r="E55" t="s">
        <v>19</v>
      </c>
    </row>
    <row r="56" spans="1:5" x14ac:dyDescent="0.25">
      <c r="A56" t="s">
        <v>420</v>
      </c>
      <c r="B56" t="s">
        <v>8</v>
      </c>
      <c r="C56" t="s">
        <v>155</v>
      </c>
      <c r="D56" t="s">
        <v>93</v>
      </c>
      <c r="E56" t="s">
        <v>23</v>
      </c>
    </row>
    <row r="57" spans="1:5" x14ac:dyDescent="0.25">
      <c r="A57" t="s">
        <v>421</v>
      </c>
      <c r="B57" t="s">
        <v>8</v>
      </c>
      <c r="C57" t="s">
        <v>155</v>
      </c>
      <c r="D57" t="s">
        <v>195</v>
      </c>
      <c r="E57" t="s">
        <v>7</v>
      </c>
    </row>
    <row r="58" spans="1:5" x14ac:dyDescent="0.25">
      <c r="A58" t="s">
        <v>423</v>
      </c>
      <c r="B58" t="s">
        <v>8</v>
      </c>
      <c r="C58" t="s">
        <v>155</v>
      </c>
      <c r="D58" t="s">
        <v>94</v>
      </c>
      <c r="E58" t="s">
        <v>7</v>
      </c>
    </row>
    <row r="59" spans="1:5" x14ac:dyDescent="0.25">
      <c r="A59" t="s">
        <v>422</v>
      </c>
      <c r="B59" t="s">
        <v>8</v>
      </c>
      <c r="C59" t="s">
        <v>155</v>
      </c>
      <c r="D59" t="s">
        <v>95</v>
      </c>
      <c r="E59" t="s">
        <v>7</v>
      </c>
    </row>
    <row r="60" spans="1:5" x14ac:dyDescent="0.25">
      <c r="A60" t="s">
        <v>424</v>
      </c>
      <c r="B60" t="s">
        <v>8</v>
      </c>
      <c r="C60" t="s">
        <v>155</v>
      </c>
      <c r="D60" t="s">
        <v>100</v>
      </c>
      <c r="E60" t="s">
        <v>7</v>
      </c>
    </row>
    <row r="61" spans="1:5" x14ac:dyDescent="0.25">
      <c r="A61" t="s">
        <v>425</v>
      </c>
      <c r="B61" t="s">
        <v>8</v>
      </c>
      <c r="C61" t="s">
        <v>155</v>
      </c>
      <c r="D61" t="s">
        <v>96</v>
      </c>
      <c r="E61" t="s">
        <v>7</v>
      </c>
    </row>
    <row r="62" spans="1:5" x14ac:dyDescent="0.25">
      <c r="A62" t="s">
        <v>426</v>
      </c>
      <c r="B62" t="s">
        <v>8</v>
      </c>
      <c r="C62" t="s">
        <v>155</v>
      </c>
      <c r="D62" t="s">
        <v>98</v>
      </c>
      <c r="E62" t="s">
        <v>7</v>
      </c>
    </row>
    <row r="63" spans="1:5" x14ac:dyDescent="0.25">
      <c r="A63" t="s">
        <v>427</v>
      </c>
      <c r="B63" t="s">
        <v>8</v>
      </c>
      <c r="C63" t="s">
        <v>155</v>
      </c>
      <c r="D63" t="s">
        <v>99</v>
      </c>
      <c r="E63" t="s">
        <v>7</v>
      </c>
    </row>
    <row r="64" spans="1:5" x14ac:dyDescent="0.25">
      <c r="A64" t="s">
        <v>428</v>
      </c>
      <c r="B64" t="s">
        <v>8</v>
      </c>
      <c r="C64" t="s">
        <v>155</v>
      </c>
      <c r="D64" t="s">
        <v>97</v>
      </c>
      <c r="E64" t="s">
        <v>19</v>
      </c>
    </row>
    <row r="66" spans="1:5" ht="18" thickBot="1" x14ac:dyDescent="0.4">
      <c r="A66" s="45" t="s">
        <v>671</v>
      </c>
      <c r="B66" s="45"/>
      <c r="C66" s="45"/>
      <c r="D66" s="45"/>
      <c r="E66" s="45"/>
    </row>
    <row r="67" spans="1:5" ht="13.8" thickTop="1" x14ac:dyDescent="0.25">
      <c r="A67" t="s">
        <v>347</v>
      </c>
      <c r="B67" t="s">
        <v>8</v>
      </c>
      <c r="C67" t="s">
        <v>155</v>
      </c>
      <c r="D67" t="s">
        <v>170</v>
      </c>
      <c r="E67" t="s">
        <v>7</v>
      </c>
    </row>
    <row r="68" spans="1:5" x14ac:dyDescent="0.25">
      <c r="A68" t="s">
        <v>348</v>
      </c>
      <c r="B68" t="s">
        <v>8</v>
      </c>
      <c r="C68" t="s">
        <v>155</v>
      </c>
      <c r="D68" t="s">
        <v>171</v>
      </c>
      <c r="E68" t="s">
        <v>7</v>
      </c>
    </row>
    <row r="69" spans="1:5" x14ac:dyDescent="0.25">
      <c r="A69" t="s">
        <v>349</v>
      </c>
      <c r="B69" t="s">
        <v>8</v>
      </c>
      <c r="C69" t="s">
        <v>155</v>
      </c>
      <c r="D69" t="s">
        <v>172</v>
      </c>
      <c r="E69" t="s">
        <v>7</v>
      </c>
    </row>
    <row r="70" spans="1:5" x14ac:dyDescent="0.25">
      <c r="A70" t="s">
        <v>350</v>
      </c>
      <c r="B70" t="s">
        <v>8</v>
      </c>
      <c r="C70" t="s">
        <v>155</v>
      </c>
      <c r="D70" t="s">
        <v>173</v>
      </c>
      <c r="E70" t="s">
        <v>7</v>
      </c>
    </row>
    <row r="71" spans="1:5" x14ac:dyDescent="0.25">
      <c r="A71" t="s">
        <v>429</v>
      </c>
      <c r="B71" t="s">
        <v>8</v>
      </c>
      <c r="C71" t="s">
        <v>155</v>
      </c>
      <c r="D71" t="s">
        <v>174</v>
      </c>
      <c r="E71" t="s">
        <v>7</v>
      </c>
    </row>
    <row r="72" spans="1:5" x14ac:dyDescent="0.25">
      <c r="A72" t="s">
        <v>430</v>
      </c>
      <c r="B72" t="s">
        <v>8</v>
      </c>
      <c r="C72" t="s">
        <v>155</v>
      </c>
      <c r="D72" t="s">
        <v>175</v>
      </c>
      <c r="E72" t="s">
        <v>7</v>
      </c>
    </row>
    <row r="74" spans="1:5" ht="18" thickBot="1" x14ac:dyDescent="0.4">
      <c r="A74" s="45" t="s">
        <v>672</v>
      </c>
      <c r="B74" s="45"/>
      <c r="C74" s="45"/>
      <c r="D74" s="45"/>
      <c r="E74" s="45"/>
    </row>
    <row r="75" spans="1:5" ht="13.8" thickTop="1" x14ac:dyDescent="0.25">
      <c r="A75" t="s">
        <v>333</v>
      </c>
      <c r="B75" t="s">
        <v>277</v>
      </c>
      <c r="C75" t="s">
        <v>155</v>
      </c>
      <c r="D75" t="s">
        <v>22</v>
      </c>
      <c r="E75" t="s">
        <v>23</v>
      </c>
    </row>
    <row r="77" spans="1:5" ht="18" thickBot="1" x14ac:dyDescent="0.4">
      <c r="A77" s="45" t="s">
        <v>673</v>
      </c>
      <c r="B77" s="45"/>
      <c r="C77" s="45"/>
      <c r="D77" s="45"/>
      <c r="E77" s="45"/>
    </row>
    <row r="78" spans="1:5" ht="13.8" thickTop="1" x14ac:dyDescent="0.25">
      <c r="A78" t="s">
        <v>352</v>
      </c>
      <c r="B78" t="s">
        <v>277</v>
      </c>
      <c r="C78" t="s">
        <v>155</v>
      </c>
      <c r="D78" t="s">
        <v>212</v>
      </c>
      <c r="E78" t="s">
        <v>23</v>
      </c>
    </row>
    <row r="80" spans="1:5" ht="18" thickBot="1" x14ac:dyDescent="0.4">
      <c r="A80" s="45" t="s">
        <v>674</v>
      </c>
      <c r="B80" s="45"/>
      <c r="C80" s="45"/>
      <c r="D80" s="45"/>
      <c r="E80" s="45"/>
    </row>
    <row r="81" spans="1:5" ht="13.8" thickTop="1" x14ac:dyDescent="0.25">
      <c r="A81" t="s">
        <v>449</v>
      </c>
      <c r="B81" t="s">
        <v>280</v>
      </c>
      <c r="C81" t="s">
        <v>28</v>
      </c>
      <c r="D81" t="s">
        <v>112</v>
      </c>
      <c r="E81" t="s">
        <v>82</v>
      </c>
    </row>
    <row r="82" spans="1:5" x14ac:dyDescent="0.25">
      <c r="A82" t="s">
        <v>450</v>
      </c>
      <c r="B82" t="s">
        <v>280</v>
      </c>
      <c r="C82" t="s">
        <v>28</v>
      </c>
      <c r="D82" t="s">
        <v>147</v>
      </c>
      <c r="E82" t="s">
        <v>82</v>
      </c>
    </row>
    <row r="83" spans="1:5" x14ac:dyDescent="0.25">
      <c r="A83" t="s">
        <v>451</v>
      </c>
      <c r="B83" t="s">
        <v>280</v>
      </c>
      <c r="C83" t="s">
        <v>28</v>
      </c>
      <c r="D83" t="s">
        <v>148</v>
      </c>
      <c r="E83" t="s">
        <v>82</v>
      </c>
    </row>
    <row r="85" spans="1:5" ht="18" thickBot="1" x14ac:dyDescent="0.4">
      <c r="A85" s="45" t="s">
        <v>675</v>
      </c>
      <c r="B85" s="45"/>
      <c r="C85" s="45"/>
      <c r="D85" s="45"/>
      <c r="E85" s="45"/>
    </row>
    <row r="86" spans="1:5" ht="13.8" thickTop="1" x14ac:dyDescent="0.25">
      <c r="A86" t="s">
        <v>617</v>
      </c>
      <c r="B86" t="s">
        <v>280</v>
      </c>
      <c r="C86" t="s">
        <v>28</v>
      </c>
      <c r="D86" t="s">
        <v>113</v>
      </c>
      <c r="E86" t="s">
        <v>23</v>
      </c>
    </row>
    <row r="87" spans="1:5" x14ac:dyDescent="0.25">
      <c r="A87" t="s">
        <v>618</v>
      </c>
      <c r="B87" t="s">
        <v>280</v>
      </c>
      <c r="C87" t="s">
        <v>28</v>
      </c>
      <c r="D87" t="s">
        <v>114</v>
      </c>
      <c r="E87" t="s">
        <v>23</v>
      </c>
    </row>
    <row r="88" spans="1:5" x14ac:dyDescent="0.25">
      <c r="A88" t="s">
        <v>619</v>
      </c>
      <c r="B88" t="s">
        <v>280</v>
      </c>
      <c r="C88" t="s">
        <v>28</v>
      </c>
      <c r="D88" t="s">
        <v>243</v>
      </c>
      <c r="E88" t="s">
        <v>23</v>
      </c>
    </row>
    <row r="89" spans="1:5" x14ac:dyDescent="0.25">
      <c r="A89" t="s">
        <v>620</v>
      </c>
      <c r="B89" t="s">
        <v>280</v>
      </c>
      <c r="C89" t="s">
        <v>28</v>
      </c>
      <c r="D89" t="s">
        <v>244</v>
      </c>
      <c r="E89" t="s">
        <v>23</v>
      </c>
    </row>
    <row r="90" spans="1:5" x14ac:dyDescent="0.25">
      <c r="A90" t="s">
        <v>621</v>
      </c>
      <c r="B90" t="s">
        <v>280</v>
      </c>
      <c r="C90" t="s">
        <v>28</v>
      </c>
      <c r="D90" t="s">
        <v>115</v>
      </c>
      <c r="E90" t="s">
        <v>23</v>
      </c>
    </row>
    <row r="91" spans="1:5" x14ac:dyDescent="0.25">
      <c r="A91" t="s">
        <v>622</v>
      </c>
      <c r="B91" t="s">
        <v>280</v>
      </c>
      <c r="C91" t="s">
        <v>28</v>
      </c>
      <c r="D91" t="s">
        <v>116</v>
      </c>
      <c r="E91" t="s">
        <v>23</v>
      </c>
    </row>
    <row r="92" spans="1:5" x14ac:dyDescent="0.25">
      <c r="A92" t="s">
        <v>629</v>
      </c>
      <c r="B92" t="s">
        <v>280</v>
      </c>
      <c r="C92" t="s">
        <v>28</v>
      </c>
      <c r="D92" t="s">
        <v>186</v>
      </c>
      <c r="E92" t="s">
        <v>23</v>
      </c>
    </row>
    <row r="93" spans="1:5" x14ac:dyDescent="0.25">
      <c r="A93" t="s">
        <v>630</v>
      </c>
      <c r="B93" t="s">
        <v>280</v>
      </c>
      <c r="C93" t="s">
        <v>28</v>
      </c>
      <c r="D93" t="s">
        <v>187</v>
      </c>
      <c r="E93" t="s">
        <v>23</v>
      </c>
    </row>
    <row r="94" spans="1:5" x14ac:dyDescent="0.25">
      <c r="A94" t="s">
        <v>631</v>
      </c>
      <c r="B94" t="s">
        <v>280</v>
      </c>
      <c r="C94" t="s">
        <v>28</v>
      </c>
      <c r="D94" t="s">
        <v>188</v>
      </c>
      <c r="E94" t="s">
        <v>23</v>
      </c>
    </row>
    <row r="95" spans="1:5" x14ac:dyDescent="0.25">
      <c r="A95" t="s">
        <v>632</v>
      </c>
      <c r="B95" t="s">
        <v>280</v>
      </c>
      <c r="C95" t="s">
        <v>28</v>
      </c>
      <c r="D95" t="s">
        <v>189</v>
      </c>
      <c r="E95" t="s">
        <v>23</v>
      </c>
    </row>
    <row r="97" spans="1:5" ht="18" thickBot="1" x14ac:dyDescent="0.4">
      <c r="A97" s="45" t="s">
        <v>676</v>
      </c>
      <c r="B97" s="45"/>
      <c r="C97" s="45"/>
      <c r="D97" s="45"/>
      <c r="E97" s="45"/>
    </row>
    <row r="98" spans="1:5" ht="13.8" thickTop="1" x14ac:dyDescent="0.25">
      <c r="A98" t="s">
        <v>623</v>
      </c>
      <c r="B98" t="s">
        <v>280</v>
      </c>
      <c r="C98" t="s">
        <v>28</v>
      </c>
      <c r="D98" t="s">
        <v>117</v>
      </c>
      <c r="E98" t="s">
        <v>23</v>
      </c>
    </row>
    <row r="99" spans="1:5" x14ac:dyDescent="0.25">
      <c r="A99" t="s">
        <v>624</v>
      </c>
      <c r="B99" t="s">
        <v>280</v>
      </c>
      <c r="C99" t="s">
        <v>28</v>
      </c>
      <c r="D99" t="s">
        <v>118</v>
      </c>
      <c r="E99" t="s">
        <v>23</v>
      </c>
    </row>
    <row r="100" spans="1:5" x14ac:dyDescent="0.25">
      <c r="A100" t="s">
        <v>625</v>
      </c>
      <c r="B100" t="s">
        <v>280</v>
      </c>
      <c r="C100" t="s">
        <v>28</v>
      </c>
      <c r="D100" t="s">
        <v>222</v>
      </c>
      <c r="E100" t="s">
        <v>23</v>
      </c>
    </row>
    <row r="101" spans="1:5" x14ac:dyDescent="0.25">
      <c r="A101" t="s">
        <v>626</v>
      </c>
      <c r="B101" t="s">
        <v>280</v>
      </c>
      <c r="C101" t="s">
        <v>28</v>
      </c>
      <c r="D101" t="s">
        <v>223</v>
      </c>
      <c r="E101" t="s">
        <v>23</v>
      </c>
    </row>
    <row r="102" spans="1:5" x14ac:dyDescent="0.25">
      <c r="A102" t="s">
        <v>627</v>
      </c>
      <c r="B102" t="s">
        <v>280</v>
      </c>
      <c r="C102" t="s">
        <v>28</v>
      </c>
      <c r="D102" t="s">
        <v>119</v>
      </c>
      <c r="E102" t="s">
        <v>23</v>
      </c>
    </row>
    <row r="103" spans="1:5" x14ac:dyDescent="0.25">
      <c r="A103" t="s">
        <v>628</v>
      </c>
      <c r="B103" t="s">
        <v>280</v>
      </c>
      <c r="C103" t="s">
        <v>28</v>
      </c>
      <c r="D103" t="s">
        <v>120</v>
      </c>
      <c r="E103" t="s">
        <v>23</v>
      </c>
    </row>
    <row r="104" spans="1:5" x14ac:dyDescent="0.25">
      <c r="A104" t="s">
        <v>633</v>
      </c>
      <c r="B104" t="s">
        <v>280</v>
      </c>
      <c r="C104" t="s">
        <v>28</v>
      </c>
      <c r="D104" t="s">
        <v>121</v>
      </c>
      <c r="E104" t="s">
        <v>23</v>
      </c>
    </row>
    <row r="105" spans="1:5" x14ac:dyDescent="0.25">
      <c r="A105" t="s">
        <v>634</v>
      </c>
      <c r="B105" t="s">
        <v>280</v>
      </c>
      <c r="C105" t="s">
        <v>28</v>
      </c>
      <c r="D105" t="s">
        <v>122</v>
      </c>
      <c r="E105" t="s">
        <v>23</v>
      </c>
    </row>
    <row r="107" spans="1:5" ht="18" thickBot="1" x14ac:dyDescent="0.4">
      <c r="A107" s="45" t="s">
        <v>677</v>
      </c>
      <c r="B107" s="45"/>
      <c r="C107" s="45"/>
      <c r="D107" s="45"/>
      <c r="E107" s="45"/>
    </row>
    <row r="108" spans="1:5" ht="13.8" thickTop="1" x14ac:dyDescent="0.25">
      <c r="A108" t="s">
        <v>483</v>
      </c>
      <c r="B108" t="s">
        <v>8</v>
      </c>
      <c r="C108" t="s">
        <v>155</v>
      </c>
      <c r="D108" t="s">
        <v>70</v>
      </c>
      <c r="E108" t="s">
        <v>7</v>
      </c>
    </row>
    <row r="109" spans="1:5" x14ac:dyDescent="0.25">
      <c r="A109" t="s">
        <v>554</v>
      </c>
      <c r="B109" t="s">
        <v>8</v>
      </c>
      <c r="C109" t="s">
        <v>155</v>
      </c>
      <c r="D109" t="s">
        <v>642</v>
      </c>
      <c r="E109" t="s">
        <v>19</v>
      </c>
    </row>
    <row r="110" spans="1:5" x14ac:dyDescent="0.25">
      <c r="A110" t="s">
        <v>553</v>
      </c>
      <c r="B110" t="s">
        <v>8</v>
      </c>
      <c r="C110" t="s">
        <v>155</v>
      </c>
      <c r="D110" t="s">
        <v>643</v>
      </c>
      <c r="E110" t="s">
        <v>19</v>
      </c>
    </row>
    <row r="111" spans="1:5" x14ac:dyDescent="0.25">
      <c r="A111" t="s">
        <v>552</v>
      </c>
      <c r="B111" t="s">
        <v>8</v>
      </c>
      <c r="C111" t="s">
        <v>155</v>
      </c>
      <c r="D111" t="s">
        <v>641</v>
      </c>
      <c r="E111" t="s">
        <v>19</v>
      </c>
    </row>
    <row r="112" spans="1:5" x14ac:dyDescent="0.25">
      <c r="A112" t="s">
        <v>360</v>
      </c>
      <c r="B112" t="s">
        <v>8</v>
      </c>
      <c r="C112" t="s">
        <v>155</v>
      </c>
      <c r="D112" t="s">
        <v>34</v>
      </c>
      <c r="E112" t="s">
        <v>19</v>
      </c>
    </row>
    <row r="113" spans="1:5" x14ac:dyDescent="0.25">
      <c r="A113" t="s">
        <v>361</v>
      </c>
      <c r="B113" t="s">
        <v>8</v>
      </c>
      <c r="C113" t="s">
        <v>155</v>
      </c>
      <c r="D113" t="s">
        <v>267</v>
      </c>
      <c r="E113" t="s">
        <v>19</v>
      </c>
    </row>
    <row r="114" spans="1:5" x14ac:dyDescent="0.25">
      <c r="A114" t="s">
        <v>362</v>
      </c>
      <c r="B114" t="s">
        <v>8</v>
      </c>
      <c r="C114" t="s">
        <v>155</v>
      </c>
      <c r="D114" t="s">
        <v>35</v>
      </c>
      <c r="E114" t="s">
        <v>19</v>
      </c>
    </row>
    <row r="115" spans="1:5" ht="18" thickBot="1" x14ac:dyDescent="0.4">
      <c r="A115" s="45"/>
      <c r="B115" s="45"/>
      <c r="C115" s="45"/>
      <c r="D115" s="45"/>
      <c r="E115" s="45"/>
    </row>
    <row r="116" spans="1:5" ht="18.600000000000001" thickTop="1" thickBot="1" x14ac:dyDescent="0.4">
      <c r="A116" s="45" t="s">
        <v>678</v>
      </c>
      <c r="B116" s="45"/>
      <c r="C116" s="45"/>
      <c r="D116" s="45"/>
      <c r="E116" s="45"/>
    </row>
    <row r="117" spans="1:5" ht="13.8" thickTop="1" x14ac:dyDescent="0.25">
      <c r="A117" t="s">
        <v>484</v>
      </c>
      <c r="B117" t="s">
        <v>280</v>
      </c>
      <c r="C117" t="s">
        <v>28</v>
      </c>
      <c r="D117" t="s">
        <v>213</v>
      </c>
      <c r="E117" t="s">
        <v>23</v>
      </c>
    </row>
    <row r="118" spans="1:5" ht="18" thickBot="1" x14ac:dyDescent="0.4">
      <c r="A118" s="45"/>
      <c r="B118" s="45"/>
      <c r="C118" s="45"/>
      <c r="D118" s="45"/>
      <c r="E118" s="45"/>
    </row>
    <row r="119" spans="1:5" ht="18.600000000000001" thickTop="1" thickBot="1" x14ac:dyDescent="0.4">
      <c r="A119" s="45" t="s">
        <v>679</v>
      </c>
      <c r="B119" s="45"/>
      <c r="C119" s="45"/>
      <c r="D119" s="45"/>
      <c r="E119" s="45"/>
    </row>
    <row r="120" spans="1:5" ht="13.8" thickTop="1" x14ac:dyDescent="0.25">
      <c r="A120" t="s">
        <v>469</v>
      </c>
      <c r="B120" t="s">
        <v>280</v>
      </c>
      <c r="C120" t="s">
        <v>28</v>
      </c>
      <c r="D120" t="s">
        <v>133</v>
      </c>
      <c r="E120" t="s">
        <v>7</v>
      </c>
    </row>
    <row r="122" spans="1:5" ht="18" thickBot="1" x14ac:dyDescent="0.4">
      <c r="A122" s="45" t="s">
        <v>680</v>
      </c>
      <c r="B122" s="45"/>
      <c r="C122" s="45"/>
      <c r="D122" s="45"/>
      <c r="E122" s="45"/>
    </row>
    <row r="123" spans="1:5" ht="13.8" thickTop="1" x14ac:dyDescent="0.25">
      <c r="A123" t="s">
        <v>493</v>
      </c>
      <c r="B123" t="s">
        <v>8</v>
      </c>
      <c r="C123" t="s">
        <v>155</v>
      </c>
      <c r="D123" t="s">
        <v>79</v>
      </c>
      <c r="E123" t="s">
        <v>23</v>
      </c>
    </row>
    <row r="124" spans="1:5" x14ac:dyDescent="0.25">
      <c r="A124" t="s">
        <v>364</v>
      </c>
      <c r="B124" t="s">
        <v>8</v>
      </c>
      <c r="C124" t="s">
        <v>155</v>
      </c>
      <c r="D124" t="s">
        <v>80</v>
      </c>
      <c r="E124" t="s">
        <v>7</v>
      </c>
    </row>
    <row r="126" spans="1:5" ht="18" thickBot="1" x14ac:dyDescent="0.4">
      <c r="A126" s="45" t="s">
        <v>681</v>
      </c>
      <c r="B126" s="45"/>
      <c r="C126" s="45"/>
      <c r="D126" s="45"/>
      <c r="E126" s="45"/>
    </row>
    <row r="127" spans="1:5" ht="13.8" thickTop="1" x14ac:dyDescent="0.25">
      <c r="A127" t="s">
        <v>491</v>
      </c>
      <c r="B127" t="s">
        <v>8</v>
      </c>
      <c r="C127" t="s">
        <v>155</v>
      </c>
      <c r="D127" t="s">
        <v>84</v>
      </c>
      <c r="E127" t="s">
        <v>23</v>
      </c>
    </row>
    <row r="129" spans="1:5" ht="18" thickBot="1" x14ac:dyDescent="0.4">
      <c r="A129" s="45" t="s">
        <v>682</v>
      </c>
      <c r="B129" s="45"/>
      <c r="C129" s="45"/>
      <c r="D129" s="45"/>
      <c r="E129" s="45"/>
    </row>
    <row r="130" spans="1:5" ht="13.8" thickTop="1" x14ac:dyDescent="0.25">
      <c r="A130" t="s">
        <v>514</v>
      </c>
      <c r="B130" t="s">
        <v>277</v>
      </c>
      <c r="C130" t="s">
        <v>155</v>
      </c>
      <c r="D130" t="s">
        <v>137</v>
      </c>
      <c r="E130" t="s">
        <v>23</v>
      </c>
    </row>
    <row r="131" spans="1:5" x14ac:dyDescent="0.25">
      <c r="A131" t="s">
        <v>515</v>
      </c>
      <c r="B131" t="s">
        <v>280</v>
      </c>
      <c r="C131" t="s">
        <v>28</v>
      </c>
      <c r="D131" t="s">
        <v>138</v>
      </c>
      <c r="E131" t="s">
        <v>7</v>
      </c>
    </row>
    <row r="132" spans="1:5" x14ac:dyDescent="0.25">
      <c r="A132" t="s">
        <v>516</v>
      </c>
      <c r="B132" t="s">
        <v>280</v>
      </c>
      <c r="C132" t="s">
        <v>28</v>
      </c>
      <c r="D132" t="s">
        <v>139</v>
      </c>
      <c r="E132" t="s">
        <v>7</v>
      </c>
    </row>
    <row r="133" spans="1:5" x14ac:dyDescent="0.25">
      <c r="A133" t="s">
        <v>517</v>
      </c>
      <c r="B133" t="s">
        <v>280</v>
      </c>
      <c r="C133" t="s">
        <v>28</v>
      </c>
      <c r="D133" t="s">
        <v>140</v>
      </c>
      <c r="E133" t="s">
        <v>7</v>
      </c>
    </row>
    <row r="134" spans="1:5" x14ac:dyDescent="0.25">
      <c r="A134" t="s">
        <v>518</v>
      </c>
      <c r="B134" t="s">
        <v>8</v>
      </c>
      <c r="C134" t="s">
        <v>155</v>
      </c>
      <c r="D134" t="s">
        <v>142</v>
      </c>
      <c r="E134" t="s">
        <v>7</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87"/>
  <sheetViews>
    <sheetView workbookViewId="0">
      <selection activeCell="A4" sqref="A4:D4"/>
    </sheetView>
  </sheetViews>
  <sheetFormatPr baseColWidth="10" defaultRowHeight="13.2" x14ac:dyDescent="0.25"/>
  <cols>
    <col min="1" max="1" width="40" bestFit="1" customWidth="1"/>
    <col min="2" max="2" width="7.5546875" bestFit="1" customWidth="1"/>
    <col min="3" max="3" width="10.88671875" bestFit="1" customWidth="1"/>
    <col min="4" max="4" width="72.109375" bestFit="1" customWidth="1"/>
  </cols>
  <sheetData>
    <row r="1" spans="1:5" ht="19.5" customHeight="1" x14ac:dyDescent="0.25">
      <c r="A1" s="161" t="s">
        <v>298</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700</v>
      </c>
      <c r="B10" s="45"/>
      <c r="C10" s="45"/>
      <c r="D10" s="45"/>
      <c r="E10" s="45"/>
    </row>
    <row r="11" spans="1:5" ht="13.8" thickTop="1" x14ac:dyDescent="0.25">
      <c r="A11" t="s">
        <v>376</v>
      </c>
      <c r="B11" t="s">
        <v>8</v>
      </c>
      <c r="C11" t="s">
        <v>155</v>
      </c>
      <c r="D11" t="s">
        <v>55</v>
      </c>
      <c r="E11" t="s">
        <v>217</v>
      </c>
    </row>
    <row r="13" spans="1:5" ht="18" thickBot="1" x14ac:dyDescent="0.4">
      <c r="A13" s="45" t="s">
        <v>691</v>
      </c>
      <c r="B13" s="45"/>
      <c r="C13" s="45"/>
      <c r="D13" s="45"/>
      <c r="E13" s="45"/>
    </row>
    <row r="14" spans="1:5" ht="13.8" thickTop="1" x14ac:dyDescent="0.25">
      <c r="A14" t="s">
        <v>481</v>
      </c>
      <c r="B14" t="s">
        <v>277</v>
      </c>
      <c r="C14" t="s">
        <v>155</v>
      </c>
      <c r="D14" t="s">
        <v>123</v>
      </c>
      <c r="E14" t="s">
        <v>23</v>
      </c>
    </row>
    <row r="15" spans="1:5" x14ac:dyDescent="0.25">
      <c r="A15" t="s">
        <v>623</v>
      </c>
      <c r="B15" t="s">
        <v>280</v>
      </c>
      <c r="C15" t="s">
        <v>28</v>
      </c>
      <c r="D15" t="s">
        <v>117</v>
      </c>
      <c r="E15" t="s">
        <v>23</v>
      </c>
    </row>
    <row r="16" spans="1:5" x14ac:dyDescent="0.25">
      <c r="A16" t="s">
        <v>624</v>
      </c>
      <c r="B16" t="s">
        <v>280</v>
      </c>
      <c r="C16" t="s">
        <v>28</v>
      </c>
      <c r="D16" t="s">
        <v>118</v>
      </c>
      <c r="E16" t="s">
        <v>23</v>
      </c>
    </row>
    <row r="17" spans="1:5" x14ac:dyDescent="0.25">
      <c r="A17" t="s">
        <v>625</v>
      </c>
      <c r="B17" t="s">
        <v>280</v>
      </c>
      <c r="C17" t="s">
        <v>28</v>
      </c>
      <c r="D17" t="s">
        <v>222</v>
      </c>
      <c r="E17" t="s">
        <v>23</v>
      </c>
    </row>
    <row r="18" spans="1:5" x14ac:dyDescent="0.25">
      <c r="A18" t="s">
        <v>626</v>
      </c>
      <c r="B18" t="s">
        <v>280</v>
      </c>
      <c r="C18" t="s">
        <v>28</v>
      </c>
      <c r="D18" t="s">
        <v>223</v>
      </c>
      <c r="E18" t="s">
        <v>23</v>
      </c>
    </row>
    <row r="19" spans="1:5" x14ac:dyDescent="0.25">
      <c r="A19" t="s">
        <v>627</v>
      </c>
      <c r="B19" t="s">
        <v>280</v>
      </c>
      <c r="C19" t="s">
        <v>28</v>
      </c>
      <c r="D19" t="s">
        <v>119</v>
      </c>
      <c r="E19" t="s">
        <v>23</v>
      </c>
    </row>
    <row r="20" spans="1:5" x14ac:dyDescent="0.25">
      <c r="A20" t="s">
        <v>628</v>
      </c>
      <c r="B20" t="s">
        <v>280</v>
      </c>
      <c r="C20" t="s">
        <v>28</v>
      </c>
      <c r="D20" t="s">
        <v>120</v>
      </c>
      <c r="E20" t="s">
        <v>23</v>
      </c>
    </row>
    <row r="21" spans="1:5" x14ac:dyDescent="0.25">
      <c r="A21" t="s">
        <v>482</v>
      </c>
      <c r="B21" t="s">
        <v>277</v>
      </c>
      <c r="C21" t="s">
        <v>155</v>
      </c>
      <c r="D21" t="s">
        <v>124</v>
      </c>
      <c r="E21" t="s">
        <v>23</v>
      </c>
    </row>
    <row r="22" spans="1:5" x14ac:dyDescent="0.25">
      <c r="A22" t="s">
        <v>633</v>
      </c>
      <c r="B22" t="s">
        <v>280</v>
      </c>
      <c r="C22" t="s">
        <v>28</v>
      </c>
      <c r="D22" t="s">
        <v>121</v>
      </c>
      <c r="E22" t="s">
        <v>23</v>
      </c>
    </row>
    <row r="23" spans="1:5" x14ac:dyDescent="0.25">
      <c r="A23" t="s">
        <v>634</v>
      </c>
      <c r="B23" t="s">
        <v>280</v>
      </c>
      <c r="C23" t="s">
        <v>28</v>
      </c>
      <c r="D23" t="s">
        <v>122</v>
      </c>
      <c r="E23" t="s">
        <v>23</v>
      </c>
    </row>
    <row r="25" spans="1:5" ht="18" thickBot="1" x14ac:dyDescent="0.4">
      <c r="A25" s="45" t="s">
        <v>656</v>
      </c>
      <c r="B25" s="45"/>
      <c r="C25" s="45"/>
      <c r="D25" s="45"/>
      <c r="E25" s="45"/>
    </row>
    <row r="26" spans="1:5" ht="13.8" thickTop="1" x14ac:dyDescent="0.25">
      <c r="A26" t="s">
        <v>617</v>
      </c>
      <c r="B26" t="s">
        <v>280</v>
      </c>
      <c r="C26" t="s">
        <v>28</v>
      </c>
      <c r="D26" t="s">
        <v>113</v>
      </c>
      <c r="E26" t="s">
        <v>23</v>
      </c>
    </row>
    <row r="27" spans="1:5" x14ac:dyDescent="0.25">
      <c r="A27" t="s">
        <v>618</v>
      </c>
      <c r="B27" t="s">
        <v>280</v>
      </c>
      <c r="C27" t="s">
        <v>28</v>
      </c>
      <c r="D27" t="s">
        <v>114</v>
      </c>
      <c r="E27" t="s">
        <v>23</v>
      </c>
    </row>
    <row r="28" spans="1:5" x14ac:dyDescent="0.25">
      <c r="A28" t="s">
        <v>619</v>
      </c>
      <c r="B28" t="s">
        <v>280</v>
      </c>
      <c r="C28" t="s">
        <v>28</v>
      </c>
      <c r="D28" t="s">
        <v>243</v>
      </c>
      <c r="E28" t="s">
        <v>23</v>
      </c>
    </row>
    <row r="29" spans="1:5" x14ac:dyDescent="0.25">
      <c r="A29" t="s">
        <v>620</v>
      </c>
      <c r="B29" t="s">
        <v>280</v>
      </c>
      <c r="C29" t="s">
        <v>28</v>
      </c>
      <c r="D29" t="s">
        <v>244</v>
      </c>
      <c r="E29" t="s">
        <v>23</v>
      </c>
    </row>
    <row r="30" spans="1:5" x14ac:dyDescent="0.25">
      <c r="A30" t="s">
        <v>621</v>
      </c>
      <c r="B30" t="s">
        <v>280</v>
      </c>
      <c r="C30" t="s">
        <v>28</v>
      </c>
      <c r="D30" t="s">
        <v>115</v>
      </c>
      <c r="E30" t="s">
        <v>23</v>
      </c>
    </row>
    <row r="31" spans="1:5" x14ac:dyDescent="0.25">
      <c r="A31" t="s">
        <v>622</v>
      </c>
      <c r="B31" t="s">
        <v>280</v>
      </c>
      <c r="C31" t="s">
        <v>28</v>
      </c>
      <c r="D31" t="s">
        <v>116</v>
      </c>
      <c r="E31" t="s">
        <v>23</v>
      </c>
    </row>
    <row r="32" spans="1:5" x14ac:dyDescent="0.25">
      <c r="A32" t="s">
        <v>623</v>
      </c>
      <c r="B32" t="s">
        <v>280</v>
      </c>
      <c r="C32" t="s">
        <v>28</v>
      </c>
      <c r="D32" t="s">
        <v>117</v>
      </c>
      <c r="E32" t="s">
        <v>23</v>
      </c>
    </row>
    <row r="33" spans="1:5" x14ac:dyDescent="0.25">
      <c r="A33" t="s">
        <v>624</v>
      </c>
      <c r="B33" t="s">
        <v>280</v>
      </c>
      <c r="C33" t="s">
        <v>28</v>
      </c>
      <c r="D33" t="s">
        <v>118</v>
      </c>
      <c r="E33" t="s">
        <v>23</v>
      </c>
    </row>
    <row r="34" spans="1:5" x14ac:dyDescent="0.25">
      <c r="A34" t="s">
        <v>625</v>
      </c>
      <c r="B34" t="s">
        <v>280</v>
      </c>
      <c r="C34" t="s">
        <v>28</v>
      </c>
      <c r="D34" t="s">
        <v>222</v>
      </c>
      <c r="E34" t="s">
        <v>23</v>
      </c>
    </row>
    <row r="35" spans="1:5" x14ac:dyDescent="0.25">
      <c r="A35" t="s">
        <v>626</v>
      </c>
      <c r="B35" t="s">
        <v>280</v>
      </c>
      <c r="C35" t="s">
        <v>28</v>
      </c>
      <c r="D35" t="s">
        <v>223</v>
      </c>
      <c r="E35" t="s">
        <v>23</v>
      </c>
    </row>
    <row r="36" spans="1:5" x14ac:dyDescent="0.25">
      <c r="A36" t="s">
        <v>627</v>
      </c>
      <c r="B36" t="s">
        <v>280</v>
      </c>
      <c r="C36" t="s">
        <v>28</v>
      </c>
      <c r="D36" t="s">
        <v>119</v>
      </c>
      <c r="E36" t="s">
        <v>23</v>
      </c>
    </row>
    <row r="37" spans="1:5" x14ac:dyDescent="0.25">
      <c r="A37" t="s">
        <v>628</v>
      </c>
      <c r="B37" t="s">
        <v>280</v>
      </c>
      <c r="C37" t="s">
        <v>28</v>
      </c>
      <c r="D37" t="s">
        <v>120</v>
      </c>
      <c r="E37" t="s">
        <v>23</v>
      </c>
    </row>
    <row r="38" spans="1:5" x14ac:dyDescent="0.25">
      <c r="A38" t="s">
        <v>629</v>
      </c>
      <c r="B38" t="s">
        <v>280</v>
      </c>
      <c r="C38" t="s">
        <v>28</v>
      </c>
      <c r="D38" t="s">
        <v>186</v>
      </c>
      <c r="E38" t="s">
        <v>23</v>
      </c>
    </row>
    <row r="39" spans="1:5" x14ac:dyDescent="0.25">
      <c r="A39" t="s">
        <v>630</v>
      </c>
      <c r="B39" t="s">
        <v>280</v>
      </c>
      <c r="C39" t="s">
        <v>28</v>
      </c>
      <c r="D39" t="s">
        <v>187</v>
      </c>
      <c r="E39" t="s">
        <v>23</v>
      </c>
    </row>
    <row r="40" spans="1:5" x14ac:dyDescent="0.25">
      <c r="A40" t="s">
        <v>631</v>
      </c>
      <c r="B40" t="s">
        <v>280</v>
      </c>
      <c r="C40" t="s">
        <v>28</v>
      </c>
      <c r="D40" t="s">
        <v>188</v>
      </c>
      <c r="E40" t="s">
        <v>23</v>
      </c>
    </row>
    <row r="41" spans="1:5" x14ac:dyDescent="0.25">
      <c r="A41" t="s">
        <v>632</v>
      </c>
      <c r="B41" t="s">
        <v>280</v>
      </c>
      <c r="C41" t="s">
        <v>28</v>
      </c>
      <c r="D41" t="s">
        <v>189</v>
      </c>
      <c r="E41" t="s">
        <v>23</v>
      </c>
    </row>
    <row r="42" spans="1:5" x14ac:dyDescent="0.25">
      <c r="A42" t="s">
        <v>633</v>
      </c>
      <c r="B42" t="s">
        <v>280</v>
      </c>
      <c r="C42" t="s">
        <v>28</v>
      </c>
      <c r="D42" t="s">
        <v>121</v>
      </c>
      <c r="E42" t="s">
        <v>23</v>
      </c>
    </row>
    <row r="43" spans="1:5" x14ac:dyDescent="0.25">
      <c r="A43" t="s">
        <v>634</v>
      </c>
      <c r="B43" t="s">
        <v>280</v>
      </c>
      <c r="C43" t="s">
        <v>28</v>
      </c>
      <c r="D43" t="s">
        <v>122</v>
      </c>
      <c r="E43" t="s">
        <v>23</v>
      </c>
    </row>
    <row r="45" spans="1:5" ht="18" thickBot="1" x14ac:dyDescent="0.4">
      <c r="A45" s="45" t="s">
        <v>657</v>
      </c>
      <c r="B45" s="45"/>
      <c r="C45" s="45"/>
      <c r="D45" s="45"/>
      <c r="E45" s="45"/>
    </row>
    <row r="46" spans="1:5" ht="13.8" thickTop="1" x14ac:dyDescent="0.25">
      <c r="A46" t="s">
        <v>483</v>
      </c>
      <c r="B46" t="s">
        <v>8</v>
      </c>
      <c r="C46" t="s">
        <v>155</v>
      </c>
      <c r="D46" t="s">
        <v>70</v>
      </c>
      <c r="E46" t="s">
        <v>7</v>
      </c>
    </row>
    <row r="47" spans="1:5" x14ac:dyDescent="0.25">
      <c r="A47" t="s">
        <v>554</v>
      </c>
      <c r="B47" t="s">
        <v>8</v>
      </c>
      <c r="C47" t="s">
        <v>155</v>
      </c>
      <c r="D47" t="s">
        <v>642</v>
      </c>
      <c r="E47" t="s">
        <v>19</v>
      </c>
    </row>
    <row r="48" spans="1:5" x14ac:dyDescent="0.25">
      <c r="A48" t="s">
        <v>553</v>
      </c>
      <c r="B48" t="s">
        <v>8</v>
      </c>
      <c r="C48" t="s">
        <v>155</v>
      </c>
      <c r="D48" t="s">
        <v>643</v>
      </c>
      <c r="E48" t="s">
        <v>19</v>
      </c>
    </row>
    <row r="49" spans="1:5" x14ac:dyDescent="0.25">
      <c r="A49" t="s">
        <v>552</v>
      </c>
      <c r="B49" t="s">
        <v>8</v>
      </c>
      <c r="C49" t="s">
        <v>155</v>
      </c>
      <c r="D49" t="s">
        <v>641</v>
      </c>
      <c r="E49" t="s">
        <v>19</v>
      </c>
    </row>
    <row r="50" spans="1:5" x14ac:dyDescent="0.25">
      <c r="A50" t="s">
        <v>360</v>
      </c>
      <c r="B50" t="s">
        <v>8</v>
      </c>
      <c r="C50" t="s">
        <v>155</v>
      </c>
      <c r="D50" t="s">
        <v>34</v>
      </c>
      <c r="E50" t="s">
        <v>19</v>
      </c>
    </row>
    <row r="51" spans="1:5" x14ac:dyDescent="0.25">
      <c r="A51" t="s">
        <v>361</v>
      </c>
      <c r="B51" t="s">
        <v>8</v>
      </c>
      <c r="C51" t="s">
        <v>155</v>
      </c>
      <c r="D51" t="s">
        <v>267</v>
      </c>
      <c r="E51" t="s">
        <v>19</v>
      </c>
    </row>
    <row r="52" spans="1:5" x14ac:dyDescent="0.25">
      <c r="A52" t="s">
        <v>362</v>
      </c>
      <c r="B52" t="s">
        <v>8</v>
      </c>
      <c r="C52" t="s">
        <v>155</v>
      </c>
      <c r="D52" t="s">
        <v>35</v>
      </c>
      <c r="E52" t="s">
        <v>19</v>
      </c>
    </row>
    <row r="54" spans="1:5" ht="18" thickBot="1" x14ac:dyDescent="0.4">
      <c r="A54" s="45" t="s">
        <v>692</v>
      </c>
      <c r="B54" s="45"/>
      <c r="C54" s="45"/>
      <c r="D54" s="45"/>
      <c r="E54" s="45"/>
    </row>
    <row r="55" spans="1:5" ht="13.8" thickTop="1" x14ac:dyDescent="0.25">
      <c r="A55" t="s">
        <v>483</v>
      </c>
      <c r="B55" t="s">
        <v>8</v>
      </c>
      <c r="C55" t="s">
        <v>155</v>
      </c>
      <c r="D55" t="s">
        <v>70</v>
      </c>
      <c r="E55" t="s">
        <v>7</v>
      </c>
    </row>
    <row r="56" spans="1:5" x14ac:dyDescent="0.25">
      <c r="A56" t="s">
        <v>554</v>
      </c>
      <c r="B56" t="s">
        <v>8</v>
      </c>
      <c r="C56" t="s">
        <v>155</v>
      </c>
      <c r="D56" t="s">
        <v>642</v>
      </c>
      <c r="E56" t="s">
        <v>19</v>
      </c>
    </row>
    <row r="57" spans="1:5" x14ac:dyDescent="0.25">
      <c r="A57" t="s">
        <v>553</v>
      </c>
      <c r="B57" t="s">
        <v>8</v>
      </c>
      <c r="C57" t="s">
        <v>155</v>
      </c>
      <c r="D57" t="s">
        <v>643</v>
      </c>
      <c r="E57" t="s">
        <v>19</v>
      </c>
    </row>
    <row r="58" spans="1:5" x14ac:dyDescent="0.25">
      <c r="A58" t="s">
        <v>552</v>
      </c>
      <c r="B58" t="s">
        <v>8</v>
      </c>
      <c r="C58" t="s">
        <v>155</v>
      </c>
      <c r="D58" t="s">
        <v>641</v>
      </c>
      <c r="E58" t="s">
        <v>19</v>
      </c>
    </row>
    <row r="59" spans="1:5" x14ac:dyDescent="0.25">
      <c r="A59" t="s">
        <v>360</v>
      </c>
      <c r="B59" t="s">
        <v>8</v>
      </c>
      <c r="C59" t="s">
        <v>155</v>
      </c>
      <c r="D59" t="s">
        <v>34</v>
      </c>
      <c r="E59" t="s">
        <v>19</v>
      </c>
    </row>
    <row r="60" spans="1:5" x14ac:dyDescent="0.25">
      <c r="A60" t="s">
        <v>361</v>
      </c>
      <c r="B60" t="s">
        <v>8</v>
      </c>
      <c r="C60" t="s">
        <v>155</v>
      </c>
      <c r="D60" t="s">
        <v>267</v>
      </c>
      <c r="E60" t="s">
        <v>19</v>
      </c>
    </row>
    <row r="61" spans="1:5" x14ac:dyDescent="0.25">
      <c r="A61" t="s">
        <v>362</v>
      </c>
      <c r="B61" t="s">
        <v>8</v>
      </c>
      <c r="C61" t="s">
        <v>155</v>
      </c>
      <c r="D61" t="s">
        <v>35</v>
      </c>
      <c r="E61" t="s">
        <v>19</v>
      </c>
    </row>
    <row r="63" spans="1:5" ht="18" thickBot="1" x14ac:dyDescent="0.4">
      <c r="A63" s="45" t="s">
        <v>704</v>
      </c>
      <c r="B63" s="45"/>
      <c r="C63" s="45"/>
      <c r="D63" s="45"/>
      <c r="E63" s="45"/>
    </row>
    <row r="64" spans="1:5" ht="13.8" thickTop="1" x14ac:dyDescent="0.25">
      <c r="A64" t="s">
        <v>488</v>
      </c>
      <c r="B64" t="s">
        <v>280</v>
      </c>
      <c r="C64" t="s">
        <v>28</v>
      </c>
      <c r="D64" t="s">
        <v>245</v>
      </c>
      <c r="E64" t="s">
        <v>23</v>
      </c>
    </row>
    <row r="66" spans="1:5" ht="18" thickBot="1" x14ac:dyDescent="0.4">
      <c r="A66" s="45" t="s">
        <v>721</v>
      </c>
      <c r="B66" s="45"/>
      <c r="C66" s="45"/>
      <c r="D66" s="45"/>
      <c r="E66" s="45"/>
    </row>
    <row r="67" spans="1:5" ht="13.8" thickTop="1" x14ac:dyDescent="0.25">
      <c r="A67" t="s">
        <v>485</v>
      </c>
      <c r="B67" t="s">
        <v>280</v>
      </c>
      <c r="C67" t="s">
        <v>28</v>
      </c>
      <c r="D67" t="s">
        <v>85</v>
      </c>
      <c r="E67" t="s">
        <v>23</v>
      </c>
    </row>
    <row r="69" spans="1:5" ht="18" thickBot="1" x14ac:dyDescent="0.4">
      <c r="A69" s="45" t="s">
        <v>722</v>
      </c>
      <c r="B69" s="45"/>
      <c r="C69" s="45"/>
      <c r="D69" s="45"/>
      <c r="E69" s="45"/>
    </row>
    <row r="70" spans="1:5" ht="13.8" thickTop="1" x14ac:dyDescent="0.25">
      <c r="A70" t="s">
        <v>486</v>
      </c>
      <c r="B70" t="s">
        <v>280</v>
      </c>
      <c r="C70" t="s">
        <v>28</v>
      </c>
      <c r="D70" t="s">
        <v>214</v>
      </c>
      <c r="E70" t="s">
        <v>221</v>
      </c>
    </row>
    <row r="72" spans="1:5" ht="18" thickBot="1" x14ac:dyDescent="0.4">
      <c r="A72" s="45" t="s">
        <v>723</v>
      </c>
      <c r="B72" s="45"/>
      <c r="C72" s="45"/>
      <c r="D72" s="45"/>
      <c r="E72" s="45"/>
    </row>
    <row r="73" spans="1:5" ht="13.8" thickTop="1" x14ac:dyDescent="0.25">
      <c r="A73" t="s">
        <v>487</v>
      </c>
      <c r="B73" t="s">
        <v>8</v>
      </c>
      <c r="C73" t="s">
        <v>155</v>
      </c>
      <c r="D73" t="s">
        <v>215</v>
      </c>
      <c r="E73" t="s">
        <v>7</v>
      </c>
    </row>
    <row r="75" spans="1:5" ht="18" thickBot="1" x14ac:dyDescent="0.4">
      <c r="A75" s="45" t="s">
        <v>693</v>
      </c>
      <c r="B75" s="45"/>
      <c r="C75" s="45"/>
      <c r="D75" s="45"/>
      <c r="E75" s="45"/>
    </row>
    <row r="76" spans="1:5" ht="13.8" thickTop="1" x14ac:dyDescent="0.25">
      <c r="A76" t="s">
        <v>635</v>
      </c>
      <c r="B76" t="s">
        <v>280</v>
      </c>
      <c r="C76" t="s">
        <v>28</v>
      </c>
      <c r="D76" t="s">
        <v>87</v>
      </c>
      <c r="E76" t="s">
        <v>40</v>
      </c>
    </row>
    <row r="77" spans="1:5" x14ac:dyDescent="0.25">
      <c r="A77" t="s">
        <v>636</v>
      </c>
      <c r="B77" t="s">
        <v>280</v>
      </c>
      <c r="C77" t="s">
        <v>28</v>
      </c>
      <c r="D77" t="s">
        <v>158</v>
      </c>
      <c r="E77" t="s">
        <v>219</v>
      </c>
    </row>
    <row r="78" spans="1:5" x14ac:dyDescent="0.25">
      <c r="A78" t="s">
        <v>637</v>
      </c>
      <c r="B78" t="s">
        <v>280</v>
      </c>
      <c r="C78" t="s">
        <v>28</v>
      </c>
      <c r="D78" t="s">
        <v>551</v>
      </c>
      <c r="E78" t="s">
        <v>23</v>
      </c>
    </row>
    <row r="80" spans="1:5" ht="18" thickBot="1" x14ac:dyDescent="0.4">
      <c r="A80" s="45" t="s">
        <v>705</v>
      </c>
      <c r="B80" s="45"/>
      <c r="C80" s="45"/>
      <c r="D80" s="45"/>
      <c r="E80" s="45"/>
    </row>
    <row r="81" spans="1:5" ht="13.8" thickTop="1" x14ac:dyDescent="0.25">
      <c r="A81" t="s">
        <v>637</v>
      </c>
      <c r="B81" t="s">
        <v>280</v>
      </c>
      <c r="C81" t="s">
        <v>28</v>
      </c>
      <c r="D81" t="s">
        <v>551</v>
      </c>
      <c r="E81" t="s">
        <v>23</v>
      </c>
    </row>
    <row r="83" spans="1:5" ht="18" thickBot="1" x14ac:dyDescent="0.4">
      <c r="A83" s="45" t="s">
        <v>712</v>
      </c>
      <c r="B83" s="45"/>
      <c r="C83" s="45"/>
      <c r="D83" s="45"/>
      <c r="E83" s="45"/>
    </row>
    <row r="84" spans="1:5" ht="13.8" thickTop="1" x14ac:dyDescent="0.25">
      <c r="A84" t="s">
        <v>638</v>
      </c>
      <c r="B84" t="s">
        <v>280</v>
      </c>
      <c r="C84" t="s">
        <v>28</v>
      </c>
      <c r="D84" t="s">
        <v>108</v>
      </c>
      <c r="E84" t="s">
        <v>23</v>
      </c>
    </row>
    <row r="86" spans="1:5" ht="18" thickBot="1" x14ac:dyDescent="0.4">
      <c r="A86" s="45" t="s">
        <v>667</v>
      </c>
      <c r="B86" s="45"/>
      <c r="C86" s="45"/>
      <c r="D86" s="45"/>
      <c r="E86" s="45"/>
    </row>
    <row r="87" spans="1:5" ht="13.8" thickTop="1" x14ac:dyDescent="0.25">
      <c r="A87" t="s">
        <v>490</v>
      </c>
      <c r="B87" t="s">
        <v>8</v>
      </c>
      <c r="C87" t="s">
        <v>155</v>
      </c>
      <c r="D87" t="s">
        <v>78</v>
      </c>
      <c r="E87" t="s">
        <v>50</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58"/>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61" t="s">
        <v>293</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683</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379</v>
      </c>
      <c r="B19" t="s">
        <v>8</v>
      </c>
      <c r="C19" t="s">
        <v>155</v>
      </c>
      <c r="D19" t="s">
        <v>159</v>
      </c>
      <c r="E19" t="s">
        <v>23</v>
      </c>
    </row>
    <row r="20" spans="1:5" x14ac:dyDescent="0.25">
      <c r="A20" t="s">
        <v>380</v>
      </c>
      <c r="B20" t="s">
        <v>8</v>
      </c>
      <c r="C20" t="s">
        <v>155</v>
      </c>
      <c r="D20" t="s">
        <v>160</v>
      </c>
      <c r="E20" t="s">
        <v>23</v>
      </c>
    </row>
    <row r="21" spans="1:5" x14ac:dyDescent="0.25">
      <c r="A21" t="s">
        <v>323</v>
      </c>
      <c r="B21" t="s">
        <v>8</v>
      </c>
      <c r="C21" t="s">
        <v>155</v>
      </c>
      <c r="D21" t="s">
        <v>167</v>
      </c>
      <c r="E21" t="s">
        <v>7</v>
      </c>
    </row>
    <row r="22" spans="1:5" x14ac:dyDescent="0.25">
      <c r="A22" t="s">
        <v>326</v>
      </c>
      <c r="B22" t="s">
        <v>8</v>
      </c>
      <c r="C22" t="s">
        <v>155</v>
      </c>
      <c r="D22" t="s">
        <v>260</v>
      </c>
      <c r="E22" t="s">
        <v>7</v>
      </c>
    </row>
    <row r="23" spans="1:5" x14ac:dyDescent="0.25">
      <c r="A23" t="s">
        <v>324</v>
      </c>
      <c r="B23" t="s">
        <v>8</v>
      </c>
      <c r="C23" t="s">
        <v>155</v>
      </c>
      <c r="D23" t="s">
        <v>190</v>
      </c>
      <c r="E23" t="s">
        <v>7</v>
      </c>
    </row>
    <row r="24" spans="1:5" x14ac:dyDescent="0.25">
      <c r="A24" t="s">
        <v>387</v>
      </c>
      <c r="B24" t="s">
        <v>8</v>
      </c>
      <c r="C24" t="s">
        <v>155</v>
      </c>
      <c r="D24" t="s">
        <v>646</v>
      </c>
      <c r="E24" t="s">
        <v>7</v>
      </c>
    </row>
    <row r="25" spans="1:5" x14ac:dyDescent="0.25">
      <c r="A25" t="s">
        <v>388</v>
      </c>
      <c r="B25" t="s">
        <v>8</v>
      </c>
      <c r="C25" t="s">
        <v>155</v>
      </c>
      <c r="D25" t="s">
        <v>266</v>
      </c>
      <c r="E25" t="s">
        <v>7</v>
      </c>
    </row>
    <row r="26" spans="1:5" x14ac:dyDescent="0.25">
      <c r="A26" t="s">
        <v>389</v>
      </c>
      <c r="B26" t="s">
        <v>8</v>
      </c>
      <c r="C26" t="s">
        <v>155</v>
      </c>
      <c r="D26" t="s">
        <v>191</v>
      </c>
      <c r="E26" t="s">
        <v>7</v>
      </c>
    </row>
    <row r="27" spans="1:5" x14ac:dyDescent="0.25">
      <c r="A27" t="s">
        <v>390</v>
      </c>
      <c r="B27" t="s">
        <v>8</v>
      </c>
      <c r="C27" t="s">
        <v>155</v>
      </c>
      <c r="D27" t="s">
        <v>192</v>
      </c>
      <c r="E27" t="s">
        <v>7</v>
      </c>
    </row>
    <row r="28" spans="1:5" x14ac:dyDescent="0.25">
      <c r="A28" t="s">
        <v>391</v>
      </c>
      <c r="B28" t="s">
        <v>8</v>
      </c>
      <c r="C28" t="s">
        <v>155</v>
      </c>
      <c r="D28" t="s">
        <v>261</v>
      </c>
      <c r="E28" t="s">
        <v>7</v>
      </c>
    </row>
    <row r="29" spans="1:5" x14ac:dyDescent="0.25">
      <c r="A29" t="s">
        <v>392</v>
      </c>
      <c r="B29" t="s">
        <v>8</v>
      </c>
      <c r="C29" t="s">
        <v>155</v>
      </c>
      <c r="D29" t="s">
        <v>268</v>
      </c>
      <c r="E29" t="s">
        <v>7</v>
      </c>
    </row>
    <row r="30" spans="1:5" x14ac:dyDescent="0.25">
      <c r="A30" t="s">
        <v>398</v>
      </c>
      <c r="B30" t="s">
        <v>8</v>
      </c>
      <c r="C30" t="s">
        <v>155</v>
      </c>
      <c r="D30" t="s">
        <v>645</v>
      </c>
      <c r="E30" t="s">
        <v>7</v>
      </c>
    </row>
    <row r="31" spans="1:5" x14ac:dyDescent="0.25">
      <c r="A31" t="s">
        <v>393</v>
      </c>
      <c r="B31" t="s">
        <v>8</v>
      </c>
      <c r="C31" t="s">
        <v>155</v>
      </c>
      <c r="D31" t="s">
        <v>262</v>
      </c>
      <c r="E31" t="s">
        <v>7</v>
      </c>
    </row>
    <row r="32" spans="1:5" x14ac:dyDescent="0.25">
      <c r="A32" t="s">
        <v>394</v>
      </c>
      <c r="B32" t="s">
        <v>8</v>
      </c>
      <c r="C32" t="s">
        <v>155</v>
      </c>
      <c r="D32" t="s">
        <v>29</v>
      </c>
      <c r="E32" t="s">
        <v>7</v>
      </c>
    </row>
    <row r="33" spans="1:5" x14ac:dyDescent="0.25">
      <c r="A33" t="s">
        <v>395</v>
      </c>
      <c r="B33" t="s">
        <v>8</v>
      </c>
      <c r="C33" t="s">
        <v>155</v>
      </c>
      <c r="D33" t="s">
        <v>30</v>
      </c>
      <c r="E33" t="s">
        <v>7</v>
      </c>
    </row>
    <row r="34" spans="1:5" x14ac:dyDescent="0.25">
      <c r="A34" t="s">
        <v>396</v>
      </c>
      <c r="B34" t="s">
        <v>8</v>
      </c>
      <c r="C34" t="s">
        <v>155</v>
      </c>
      <c r="D34" t="s">
        <v>263</v>
      </c>
      <c r="E34" t="s">
        <v>7</v>
      </c>
    </row>
    <row r="35" spans="1:5" x14ac:dyDescent="0.25">
      <c r="A35" t="s">
        <v>397</v>
      </c>
      <c r="B35" t="s">
        <v>8</v>
      </c>
      <c r="C35" t="s">
        <v>155</v>
      </c>
      <c r="D35" t="s">
        <v>31</v>
      </c>
      <c r="E35" t="s">
        <v>7</v>
      </c>
    </row>
    <row r="36" spans="1:5" x14ac:dyDescent="0.25">
      <c r="A36" t="s">
        <v>399</v>
      </c>
      <c r="B36" t="s">
        <v>8</v>
      </c>
      <c r="C36" t="s">
        <v>155</v>
      </c>
      <c r="D36" t="s">
        <v>64</v>
      </c>
      <c r="E36" t="s">
        <v>19</v>
      </c>
    </row>
    <row r="37" spans="1:5" x14ac:dyDescent="0.25">
      <c r="A37" t="s">
        <v>400</v>
      </c>
      <c r="B37" t="s">
        <v>8</v>
      </c>
      <c r="C37" t="s">
        <v>155</v>
      </c>
      <c r="D37" t="s">
        <v>65</v>
      </c>
      <c r="E37" t="s">
        <v>7</v>
      </c>
    </row>
    <row r="38" spans="1:5" x14ac:dyDescent="0.25">
      <c r="A38" t="s">
        <v>401</v>
      </c>
      <c r="B38" t="s">
        <v>8</v>
      </c>
      <c r="C38" t="s">
        <v>155</v>
      </c>
      <c r="D38" t="s">
        <v>264</v>
      </c>
      <c r="E38" t="s">
        <v>7</v>
      </c>
    </row>
    <row r="39" spans="1:5" x14ac:dyDescent="0.25">
      <c r="A39" t="s">
        <v>402</v>
      </c>
      <c r="B39" t="s">
        <v>8</v>
      </c>
      <c r="C39" t="s">
        <v>155</v>
      </c>
      <c r="D39" t="s">
        <v>66</v>
      </c>
      <c r="E39" t="s">
        <v>7</v>
      </c>
    </row>
    <row r="40" spans="1:5" x14ac:dyDescent="0.25">
      <c r="A40" t="s">
        <v>403</v>
      </c>
      <c r="B40" t="s">
        <v>8</v>
      </c>
      <c r="C40" t="s">
        <v>155</v>
      </c>
      <c r="D40" t="s">
        <v>67</v>
      </c>
      <c r="E40" t="s">
        <v>7</v>
      </c>
    </row>
    <row r="41" spans="1:5" x14ac:dyDescent="0.25">
      <c r="A41" t="s">
        <v>405</v>
      </c>
      <c r="B41" t="s">
        <v>8</v>
      </c>
      <c r="C41" t="s">
        <v>155</v>
      </c>
      <c r="D41" t="s">
        <v>265</v>
      </c>
      <c r="E41" t="s">
        <v>7</v>
      </c>
    </row>
    <row r="42" spans="1:5" x14ac:dyDescent="0.25">
      <c r="A42" t="s">
        <v>404</v>
      </c>
      <c r="B42" t="s">
        <v>8</v>
      </c>
      <c r="C42" t="s">
        <v>155</v>
      </c>
      <c r="D42" t="s">
        <v>68</v>
      </c>
      <c r="E42" t="s">
        <v>7</v>
      </c>
    </row>
    <row r="43" spans="1:5" x14ac:dyDescent="0.25">
      <c r="A43" t="s">
        <v>406</v>
      </c>
      <c r="B43" t="s">
        <v>8</v>
      </c>
      <c r="C43" t="s">
        <v>155</v>
      </c>
      <c r="D43" t="s">
        <v>36</v>
      </c>
      <c r="E43" t="s">
        <v>7</v>
      </c>
    </row>
    <row r="45" spans="1:5" ht="18" thickBot="1" x14ac:dyDescent="0.4">
      <c r="A45" s="45" t="s">
        <v>684</v>
      </c>
      <c r="B45" s="45"/>
      <c r="C45" s="45"/>
      <c r="D45" s="45"/>
      <c r="E45" s="45"/>
    </row>
    <row r="46" spans="1:5" ht="13.8" thickTop="1" x14ac:dyDescent="0.25">
      <c r="A46" t="s">
        <v>336</v>
      </c>
      <c r="B46" t="s">
        <v>8</v>
      </c>
      <c r="C46" t="s">
        <v>155</v>
      </c>
      <c r="D46" t="s">
        <v>9</v>
      </c>
      <c r="E46" t="s">
        <v>7</v>
      </c>
    </row>
    <row r="47" spans="1:5" x14ac:dyDescent="0.25">
      <c r="A47" t="s">
        <v>408</v>
      </c>
      <c r="B47" t="s">
        <v>8</v>
      </c>
      <c r="C47" t="s">
        <v>155</v>
      </c>
      <c r="D47" t="s">
        <v>12</v>
      </c>
      <c r="E47" t="s">
        <v>7</v>
      </c>
    </row>
    <row r="48" spans="1:5" x14ac:dyDescent="0.25">
      <c r="A48" t="s">
        <v>407</v>
      </c>
      <c r="B48" t="s">
        <v>8</v>
      </c>
      <c r="C48" t="s">
        <v>155</v>
      </c>
      <c r="D48" t="s">
        <v>11</v>
      </c>
      <c r="E48" t="s">
        <v>7</v>
      </c>
    </row>
    <row r="49" spans="1:5" x14ac:dyDescent="0.25">
      <c r="A49" t="s">
        <v>409</v>
      </c>
      <c r="B49" t="s">
        <v>8</v>
      </c>
      <c r="C49" t="s">
        <v>155</v>
      </c>
      <c r="D49" t="s">
        <v>242</v>
      </c>
      <c r="E49" t="s">
        <v>7</v>
      </c>
    </row>
    <row r="50" spans="1:5" x14ac:dyDescent="0.25">
      <c r="A50" t="s">
        <v>410</v>
      </c>
      <c r="B50" t="s">
        <v>8</v>
      </c>
      <c r="C50" t="s">
        <v>155</v>
      </c>
      <c r="D50" t="s">
        <v>229</v>
      </c>
      <c r="E50" t="s">
        <v>7</v>
      </c>
    </row>
    <row r="51" spans="1:5" x14ac:dyDescent="0.25">
      <c r="A51" t="s">
        <v>411</v>
      </c>
      <c r="B51" t="s">
        <v>8</v>
      </c>
      <c r="C51" t="s">
        <v>155</v>
      </c>
      <c r="D51" t="s">
        <v>644</v>
      </c>
      <c r="E51" t="s">
        <v>7</v>
      </c>
    </row>
    <row r="52" spans="1:5" x14ac:dyDescent="0.25">
      <c r="A52" t="s">
        <v>412</v>
      </c>
      <c r="B52" t="s">
        <v>8</v>
      </c>
      <c r="C52" t="s">
        <v>155</v>
      </c>
      <c r="D52" t="s">
        <v>21</v>
      </c>
      <c r="E52" t="s">
        <v>7</v>
      </c>
    </row>
    <row r="53" spans="1:5" x14ac:dyDescent="0.25">
      <c r="A53" t="s">
        <v>337</v>
      </c>
      <c r="B53" t="s">
        <v>8</v>
      </c>
      <c r="C53" t="s">
        <v>155</v>
      </c>
      <c r="D53" t="s">
        <v>20</v>
      </c>
      <c r="E53" t="s">
        <v>7</v>
      </c>
    </row>
    <row r="54" spans="1:5" x14ac:dyDescent="0.25">
      <c r="A54" t="s">
        <v>413</v>
      </c>
      <c r="B54" t="s">
        <v>8</v>
      </c>
      <c r="C54" t="s">
        <v>155</v>
      </c>
      <c r="D54" t="s">
        <v>13</v>
      </c>
      <c r="E54" t="s">
        <v>7</v>
      </c>
    </row>
    <row r="55" spans="1:5" x14ac:dyDescent="0.25">
      <c r="A55" t="s">
        <v>414</v>
      </c>
      <c r="B55" t="s">
        <v>8</v>
      </c>
      <c r="C55" t="s">
        <v>155</v>
      </c>
      <c r="D55" t="s">
        <v>17</v>
      </c>
      <c r="E55" t="s">
        <v>7</v>
      </c>
    </row>
    <row r="56" spans="1:5" x14ac:dyDescent="0.25">
      <c r="A56" t="s">
        <v>338</v>
      </c>
      <c r="B56" t="s">
        <v>8</v>
      </c>
      <c r="C56" t="s">
        <v>155</v>
      </c>
      <c r="D56" t="s">
        <v>10</v>
      </c>
      <c r="E56" t="s">
        <v>7</v>
      </c>
    </row>
    <row r="57" spans="1:5" x14ac:dyDescent="0.25">
      <c r="A57" t="s">
        <v>339</v>
      </c>
      <c r="B57" t="s">
        <v>8</v>
      </c>
      <c r="C57" t="s">
        <v>155</v>
      </c>
      <c r="D57" t="s">
        <v>14</v>
      </c>
      <c r="E57" t="s">
        <v>7</v>
      </c>
    </row>
    <row r="58" spans="1:5" x14ac:dyDescent="0.25">
      <c r="A58" t="s">
        <v>340</v>
      </c>
      <c r="B58" t="s">
        <v>8</v>
      </c>
      <c r="C58" t="s">
        <v>155</v>
      </c>
      <c r="D58" t="s">
        <v>18</v>
      </c>
      <c r="E58" t="s">
        <v>7</v>
      </c>
    </row>
    <row r="60" spans="1:5" ht="18" thickBot="1" x14ac:dyDescent="0.4">
      <c r="A60" s="45" t="s">
        <v>685</v>
      </c>
      <c r="B60" s="45"/>
      <c r="C60" s="45"/>
      <c r="D60" s="45"/>
      <c r="E60" s="45"/>
    </row>
    <row r="61" spans="1:5" ht="13.8" thickTop="1" x14ac:dyDescent="0.25">
      <c r="A61" t="s">
        <v>342</v>
      </c>
      <c r="B61" t="s">
        <v>8</v>
      </c>
      <c r="C61" t="s">
        <v>155</v>
      </c>
      <c r="D61" t="s">
        <v>15</v>
      </c>
      <c r="E61" t="s">
        <v>7</v>
      </c>
    </row>
    <row r="62" spans="1:5" x14ac:dyDescent="0.25">
      <c r="A62" t="s">
        <v>343</v>
      </c>
      <c r="B62" t="s">
        <v>8</v>
      </c>
      <c r="C62" t="s">
        <v>155</v>
      </c>
      <c r="D62" t="s">
        <v>241</v>
      </c>
      <c r="E62" t="s">
        <v>7</v>
      </c>
    </row>
    <row r="63" spans="1:5" x14ac:dyDescent="0.25">
      <c r="A63" t="s">
        <v>344</v>
      </c>
      <c r="B63" t="s">
        <v>8</v>
      </c>
      <c r="C63" t="s">
        <v>155</v>
      </c>
      <c r="D63" t="s">
        <v>16</v>
      </c>
      <c r="E63" t="s">
        <v>7</v>
      </c>
    </row>
    <row r="65" spans="1:5" ht="18" thickBot="1" x14ac:dyDescent="0.4">
      <c r="A65" s="45" t="s">
        <v>686</v>
      </c>
      <c r="B65" s="45"/>
      <c r="C65" s="45"/>
      <c r="D65" s="45"/>
      <c r="E65" s="45"/>
    </row>
    <row r="66" spans="1:5" ht="13.8" thickTop="1" x14ac:dyDescent="0.25">
      <c r="A66" t="s">
        <v>423</v>
      </c>
      <c r="B66" t="s">
        <v>8</v>
      </c>
      <c r="C66" t="s">
        <v>155</v>
      </c>
      <c r="D66" t="s">
        <v>94</v>
      </c>
      <c r="E66" t="s">
        <v>7</v>
      </c>
    </row>
    <row r="67" spans="1:5" x14ac:dyDescent="0.25">
      <c r="A67" t="s">
        <v>422</v>
      </c>
      <c r="B67" t="s">
        <v>8</v>
      </c>
      <c r="C67" t="s">
        <v>155</v>
      </c>
      <c r="D67" t="s">
        <v>95</v>
      </c>
      <c r="E67" t="s">
        <v>7</v>
      </c>
    </row>
    <row r="68" spans="1:5" x14ac:dyDescent="0.25">
      <c r="A68" t="s">
        <v>424</v>
      </c>
      <c r="B68" t="s">
        <v>8</v>
      </c>
      <c r="C68" t="s">
        <v>155</v>
      </c>
      <c r="D68" t="s">
        <v>100</v>
      </c>
      <c r="E68" t="s">
        <v>7</v>
      </c>
    </row>
    <row r="69" spans="1:5" x14ac:dyDescent="0.25">
      <c r="A69" t="s">
        <v>425</v>
      </c>
      <c r="B69" t="s">
        <v>8</v>
      </c>
      <c r="C69" t="s">
        <v>155</v>
      </c>
      <c r="D69" t="s">
        <v>96</v>
      </c>
      <c r="E69" t="s">
        <v>7</v>
      </c>
    </row>
    <row r="70" spans="1:5" x14ac:dyDescent="0.25">
      <c r="A70" t="s">
        <v>426</v>
      </c>
      <c r="B70" t="s">
        <v>8</v>
      </c>
      <c r="C70" t="s">
        <v>155</v>
      </c>
      <c r="D70" t="s">
        <v>98</v>
      </c>
      <c r="E70" t="s">
        <v>7</v>
      </c>
    </row>
    <row r="71" spans="1:5" x14ac:dyDescent="0.25">
      <c r="A71" t="s">
        <v>427</v>
      </c>
      <c r="B71" t="s">
        <v>8</v>
      </c>
      <c r="C71" t="s">
        <v>155</v>
      </c>
      <c r="D71" t="s">
        <v>99</v>
      </c>
      <c r="E71" t="s">
        <v>7</v>
      </c>
    </row>
    <row r="72" spans="1:5" x14ac:dyDescent="0.25">
      <c r="A72" t="s">
        <v>428</v>
      </c>
      <c r="B72" t="s">
        <v>8</v>
      </c>
      <c r="C72" t="s">
        <v>155</v>
      </c>
      <c r="D72" t="s">
        <v>97</v>
      </c>
      <c r="E72" t="s">
        <v>19</v>
      </c>
    </row>
    <row r="74" spans="1:5" ht="18" thickBot="1" x14ac:dyDescent="0.4">
      <c r="A74" s="45" t="s">
        <v>687</v>
      </c>
      <c r="B74" s="45"/>
      <c r="C74" s="45"/>
      <c r="D74" s="45"/>
      <c r="E74" s="45"/>
    </row>
    <row r="75" spans="1:5" ht="13.8" thickTop="1" x14ac:dyDescent="0.25">
      <c r="A75" t="s">
        <v>345</v>
      </c>
      <c r="B75" t="s">
        <v>8</v>
      </c>
      <c r="C75" t="s">
        <v>155</v>
      </c>
      <c r="D75" t="s">
        <v>168</v>
      </c>
      <c r="E75" t="s">
        <v>7</v>
      </c>
    </row>
    <row r="76" spans="1:5" x14ac:dyDescent="0.25">
      <c r="A76" t="s">
        <v>346</v>
      </c>
      <c r="B76" t="s">
        <v>8</v>
      </c>
      <c r="C76" t="s">
        <v>155</v>
      </c>
      <c r="D76" t="s">
        <v>169</v>
      </c>
      <c r="E76" t="s">
        <v>7</v>
      </c>
    </row>
    <row r="78" spans="1:5" ht="18" thickBot="1" x14ac:dyDescent="0.4">
      <c r="A78" s="45" t="s">
        <v>688</v>
      </c>
      <c r="B78" s="45"/>
      <c r="C78" s="45"/>
      <c r="D78" s="45"/>
      <c r="E78" s="45"/>
    </row>
    <row r="79" spans="1:5" ht="13.8" thickTop="1" x14ac:dyDescent="0.25">
      <c r="A79" t="s">
        <v>432</v>
      </c>
      <c r="B79" t="s">
        <v>8</v>
      </c>
      <c r="C79" t="s">
        <v>155</v>
      </c>
      <c r="D79" t="s">
        <v>176</v>
      </c>
      <c r="E79" t="s">
        <v>7</v>
      </c>
    </row>
    <row r="80" spans="1:5" x14ac:dyDescent="0.25">
      <c r="A80" t="s">
        <v>433</v>
      </c>
      <c r="B80" t="s">
        <v>8</v>
      </c>
      <c r="C80" t="s">
        <v>155</v>
      </c>
      <c r="D80" t="s">
        <v>177</v>
      </c>
      <c r="E80" t="s">
        <v>7</v>
      </c>
    </row>
    <row r="81" spans="1:5" x14ac:dyDescent="0.25">
      <c r="A81" t="s">
        <v>434</v>
      </c>
      <c r="B81" t="s">
        <v>8</v>
      </c>
      <c r="C81" t="s">
        <v>155</v>
      </c>
      <c r="D81" t="s">
        <v>178</v>
      </c>
      <c r="E81" t="s">
        <v>7</v>
      </c>
    </row>
    <row r="82" spans="1:5" x14ac:dyDescent="0.25">
      <c r="A82" t="s">
        <v>435</v>
      </c>
      <c r="B82" t="s">
        <v>8</v>
      </c>
      <c r="C82" t="s">
        <v>155</v>
      </c>
      <c r="D82" t="s">
        <v>180</v>
      </c>
      <c r="E82" t="s">
        <v>7</v>
      </c>
    </row>
    <row r="83" spans="1:5" x14ac:dyDescent="0.25">
      <c r="A83" t="s">
        <v>436</v>
      </c>
      <c r="B83" t="s">
        <v>8</v>
      </c>
      <c r="C83" t="s">
        <v>155</v>
      </c>
      <c r="D83" t="s">
        <v>181</v>
      </c>
      <c r="E83" t="s">
        <v>7</v>
      </c>
    </row>
    <row r="84" spans="1:5" x14ac:dyDescent="0.25">
      <c r="A84" t="s">
        <v>437</v>
      </c>
      <c r="B84" t="s">
        <v>8</v>
      </c>
      <c r="C84" t="s">
        <v>155</v>
      </c>
      <c r="D84" t="s">
        <v>182</v>
      </c>
      <c r="E84" t="s">
        <v>7</v>
      </c>
    </row>
    <row r="86" spans="1:5" ht="18" thickBot="1" x14ac:dyDescent="0.4">
      <c r="A86" s="45" t="s">
        <v>689</v>
      </c>
      <c r="B86" s="45"/>
      <c r="C86" s="45"/>
      <c r="D86" s="45"/>
      <c r="E86" s="45"/>
    </row>
    <row r="87" spans="1:5" ht="13.8" thickTop="1" x14ac:dyDescent="0.25">
      <c r="A87" t="s">
        <v>333</v>
      </c>
      <c r="B87" t="s">
        <v>277</v>
      </c>
      <c r="C87" t="s">
        <v>155</v>
      </c>
      <c r="D87" t="s">
        <v>22</v>
      </c>
      <c r="E87" t="s">
        <v>23</v>
      </c>
    </row>
    <row r="89" spans="1:5" ht="18" thickBot="1" x14ac:dyDescent="0.4">
      <c r="A89" s="45" t="s">
        <v>690</v>
      </c>
      <c r="B89" s="45"/>
      <c r="C89" s="45"/>
      <c r="D89" s="45"/>
      <c r="E89" s="45"/>
    </row>
    <row r="90" spans="1:5" ht="13.8" thickTop="1" x14ac:dyDescent="0.25">
      <c r="A90" t="s">
        <v>334</v>
      </c>
      <c r="B90" t="s">
        <v>8</v>
      </c>
      <c r="C90" t="s">
        <v>155</v>
      </c>
      <c r="D90" t="s">
        <v>39</v>
      </c>
      <c r="E90" t="s">
        <v>24</v>
      </c>
    </row>
    <row r="92" spans="1:5" ht="18" thickBot="1" x14ac:dyDescent="0.4">
      <c r="A92" s="45" t="s">
        <v>691</v>
      </c>
      <c r="B92" s="45"/>
      <c r="C92" s="45"/>
      <c r="D92" s="45"/>
      <c r="E92" s="45"/>
    </row>
    <row r="93" spans="1:5" ht="13.8" thickTop="1" x14ac:dyDescent="0.25">
      <c r="A93" t="s">
        <v>481</v>
      </c>
      <c r="B93" t="s">
        <v>277</v>
      </c>
      <c r="C93" t="s">
        <v>155</v>
      </c>
      <c r="D93" t="s">
        <v>123</v>
      </c>
      <c r="E93" t="s">
        <v>23</v>
      </c>
    </row>
    <row r="94" spans="1:5" x14ac:dyDescent="0.25">
      <c r="A94" t="s">
        <v>623</v>
      </c>
      <c r="B94" t="s">
        <v>280</v>
      </c>
      <c r="C94" t="s">
        <v>28</v>
      </c>
      <c r="D94" t="s">
        <v>117</v>
      </c>
      <c r="E94" t="s">
        <v>23</v>
      </c>
    </row>
    <row r="95" spans="1:5" x14ac:dyDescent="0.25">
      <c r="A95" t="s">
        <v>624</v>
      </c>
      <c r="B95" t="s">
        <v>280</v>
      </c>
      <c r="C95" t="s">
        <v>28</v>
      </c>
      <c r="D95" t="s">
        <v>118</v>
      </c>
      <c r="E95" t="s">
        <v>23</v>
      </c>
    </row>
    <row r="96" spans="1:5" x14ac:dyDescent="0.25">
      <c r="A96" t="s">
        <v>625</v>
      </c>
      <c r="B96" t="s">
        <v>280</v>
      </c>
      <c r="C96" t="s">
        <v>28</v>
      </c>
      <c r="D96" t="s">
        <v>222</v>
      </c>
      <c r="E96" t="s">
        <v>23</v>
      </c>
    </row>
    <row r="97" spans="1:5" x14ac:dyDescent="0.25">
      <c r="A97" t="s">
        <v>626</v>
      </c>
      <c r="B97" t="s">
        <v>280</v>
      </c>
      <c r="C97" t="s">
        <v>28</v>
      </c>
      <c r="D97" t="s">
        <v>223</v>
      </c>
      <c r="E97" t="s">
        <v>23</v>
      </c>
    </row>
    <row r="98" spans="1:5" x14ac:dyDescent="0.25">
      <c r="A98" t="s">
        <v>627</v>
      </c>
      <c r="B98" t="s">
        <v>280</v>
      </c>
      <c r="C98" t="s">
        <v>28</v>
      </c>
      <c r="D98" t="s">
        <v>119</v>
      </c>
      <c r="E98" t="s">
        <v>23</v>
      </c>
    </row>
    <row r="99" spans="1:5" x14ac:dyDescent="0.25">
      <c r="A99" t="s">
        <v>628</v>
      </c>
      <c r="B99" t="s">
        <v>280</v>
      </c>
      <c r="C99" t="s">
        <v>28</v>
      </c>
      <c r="D99" t="s">
        <v>120</v>
      </c>
      <c r="E99" t="s">
        <v>23</v>
      </c>
    </row>
    <row r="100" spans="1:5" x14ac:dyDescent="0.25">
      <c r="A100" t="s">
        <v>482</v>
      </c>
      <c r="B100" t="s">
        <v>277</v>
      </c>
      <c r="C100" t="s">
        <v>155</v>
      </c>
      <c r="D100" t="s">
        <v>124</v>
      </c>
      <c r="E100" t="s">
        <v>23</v>
      </c>
    </row>
    <row r="101" spans="1:5" x14ac:dyDescent="0.25">
      <c r="A101" t="s">
        <v>633</v>
      </c>
      <c r="B101" t="s">
        <v>280</v>
      </c>
      <c r="C101" t="s">
        <v>28</v>
      </c>
      <c r="D101" t="s">
        <v>121</v>
      </c>
      <c r="E101" t="s">
        <v>23</v>
      </c>
    </row>
    <row r="102" spans="1:5" x14ac:dyDescent="0.25">
      <c r="A102" t="s">
        <v>634</v>
      </c>
      <c r="B102" t="s">
        <v>280</v>
      </c>
      <c r="C102" t="s">
        <v>28</v>
      </c>
      <c r="D102" t="s">
        <v>122</v>
      </c>
      <c r="E102" t="s">
        <v>23</v>
      </c>
    </row>
    <row r="104" spans="1:5" ht="18" thickBot="1" x14ac:dyDescent="0.4">
      <c r="A104" s="45" t="s">
        <v>692</v>
      </c>
      <c r="B104" s="45"/>
      <c r="C104" s="45"/>
      <c r="D104" s="45"/>
      <c r="E104" s="45"/>
    </row>
    <row r="105" spans="1:5" ht="13.8" thickTop="1" x14ac:dyDescent="0.25">
      <c r="A105" t="s">
        <v>483</v>
      </c>
      <c r="B105" t="s">
        <v>8</v>
      </c>
      <c r="C105" t="s">
        <v>155</v>
      </c>
      <c r="D105" t="s">
        <v>70</v>
      </c>
      <c r="E105" t="s">
        <v>7</v>
      </c>
    </row>
    <row r="106" spans="1:5" x14ac:dyDescent="0.25">
      <c r="A106" t="s">
        <v>554</v>
      </c>
      <c r="B106" t="s">
        <v>8</v>
      </c>
      <c r="C106" t="s">
        <v>155</v>
      </c>
      <c r="D106" t="s">
        <v>642</v>
      </c>
      <c r="E106" t="s">
        <v>19</v>
      </c>
    </row>
    <row r="107" spans="1:5" x14ac:dyDescent="0.25">
      <c r="A107" t="s">
        <v>553</v>
      </c>
      <c r="B107" t="s">
        <v>8</v>
      </c>
      <c r="C107" t="s">
        <v>155</v>
      </c>
      <c r="D107" t="s">
        <v>643</v>
      </c>
      <c r="E107" t="s">
        <v>19</v>
      </c>
    </row>
    <row r="108" spans="1:5" x14ac:dyDescent="0.25">
      <c r="A108" t="s">
        <v>552</v>
      </c>
      <c r="B108" t="s">
        <v>8</v>
      </c>
      <c r="C108" t="s">
        <v>155</v>
      </c>
      <c r="D108" t="s">
        <v>641</v>
      </c>
      <c r="E108" t="s">
        <v>19</v>
      </c>
    </row>
    <row r="109" spans="1:5" x14ac:dyDescent="0.25">
      <c r="A109" t="s">
        <v>360</v>
      </c>
      <c r="B109" t="s">
        <v>8</v>
      </c>
      <c r="C109" t="s">
        <v>155</v>
      </c>
      <c r="D109" t="s">
        <v>34</v>
      </c>
      <c r="E109" t="s">
        <v>19</v>
      </c>
    </row>
    <row r="110" spans="1:5" x14ac:dyDescent="0.25">
      <c r="A110" t="s">
        <v>361</v>
      </c>
      <c r="B110" t="s">
        <v>8</v>
      </c>
      <c r="C110" t="s">
        <v>155</v>
      </c>
      <c r="D110" t="s">
        <v>267</v>
      </c>
      <c r="E110" t="s">
        <v>19</v>
      </c>
    </row>
    <row r="111" spans="1:5" x14ac:dyDescent="0.25">
      <c r="A111" t="s">
        <v>362</v>
      </c>
      <c r="B111" t="s">
        <v>8</v>
      </c>
      <c r="C111" t="s">
        <v>155</v>
      </c>
      <c r="D111" t="s">
        <v>35</v>
      </c>
      <c r="E111" t="s">
        <v>19</v>
      </c>
    </row>
    <row r="113" spans="1:5" ht="18" thickBot="1" x14ac:dyDescent="0.4">
      <c r="A113" s="45" t="s">
        <v>693</v>
      </c>
      <c r="B113" s="45"/>
      <c r="C113" s="45"/>
      <c r="D113" s="45"/>
      <c r="E113" s="45"/>
    </row>
    <row r="114" spans="1:5" ht="13.8" thickTop="1" x14ac:dyDescent="0.25">
      <c r="A114" t="s">
        <v>635</v>
      </c>
      <c r="B114" t="s">
        <v>280</v>
      </c>
      <c r="C114" t="s">
        <v>28</v>
      </c>
      <c r="D114" t="s">
        <v>87</v>
      </c>
      <c r="E114" t="s">
        <v>40</v>
      </c>
    </row>
    <row r="115" spans="1:5" x14ac:dyDescent="0.25">
      <c r="A115" t="s">
        <v>636</v>
      </c>
      <c r="B115" t="s">
        <v>280</v>
      </c>
      <c r="C115" t="s">
        <v>28</v>
      </c>
      <c r="D115" t="s">
        <v>158</v>
      </c>
      <c r="E115" t="s">
        <v>219</v>
      </c>
    </row>
    <row r="116" spans="1:5" x14ac:dyDescent="0.25">
      <c r="A116" t="s">
        <v>637</v>
      </c>
      <c r="B116" t="s">
        <v>280</v>
      </c>
      <c r="C116" t="s">
        <v>28</v>
      </c>
      <c r="D116" t="s">
        <v>551</v>
      </c>
      <c r="E116" t="s">
        <v>23</v>
      </c>
    </row>
    <row r="118" spans="1:5" ht="18" thickBot="1" x14ac:dyDescent="0.4">
      <c r="A118" s="45" t="s">
        <v>694</v>
      </c>
      <c r="B118" s="45"/>
      <c r="C118" s="45"/>
      <c r="D118" s="45"/>
      <c r="E118" s="45"/>
    </row>
    <row r="119" spans="1:5" ht="13.8" thickTop="1" x14ac:dyDescent="0.25">
      <c r="A119" t="s">
        <v>45</v>
      </c>
      <c r="B119" t="s">
        <v>8</v>
      </c>
      <c r="C119" t="s">
        <v>155</v>
      </c>
      <c r="D119" t="s">
        <v>46</v>
      </c>
      <c r="E119" t="s">
        <v>24</v>
      </c>
    </row>
    <row r="120" spans="1:5" x14ac:dyDescent="0.25">
      <c r="A120" t="s">
        <v>103</v>
      </c>
      <c r="B120" t="s">
        <v>8</v>
      </c>
      <c r="C120" t="s">
        <v>155</v>
      </c>
      <c r="D120" t="s">
        <v>104</v>
      </c>
      <c r="E120" t="s">
        <v>24</v>
      </c>
    </row>
    <row r="121" spans="1:5" x14ac:dyDescent="0.25">
      <c r="A121" t="s">
        <v>105</v>
      </c>
      <c r="B121" t="s">
        <v>8</v>
      </c>
      <c r="C121" t="s">
        <v>155</v>
      </c>
      <c r="D121" t="s">
        <v>106</v>
      </c>
      <c r="E121" t="s">
        <v>24</v>
      </c>
    </row>
    <row r="122" spans="1:5" ht="18" thickBot="1" x14ac:dyDescent="0.4">
      <c r="A122" s="45"/>
      <c r="B122" s="45"/>
      <c r="C122" s="45"/>
      <c r="D122" s="45"/>
      <c r="E122" s="45"/>
    </row>
    <row r="123" spans="1:5" ht="18.600000000000001" thickTop="1" thickBot="1" x14ac:dyDescent="0.4">
      <c r="A123" s="45" t="s">
        <v>695</v>
      </c>
      <c r="B123" s="45"/>
      <c r="C123" s="45"/>
      <c r="D123" s="45"/>
      <c r="E123" s="45"/>
    </row>
    <row r="124" spans="1:5" ht="13.8" thickTop="1" x14ac:dyDescent="0.25">
      <c r="A124" t="s">
        <v>463</v>
      </c>
      <c r="B124" t="s">
        <v>280</v>
      </c>
      <c r="C124" t="s">
        <v>28</v>
      </c>
      <c r="D124" t="s">
        <v>129</v>
      </c>
      <c r="E124" t="s">
        <v>7</v>
      </c>
    </row>
    <row r="125" spans="1:5" x14ac:dyDescent="0.25">
      <c r="A125" t="s">
        <v>464</v>
      </c>
      <c r="B125" t="s">
        <v>280</v>
      </c>
      <c r="C125" t="s">
        <v>28</v>
      </c>
      <c r="D125" t="s">
        <v>130</v>
      </c>
      <c r="E125" t="s">
        <v>7</v>
      </c>
    </row>
    <row r="126" spans="1:5" x14ac:dyDescent="0.25">
      <c r="A126" t="s">
        <v>465</v>
      </c>
      <c r="B126" t="s">
        <v>280</v>
      </c>
      <c r="C126" t="s">
        <v>28</v>
      </c>
      <c r="D126" t="s">
        <v>131</v>
      </c>
      <c r="E126" t="s">
        <v>7</v>
      </c>
    </row>
    <row r="127" spans="1:5" x14ac:dyDescent="0.25">
      <c r="A127" t="s">
        <v>466</v>
      </c>
      <c r="B127" t="s">
        <v>280</v>
      </c>
      <c r="C127" t="s">
        <v>28</v>
      </c>
      <c r="D127" t="s">
        <v>132</v>
      </c>
      <c r="E127" t="s">
        <v>7</v>
      </c>
    </row>
    <row r="128" spans="1:5" x14ac:dyDescent="0.25">
      <c r="A128" t="s">
        <v>467</v>
      </c>
      <c r="B128" t="s">
        <v>280</v>
      </c>
      <c r="C128" t="s">
        <v>28</v>
      </c>
      <c r="D128" t="s">
        <v>193</v>
      </c>
      <c r="E128" t="s">
        <v>7</v>
      </c>
    </row>
    <row r="129" spans="1:5" x14ac:dyDescent="0.25">
      <c r="A129" t="s">
        <v>468</v>
      </c>
      <c r="B129" t="s">
        <v>280</v>
      </c>
      <c r="C129" t="s">
        <v>28</v>
      </c>
      <c r="D129" t="s">
        <v>194</v>
      </c>
      <c r="E129" t="s">
        <v>7</v>
      </c>
    </row>
    <row r="130" spans="1:5" x14ac:dyDescent="0.25">
      <c r="A130" t="s">
        <v>469</v>
      </c>
      <c r="B130" t="s">
        <v>280</v>
      </c>
      <c r="C130" t="s">
        <v>28</v>
      </c>
      <c r="D130" t="s">
        <v>133</v>
      </c>
      <c r="E130" t="s">
        <v>7</v>
      </c>
    </row>
    <row r="131" spans="1:5" x14ac:dyDescent="0.25">
      <c r="A131" t="s">
        <v>470</v>
      </c>
      <c r="B131" t="s">
        <v>280</v>
      </c>
      <c r="C131" t="s">
        <v>28</v>
      </c>
      <c r="D131" t="s">
        <v>179</v>
      </c>
      <c r="E131" t="s">
        <v>7</v>
      </c>
    </row>
    <row r="132" spans="1:5" x14ac:dyDescent="0.25">
      <c r="A132" t="s">
        <v>471</v>
      </c>
      <c r="B132" t="s">
        <v>280</v>
      </c>
      <c r="C132" t="s">
        <v>28</v>
      </c>
      <c r="D132" t="s">
        <v>550</v>
      </c>
      <c r="E132" t="s">
        <v>7</v>
      </c>
    </row>
    <row r="133" spans="1:5" ht="18" thickBot="1" x14ac:dyDescent="0.4">
      <c r="A133" s="45"/>
      <c r="B133" s="45"/>
      <c r="C133" s="45"/>
      <c r="D133" s="45"/>
      <c r="E133" s="45"/>
    </row>
    <row r="134" spans="1:5" ht="18.600000000000001" thickTop="1" thickBot="1" x14ac:dyDescent="0.4">
      <c r="A134" s="45" t="s">
        <v>696</v>
      </c>
      <c r="B134" s="45"/>
      <c r="C134" s="45"/>
      <c r="D134" s="45"/>
      <c r="E134" s="45"/>
    </row>
    <row r="135" spans="1:5" ht="13.8" thickTop="1" x14ac:dyDescent="0.25">
      <c r="A135" t="s">
        <v>505</v>
      </c>
      <c r="B135" t="s">
        <v>277</v>
      </c>
      <c r="C135" t="s">
        <v>155</v>
      </c>
      <c r="D135" t="s">
        <v>152</v>
      </c>
      <c r="E135" t="s">
        <v>23</v>
      </c>
    </row>
    <row r="136" spans="1:5" x14ac:dyDescent="0.25">
      <c r="A136" t="s">
        <v>506</v>
      </c>
      <c r="B136" t="s">
        <v>277</v>
      </c>
      <c r="C136" t="s">
        <v>155</v>
      </c>
      <c r="D136" t="s">
        <v>153</v>
      </c>
      <c r="E136" t="s">
        <v>23</v>
      </c>
    </row>
    <row r="137" spans="1:5" x14ac:dyDescent="0.25">
      <c r="A137" t="s">
        <v>512</v>
      </c>
      <c r="B137" t="s">
        <v>277</v>
      </c>
      <c r="C137" t="s">
        <v>155</v>
      </c>
      <c r="D137" t="s">
        <v>73</v>
      </c>
      <c r="E137" t="s">
        <v>23</v>
      </c>
    </row>
    <row r="138" spans="1:5" x14ac:dyDescent="0.25">
      <c r="A138" t="s">
        <v>507</v>
      </c>
      <c r="B138" t="s">
        <v>277</v>
      </c>
      <c r="C138" t="s">
        <v>155</v>
      </c>
      <c r="D138" t="s">
        <v>75</v>
      </c>
      <c r="E138" t="s">
        <v>23</v>
      </c>
    </row>
    <row r="139" spans="1:5" x14ac:dyDescent="0.25">
      <c r="A139" t="s">
        <v>513</v>
      </c>
      <c r="B139" t="s">
        <v>277</v>
      </c>
      <c r="C139" t="s">
        <v>155</v>
      </c>
      <c r="D139" t="s">
        <v>730</v>
      </c>
      <c r="E139" t="s">
        <v>23</v>
      </c>
    </row>
    <row r="140" spans="1:5" x14ac:dyDescent="0.25">
      <c r="A140" t="s">
        <v>508</v>
      </c>
      <c r="B140" t="s">
        <v>277</v>
      </c>
      <c r="C140" t="s">
        <v>155</v>
      </c>
      <c r="D140" t="s">
        <v>125</v>
      </c>
      <c r="E140" t="s">
        <v>23</v>
      </c>
    </row>
    <row r="141" spans="1:5" x14ac:dyDescent="0.25">
      <c r="A141" t="s">
        <v>509</v>
      </c>
      <c r="B141" t="s">
        <v>277</v>
      </c>
      <c r="C141" t="s">
        <v>155</v>
      </c>
      <c r="D141" t="s">
        <v>126</v>
      </c>
      <c r="E141" t="s">
        <v>23</v>
      </c>
    </row>
    <row r="142" spans="1:5" x14ac:dyDescent="0.25">
      <c r="A142" t="s">
        <v>510</v>
      </c>
      <c r="B142" t="s">
        <v>277</v>
      </c>
      <c r="C142" t="s">
        <v>155</v>
      </c>
      <c r="D142" t="s">
        <v>127</v>
      </c>
      <c r="E142" t="s">
        <v>23</v>
      </c>
    </row>
    <row r="143" spans="1:5" x14ac:dyDescent="0.25">
      <c r="A143" t="s">
        <v>511</v>
      </c>
      <c r="B143" t="s">
        <v>277</v>
      </c>
      <c r="C143" t="s">
        <v>155</v>
      </c>
      <c r="D143" t="s">
        <v>128</v>
      </c>
      <c r="E143" t="s">
        <v>23</v>
      </c>
    </row>
    <row r="145" spans="1:5" ht="18" thickBot="1" x14ac:dyDescent="0.4">
      <c r="A145" s="45" t="s">
        <v>697</v>
      </c>
      <c r="B145" s="45"/>
      <c r="C145" s="45"/>
      <c r="D145" s="45"/>
      <c r="E145" s="45"/>
    </row>
    <row r="146" spans="1:5" ht="13.8" thickTop="1" x14ac:dyDescent="0.25">
      <c r="A146" t="s">
        <v>365</v>
      </c>
      <c r="B146" t="s">
        <v>8</v>
      </c>
      <c r="C146" t="s">
        <v>155</v>
      </c>
      <c r="D146" t="s">
        <v>41</v>
      </c>
      <c r="E146" t="s">
        <v>7</v>
      </c>
    </row>
    <row r="147" spans="1:5" ht="18" thickBot="1" x14ac:dyDescent="0.4">
      <c r="A147" s="45"/>
      <c r="B147" s="45"/>
      <c r="C147" s="45"/>
      <c r="D147" s="45"/>
      <c r="E147" s="45"/>
    </row>
    <row r="148" spans="1:5" ht="18.600000000000001" thickTop="1" thickBot="1" x14ac:dyDescent="0.4">
      <c r="A148" s="45" t="s">
        <v>698</v>
      </c>
      <c r="B148" s="45"/>
      <c r="C148" s="45"/>
      <c r="D148" s="45"/>
      <c r="E148" s="45"/>
    </row>
    <row r="149" spans="1:5" ht="13.8" thickTop="1" x14ac:dyDescent="0.25">
      <c r="A149" t="s">
        <v>492</v>
      </c>
      <c r="B149" t="s">
        <v>8</v>
      </c>
      <c r="C149" t="s">
        <v>155</v>
      </c>
      <c r="D149" t="s">
        <v>216</v>
      </c>
      <c r="E149" t="s">
        <v>23</v>
      </c>
    </row>
    <row r="150" spans="1:5" x14ac:dyDescent="0.25">
      <c r="A150" t="s">
        <v>497</v>
      </c>
      <c r="B150" t="s">
        <v>8</v>
      </c>
      <c r="C150" t="s">
        <v>155</v>
      </c>
      <c r="D150" t="s">
        <v>43</v>
      </c>
      <c r="E150" t="s">
        <v>7</v>
      </c>
    </row>
    <row r="151" spans="1:5" x14ac:dyDescent="0.25">
      <c r="A151" t="s">
        <v>498</v>
      </c>
      <c r="B151" t="s">
        <v>8</v>
      </c>
      <c r="C151" t="s">
        <v>155</v>
      </c>
      <c r="D151" t="s">
        <v>44</v>
      </c>
      <c r="E151" t="s">
        <v>7</v>
      </c>
    </row>
    <row r="153" spans="1:5" ht="18" thickBot="1" x14ac:dyDescent="0.4">
      <c r="A153" s="45" t="s">
        <v>699</v>
      </c>
      <c r="B153" s="45"/>
      <c r="C153" s="45"/>
      <c r="D153" s="45"/>
      <c r="E153" s="45"/>
    </row>
    <row r="154" spans="1:5" ht="13.8" thickTop="1" x14ac:dyDescent="0.25">
      <c r="A154" t="s">
        <v>514</v>
      </c>
      <c r="B154" t="s">
        <v>277</v>
      </c>
      <c r="C154" t="s">
        <v>155</v>
      </c>
      <c r="D154" t="s">
        <v>137</v>
      </c>
      <c r="E154" t="s">
        <v>23</v>
      </c>
    </row>
    <row r="155" spans="1:5" x14ac:dyDescent="0.25">
      <c r="A155" t="s">
        <v>515</v>
      </c>
      <c r="B155" t="s">
        <v>280</v>
      </c>
      <c r="C155" t="s">
        <v>28</v>
      </c>
      <c r="D155" t="s">
        <v>138</v>
      </c>
      <c r="E155" t="s">
        <v>7</v>
      </c>
    </row>
    <row r="156" spans="1:5" x14ac:dyDescent="0.25">
      <c r="A156" t="s">
        <v>516</v>
      </c>
      <c r="B156" t="s">
        <v>280</v>
      </c>
      <c r="C156" t="s">
        <v>28</v>
      </c>
      <c r="D156" t="s">
        <v>139</v>
      </c>
      <c r="E156" t="s">
        <v>7</v>
      </c>
    </row>
    <row r="157" spans="1:5" x14ac:dyDescent="0.25">
      <c r="A157" t="s">
        <v>517</v>
      </c>
      <c r="B157" t="s">
        <v>280</v>
      </c>
      <c r="C157" t="s">
        <v>28</v>
      </c>
      <c r="D157" t="s">
        <v>140</v>
      </c>
      <c r="E157" t="s">
        <v>7</v>
      </c>
    </row>
    <row r="158" spans="1:5" x14ac:dyDescent="0.25">
      <c r="A158" t="s">
        <v>518</v>
      </c>
      <c r="B158" t="s">
        <v>8</v>
      </c>
      <c r="C158" t="s">
        <v>155</v>
      </c>
      <c r="D158" t="s">
        <v>142</v>
      </c>
      <c r="E158" t="s">
        <v>7</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109375" bestFit="1" customWidth="1"/>
  </cols>
  <sheetData>
    <row r="1" spans="1:5" ht="19.5" customHeight="1" x14ac:dyDescent="0.25">
      <c r="A1" s="161" t="s">
        <v>299</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648</v>
      </c>
      <c r="B10" s="45"/>
      <c r="C10" s="45"/>
      <c r="D10" s="45"/>
      <c r="E10" s="45"/>
    </row>
    <row r="11" spans="1:5" ht="13.8" thickTop="1" x14ac:dyDescent="0.25">
      <c r="A11" t="s">
        <v>381</v>
      </c>
      <c r="B11" t="s">
        <v>8</v>
      </c>
      <c r="C11" t="s">
        <v>155</v>
      </c>
      <c r="D11" t="s">
        <v>161</v>
      </c>
      <c r="E11" t="s">
        <v>7</v>
      </c>
    </row>
    <row r="12" spans="1:5" x14ac:dyDescent="0.25">
      <c r="A12" t="s">
        <v>383</v>
      </c>
      <c r="B12" t="s">
        <v>8</v>
      </c>
      <c r="C12" t="s">
        <v>155</v>
      </c>
      <c r="D12" t="s">
        <v>162</v>
      </c>
      <c r="E12" t="s">
        <v>7</v>
      </c>
    </row>
    <row r="13" spans="1:5" x14ac:dyDescent="0.25">
      <c r="A13" t="s">
        <v>384</v>
      </c>
      <c r="B13" t="s">
        <v>8</v>
      </c>
      <c r="C13" t="s">
        <v>155</v>
      </c>
      <c r="D13" t="s">
        <v>257</v>
      </c>
      <c r="E13" t="s">
        <v>7</v>
      </c>
    </row>
    <row r="14" spans="1:5" x14ac:dyDescent="0.25">
      <c r="A14" t="s">
        <v>385</v>
      </c>
      <c r="B14" t="s">
        <v>8</v>
      </c>
      <c r="C14" t="s">
        <v>155</v>
      </c>
      <c r="D14" t="s">
        <v>258</v>
      </c>
      <c r="E14" t="s">
        <v>7</v>
      </c>
    </row>
    <row r="15" spans="1:5" x14ac:dyDescent="0.25">
      <c r="A15" t="s">
        <v>382</v>
      </c>
      <c r="B15" t="s">
        <v>8</v>
      </c>
      <c r="C15" t="s">
        <v>155</v>
      </c>
      <c r="D15" t="s">
        <v>163</v>
      </c>
      <c r="E15" t="s">
        <v>7</v>
      </c>
    </row>
    <row r="16" spans="1:5" x14ac:dyDescent="0.25">
      <c r="A16" t="s">
        <v>386</v>
      </c>
      <c r="B16" t="s">
        <v>8</v>
      </c>
      <c r="C16" t="s">
        <v>155</v>
      </c>
      <c r="D16" t="s">
        <v>164</v>
      </c>
      <c r="E16" t="s">
        <v>7</v>
      </c>
    </row>
    <row r="17" spans="1:5" x14ac:dyDescent="0.25">
      <c r="A17" t="s">
        <v>321</v>
      </c>
      <c r="B17" t="s">
        <v>8</v>
      </c>
      <c r="C17" t="s">
        <v>155</v>
      </c>
      <c r="D17" t="s">
        <v>165</v>
      </c>
      <c r="E17" t="s">
        <v>7</v>
      </c>
    </row>
    <row r="18" spans="1:5" x14ac:dyDescent="0.25">
      <c r="A18" t="s">
        <v>325</v>
      </c>
      <c r="B18" t="s">
        <v>8</v>
      </c>
      <c r="C18" t="s">
        <v>155</v>
      </c>
      <c r="D18" t="s">
        <v>259</v>
      </c>
      <c r="E18" t="s">
        <v>7</v>
      </c>
    </row>
    <row r="19" spans="1:5" x14ac:dyDescent="0.25">
      <c r="A19" t="s">
        <v>322</v>
      </c>
      <c r="B19" t="s">
        <v>8</v>
      </c>
      <c r="C19" t="s">
        <v>155</v>
      </c>
      <c r="D19" t="s">
        <v>166</v>
      </c>
      <c r="E19" t="s">
        <v>7</v>
      </c>
    </row>
    <row r="21" spans="1:5" ht="18" thickBot="1" x14ac:dyDescent="0.4">
      <c r="A21" s="45" t="s">
        <v>669</v>
      </c>
      <c r="B21" s="45"/>
      <c r="C21" s="45"/>
      <c r="D21" s="45"/>
      <c r="E21" s="45"/>
    </row>
    <row r="22" spans="1:5" ht="13.8" thickTop="1" x14ac:dyDescent="0.25">
      <c r="A22" t="s">
        <v>321</v>
      </c>
      <c r="B22" t="s">
        <v>8</v>
      </c>
      <c r="C22" t="s">
        <v>155</v>
      </c>
      <c r="D22" t="s">
        <v>165</v>
      </c>
      <c r="E22" t="s">
        <v>7</v>
      </c>
    </row>
    <row r="23" spans="1:5" x14ac:dyDescent="0.25">
      <c r="A23" t="s">
        <v>325</v>
      </c>
      <c r="B23" t="s">
        <v>8</v>
      </c>
      <c r="C23" t="s">
        <v>155</v>
      </c>
      <c r="D23" t="s">
        <v>259</v>
      </c>
      <c r="E23" t="s">
        <v>7</v>
      </c>
    </row>
    <row r="24" spans="1:5" x14ac:dyDescent="0.25">
      <c r="A24" t="s">
        <v>322</v>
      </c>
      <c r="B24" t="s">
        <v>8</v>
      </c>
      <c r="C24" t="s">
        <v>155</v>
      </c>
      <c r="D24" t="s">
        <v>166</v>
      </c>
      <c r="E24" t="s">
        <v>7</v>
      </c>
    </row>
    <row r="26" spans="1:5" ht="18" thickBot="1" x14ac:dyDescent="0.4">
      <c r="A26" s="45" t="s">
        <v>649</v>
      </c>
      <c r="B26" s="45"/>
      <c r="C26" s="45"/>
      <c r="D26" s="45"/>
      <c r="E26" s="45"/>
    </row>
    <row r="27" spans="1:5" ht="13.8" thickTop="1" x14ac:dyDescent="0.25">
      <c r="A27" t="s">
        <v>415</v>
      </c>
      <c r="B27" t="s">
        <v>8</v>
      </c>
      <c r="C27" t="s">
        <v>155</v>
      </c>
      <c r="D27" t="s">
        <v>37</v>
      </c>
      <c r="E27" t="s">
        <v>7</v>
      </c>
    </row>
    <row r="28" spans="1:5" x14ac:dyDescent="0.25">
      <c r="A28" t="s">
        <v>341</v>
      </c>
      <c r="B28" t="s">
        <v>8</v>
      </c>
      <c r="C28" t="s">
        <v>155</v>
      </c>
      <c r="D28" t="s">
        <v>38</v>
      </c>
      <c r="E28" t="s">
        <v>19</v>
      </c>
    </row>
    <row r="30" spans="1:5" ht="18" thickBot="1" x14ac:dyDescent="0.4">
      <c r="A30" s="45" t="s">
        <v>724</v>
      </c>
      <c r="B30" s="45"/>
      <c r="C30" s="45"/>
      <c r="D30" s="45"/>
      <c r="E30" s="45"/>
    </row>
    <row r="31" spans="1:5" ht="13.8" thickTop="1" x14ac:dyDescent="0.25">
      <c r="A31" t="s">
        <v>351</v>
      </c>
      <c r="B31" t="s">
        <v>8</v>
      </c>
      <c r="C31" t="s">
        <v>155</v>
      </c>
      <c r="D31" t="s">
        <v>25</v>
      </c>
      <c r="E31" t="s">
        <v>218</v>
      </c>
    </row>
    <row r="32" spans="1:5" x14ac:dyDescent="0.25">
      <c r="A32" t="s">
        <v>438</v>
      </c>
      <c r="B32" t="s">
        <v>8</v>
      </c>
      <c r="C32" t="s">
        <v>155</v>
      </c>
      <c r="D32" t="s">
        <v>26</v>
      </c>
      <c r="E32" t="s">
        <v>218</v>
      </c>
    </row>
    <row r="33" spans="1:5" x14ac:dyDescent="0.25">
      <c r="A33" t="s">
        <v>439</v>
      </c>
      <c r="B33" t="s">
        <v>8</v>
      </c>
      <c r="C33" t="s">
        <v>155</v>
      </c>
      <c r="D33" t="s">
        <v>27</v>
      </c>
      <c r="E33" t="s">
        <v>218</v>
      </c>
    </row>
    <row r="35" spans="1:5" ht="18" thickBot="1" x14ac:dyDescent="0.4">
      <c r="A35" s="45" t="s">
        <v>654</v>
      </c>
      <c r="B35" s="45"/>
      <c r="C35" s="45"/>
      <c r="D35" s="45"/>
      <c r="E35" s="45"/>
    </row>
    <row r="36" spans="1:5" ht="13.8" thickTop="1" x14ac:dyDescent="0.25">
      <c r="A36" t="s">
        <v>440</v>
      </c>
      <c r="B36" t="s">
        <v>8</v>
      </c>
      <c r="C36" t="s">
        <v>155</v>
      </c>
      <c r="D36" t="s">
        <v>183</v>
      </c>
      <c r="E36" t="s">
        <v>7</v>
      </c>
    </row>
    <row r="37" spans="1:5" x14ac:dyDescent="0.25">
      <c r="A37" t="s">
        <v>441</v>
      </c>
      <c r="B37" t="s">
        <v>8</v>
      </c>
      <c r="C37" t="s">
        <v>155</v>
      </c>
      <c r="D37" t="s">
        <v>184</v>
      </c>
      <c r="E37" t="s">
        <v>7</v>
      </c>
    </row>
    <row r="38" spans="1:5" x14ac:dyDescent="0.25">
      <c r="A38" t="s">
        <v>442</v>
      </c>
      <c r="B38" t="s">
        <v>8</v>
      </c>
      <c r="C38" t="s">
        <v>155</v>
      </c>
      <c r="D38" t="s">
        <v>185</v>
      </c>
      <c r="E38" t="s">
        <v>7</v>
      </c>
    </row>
    <row r="40" spans="1:5" ht="18" thickBot="1" x14ac:dyDescent="0.4">
      <c r="A40" s="45" t="s">
        <v>675</v>
      </c>
      <c r="B40" s="45"/>
      <c r="C40" s="45"/>
      <c r="D40" s="45"/>
      <c r="E40" s="45"/>
    </row>
    <row r="41" spans="1:5" ht="13.8" thickTop="1" x14ac:dyDescent="0.25">
      <c r="A41" t="s">
        <v>617</v>
      </c>
      <c r="B41" t="s">
        <v>280</v>
      </c>
      <c r="C41" t="s">
        <v>28</v>
      </c>
      <c r="D41" t="s">
        <v>113</v>
      </c>
      <c r="E41" t="s">
        <v>23</v>
      </c>
    </row>
    <row r="42" spans="1:5" x14ac:dyDescent="0.25">
      <c r="A42" t="s">
        <v>618</v>
      </c>
      <c r="B42" t="s">
        <v>280</v>
      </c>
      <c r="C42" t="s">
        <v>28</v>
      </c>
      <c r="D42" t="s">
        <v>114</v>
      </c>
      <c r="E42" t="s">
        <v>23</v>
      </c>
    </row>
    <row r="43" spans="1:5" x14ac:dyDescent="0.25">
      <c r="A43" t="s">
        <v>619</v>
      </c>
      <c r="B43" t="s">
        <v>280</v>
      </c>
      <c r="C43" t="s">
        <v>28</v>
      </c>
      <c r="D43" t="s">
        <v>243</v>
      </c>
      <c r="E43" t="s">
        <v>23</v>
      </c>
    </row>
    <row r="44" spans="1:5" x14ac:dyDescent="0.25">
      <c r="A44" t="s">
        <v>620</v>
      </c>
      <c r="B44" t="s">
        <v>280</v>
      </c>
      <c r="C44" t="s">
        <v>28</v>
      </c>
      <c r="D44" t="s">
        <v>244</v>
      </c>
      <c r="E44" t="s">
        <v>23</v>
      </c>
    </row>
    <row r="45" spans="1:5" x14ac:dyDescent="0.25">
      <c r="A45" t="s">
        <v>621</v>
      </c>
      <c r="B45" t="s">
        <v>280</v>
      </c>
      <c r="C45" t="s">
        <v>28</v>
      </c>
      <c r="D45" t="s">
        <v>115</v>
      </c>
      <c r="E45" t="s">
        <v>23</v>
      </c>
    </row>
    <row r="46" spans="1:5" x14ac:dyDescent="0.25">
      <c r="A46" t="s">
        <v>622</v>
      </c>
      <c r="B46" t="s">
        <v>280</v>
      </c>
      <c r="C46" t="s">
        <v>28</v>
      </c>
      <c r="D46" t="s">
        <v>116</v>
      </c>
      <c r="E46" t="s">
        <v>23</v>
      </c>
    </row>
    <row r="47" spans="1:5" x14ac:dyDescent="0.25">
      <c r="A47" t="s">
        <v>629</v>
      </c>
      <c r="B47" t="s">
        <v>280</v>
      </c>
      <c r="C47" t="s">
        <v>28</v>
      </c>
      <c r="D47" t="s">
        <v>186</v>
      </c>
      <c r="E47" t="s">
        <v>23</v>
      </c>
    </row>
    <row r="48" spans="1:5" x14ac:dyDescent="0.25">
      <c r="A48" t="s">
        <v>630</v>
      </c>
      <c r="B48" t="s">
        <v>280</v>
      </c>
      <c r="C48" t="s">
        <v>28</v>
      </c>
      <c r="D48" t="s">
        <v>187</v>
      </c>
      <c r="E48" t="s">
        <v>23</v>
      </c>
    </row>
    <row r="49" spans="1:5" x14ac:dyDescent="0.25">
      <c r="A49" t="s">
        <v>631</v>
      </c>
      <c r="B49" t="s">
        <v>280</v>
      </c>
      <c r="C49" t="s">
        <v>28</v>
      </c>
      <c r="D49" t="s">
        <v>188</v>
      </c>
      <c r="E49" t="s">
        <v>23</v>
      </c>
    </row>
    <row r="50" spans="1:5" x14ac:dyDescent="0.25">
      <c r="A50" t="s">
        <v>632</v>
      </c>
      <c r="B50" t="s">
        <v>280</v>
      </c>
      <c r="C50" t="s">
        <v>28</v>
      </c>
      <c r="D50" t="s">
        <v>189</v>
      </c>
      <c r="E50" t="s">
        <v>23</v>
      </c>
    </row>
    <row r="52" spans="1:5" ht="18" thickBot="1" x14ac:dyDescent="0.4">
      <c r="A52" s="45" t="s">
        <v>725</v>
      </c>
      <c r="B52" s="45"/>
      <c r="C52" s="45"/>
      <c r="D52" s="45"/>
      <c r="E52" s="45"/>
    </row>
    <row r="53" spans="1:5" ht="13.8" thickTop="1" x14ac:dyDescent="0.25">
      <c r="A53" t="s">
        <v>480</v>
      </c>
      <c r="B53" t="s">
        <v>280</v>
      </c>
      <c r="C53" t="s">
        <v>28</v>
      </c>
      <c r="D53" t="s">
        <v>52</v>
      </c>
      <c r="E53" t="s">
        <v>24</v>
      </c>
    </row>
    <row r="54" spans="1:5" x14ac:dyDescent="0.25">
      <c r="A54" t="s">
        <v>239</v>
      </c>
      <c r="B54" t="s">
        <v>8</v>
      </c>
      <c r="C54" t="s">
        <v>155</v>
      </c>
      <c r="D54" t="s">
        <v>240</v>
      </c>
      <c r="E54" t="s">
        <v>24</v>
      </c>
    </row>
    <row r="56" spans="1:5" ht="18" thickBot="1" x14ac:dyDescent="0.4">
      <c r="A56" s="45" t="s">
        <v>706</v>
      </c>
      <c r="B56" s="45"/>
      <c r="C56" s="45"/>
      <c r="D56" s="45"/>
      <c r="E56" s="45"/>
    </row>
    <row r="57" spans="1:5" ht="13.8" thickTop="1" x14ac:dyDescent="0.25">
      <c r="A57" t="s">
        <v>45</v>
      </c>
      <c r="B57" t="s">
        <v>8</v>
      </c>
      <c r="C57" t="s">
        <v>155</v>
      </c>
      <c r="D57" t="s">
        <v>46</v>
      </c>
      <c r="E57" t="s">
        <v>24</v>
      </c>
    </row>
    <row r="58" spans="1:5" x14ac:dyDescent="0.25">
      <c r="A58" t="s">
        <v>103</v>
      </c>
      <c r="B58" t="s">
        <v>8</v>
      </c>
      <c r="C58" t="s">
        <v>155</v>
      </c>
      <c r="D58" t="s">
        <v>104</v>
      </c>
      <c r="E58" t="s">
        <v>24</v>
      </c>
    </row>
    <row r="59" spans="1:5" x14ac:dyDescent="0.25">
      <c r="A59" t="s">
        <v>105</v>
      </c>
      <c r="B59" t="s">
        <v>8</v>
      </c>
      <c r="C59" t="s">
        <v>155</v>
      </c>
      <c r="D59" t="s">
        <v>106</v>
      </c>
      <c r="E59" t="s">
        <v>24</v>
      </c>
    </row>
    <row r="60" spans="1:5" ht="18" thickBot="1" x14ac:dyDescent="0.4">
      <c r="A60" s="45"/>
      <c r="B60" s="45"/>
      <c r="C60" s="45"/>
      <c r="D60" s="45"/>
      <c r="E60" s="45"/>
    </row>
    <row r="61" spans="1:5" ht="18.600000000000001" thickTop="1" thickBot="1" x14ac:dyDescent="0.4">
      <c r="A61" s="45" t="s">
        <v>713</v>
      </c>
      <c r="B61" s="45"/>
      <c r="C61" s="45"/>
      <c r="D61" s="45"/>
      <c r="E61" s="45"/>
    </row>
    <row r="62" spans="1:5" ht="13.8" thickTop="1" x14ac:dyDescent="0.25">
      <c r="A62" t="s">
        <v>45</v>
      </c>
      <c r="B62" t="s">
        <v>8</v>
      </c>
      <c r="C62" t="s">
        <v>155</v>
      </c>
      <c r="D62" t="s">
        <v>46</v>
      </c>
      <c r="E62" t="s">
        <v>24</v>
      </c>
    </row>
    <row r="63" spans="1:5" x14ac:dyDescent="0.25">
      <c r="A63" t="s">
        <v>103</v>
      </c>
      <c r="B63" t="s">
        <v>8</v>
      </c>
      <c r="C63" t="s">
        <v>155</v>
      </c>
      <c r="D63" t="s">
        <v>104</v>
      </c>
      <c r="E63" t="s">
        <v>24</v>
      </c>
    </row>
    <row r="64" spans="1:5" x14ac:dyDescent="0.25">
      <c r="A64" t="s">
        <v>105</v>
      </c>
      <c r="B64" t="s">
        <v>8</v>
      </c>
      <c r="C64" t="s">
        <v>155</v>
      </c>
      <c r="D64" t="s">
        <v>106</v>
      </c>
      <c r="E64" t="s">
        <v>24</v>
      </c>
    </row>
    <row r="66" spans="1:5" ht="18" thickBot="1" x14ac:dyDescent="0.4">
      <c r="A66" s="45" t="s">
        <v>659</v>
      </c>
      <c r="B66" s="45"/>
      <c r="C66" s="45"/>
      <c r="D66" s="45"/>
      <c r="E66" s="45"/>
    </row>
    <row r="67" spans="1:5" ht="13.8" thickTop="1" x14ac:dyDescent="0.25">
      <c r="A67" t="s">
        <v>472</v>
      </c>
      <c r="B67" t="s">
        <v>280</v>
      </c>
      <c r="C67" t="s">
        <v>28</v>
      </c>
      <c r="D67" t="s">
        <v>156</v>
      </c>
      <c r="E67" t="s">
        <v>7</v>
      </c>
    </row>
    <row r="68" spans="1:5" x14ac:dyDescent="0.25">
      <c r="A68" t="s">
        <v>473</v>
      </c>
      <c r="B68" t="s">
        <v>280</v>
      </c>
      <c r="C68" t="s">
        <v>28</v>
      </c>
      <c r="D68" t="s">
        <v>157</v>
      </c>
      <c r="E68" t="s">
        <v>7</v>
      </c>
    </row>
    <row r="69" spans="1:5" ht="18" thickBot="1" x14ac:dyDescent="0.4">
      <c r="A69" s="45"/>
      <c r="B69" s="45"/>
      <c r="C69" s="45"/>
      <c r="D69" s="45"/>
      <c r="E69" s="45"/>
    </row>
    <row r="70" spans="1:5" ht="18.600000000000001" thickTop="1" thickBot="1" x14ac:dyDescent="0.4">
      <c r="A70" s="45" t="s">
        <v>714</v>
      </c>
      <c r="B70" s="45"/>
      <c r="C70" s="45"/>
      <c r="D70" s="45"/>
      <c r="E70" s="45"/>
    </row>
    <row r="71" spans="1:5" ht="13.8" thickTop="1" x14ac:dyDescent="0.25">
      <c r="A71" t="s">
        <v>474</v>
      </c>
      <c r="B71" t="s">
        <v>280</v>
      </c>
      <c r="C71" t="s">
        <v>28</v>
      </c>
      <c r="D71" t="s">
        <v>134</v>
      </c>
      <c r="E71" t="s">
        <v>7</v>
      </c>
    </row>
    <row r="72" spans="1:5" x14ac:dyDescent="0.25">
      <c r="A72" t="s">
        <v>475</v>
      </c>
      <c r="B72" t="s">
        <v>280</v>
      </c>
      <c r="C72" t="s">
        <v>28</v>
      </c>
      <c r="D72" t="s">
        <v>135</v>
      </c>
      <c r="E72" t="s">
        <v>7</v>
      </c>
    </row>
    <row r="73" spans="1:5" x14ac:dyDescent="0.25">
      <c r="A73" t="s">
        <v>476</v>
      </c>
      <c r="B73" t="s">
        <v>280</v>
      </c>
      <c r="C73" t="s">
        <v>28</v>
      </c>
      <c r="D73" t="s">
        <v>136</v>
      </c>
      <c r="E73" t="s">
        <v>7</v>
      </c>
    </row>
    <row r="74" spans="1:5" ht="18" thickBot="1" x14ac:dyDescent="0.4">
      <c r="A74" s="45"/>
      <c r="B74" s="45"/>
      <c r="C74" s="45"/>
      <c r="D74" s="45"/>
      <c r="E74" s="45"/>
    </row>
    <row r="75" spans="1:5" ht="18.600000000000001" thickTop="1" thickBot="1" x14ac:dyDescent="0.4">
      <c r="A75" s="45" t="s">
        <v>715</v>
      </c>
      <c r="B75" s="45"/>
      <c r="C75" s="45"/>
      <c r="D75" s="45"/>
      <c r="E75" s="45"/>
    </row>
    <row r="76" spans="1:5" ht="13.8" thickTop="1" x14ac:dyDescent="0.25">
      <c r="A76" t="s">
        <v>477</v>
      </c>
      <c r="B76" t="s">
        <v>280</v>
      </c>
      <c r="C76" t="s">
        <v>28</v>
      </c>
      <c r="D76" t="s">
        <v>53</v>
      </c>
      <c r="E76" t="s">
        <v>220</v>
      </c>
    </row>
    <row r="77" spans="1:5" x14ac:dyDescent="0.25">
      <c r="A77" t="s">
        <v>478</v>
      </c>
      <c r="B77" t="s">
        <v>280</v>
      </c>
      <c r="C77" t="s">
        <v>28</v>
      </c>
      <c r="D77" t="s">
        <v>54</v>
      </c>
      <c r="E77" t="s">
        <v>220</v>
      </c>
    </row>
    <row r="78" spans="1:5" x14ac:dyDescent="0.25">
      <c r="A78" t="s">
        <v>479</v>
      </c>
      <c r="B78" t="s">
        <v>280</v>
      </c>
      <c r="C78" t="s">
        <v>28</v>
      </c>
      <c r="D78" t="s">
        <v>102</v>
      </c>
      <c r="E78" t="s">
        <v>220</v>
      </c>
    </row>
    <row r="80" spans="1:5" ht="18" thickBot="1" x14ac:dyDescent="0.4">
      <c r="A80" s="45" t="s">
        <v>726</v>
      </c>
      <c r="B80" s="45"/>
      <c r="C80" s="45"/>
      <c r="D80" s="45"/>
      <c r="E80" s="45"/>
    </row>
    <row r="81" spans="1:5" ht="13.8" thickTop="1" x14ac:dyDescent="0.25">
      <c r="A81" t="s">
        <v>639</v>
      </c>
      <c r="B81" t="s">
        <v>280</v>
      </c>
      <c r="C81" t="s">
        <v>28</v>
      </c>
      <c r="D81" t="s">
        <v>49</v>
      </c>
      <c r="E81" t="s">
        <v>568</v>
      </c>
    </row>
    <row r="82" spans="1:5" ht="18" thickBot="1" x14ac:dyDescent="0.4">
      <c r="A82" s="45"/>
      <c r="B82" s="45"/>
      <c r="C82" s="45"/>
      <c r="D82" s="45"/>
      <c r="E82" s="45"/>
    </row>
    <row r="83" spans="1:5" ht="18.600000000000001" thickTop="1" thickBot="1" x14ac:dyDescent="0.4">
      <c r="A83" s="45" t="s">
        <v>727</v>
      </c>
      <c r="B83" s="45"/>
      <c r="C83" s="45"/>
      <c r="D83" s="45"/>
      <c r="E83" s="45"/>
    </row>
    <row r="84" spans="1:5" ht="13.8" thickTop="1" x14ac:dyDescent="0.25">
      <c r="A84" t="s">
        <v>47</v>
      </c>
      <c r="B84">
        <v>0</v>
      </c>
      <c r="C84">
        <v>0</v>
      </c>
      <c r="D84" t="s">
        <v>48</v>
      </c>
      <c r="E84" t="s">
        <v>23</v>
      </c>
    </row>
    <row r="87" spans="1:5" ht="18" thickBot="1" x14ac:dyDescent="0.4">
      <c r="A87" s="45"/>
      <c r="B87" s="45"/>
      <c r="C87" s="45"/>
      <c r="D87" s="45"/>
      <c r="E87" s="45"/>
    </row>
    <row r="88" spans="1:5" ht="13.8" thickTop="1" x14ac:dyDescent="0.25"/>
    <row r="92" spans="1:5" ht="18" thickBot="1" x14ac:dyDescent="0.4">
      <c r="A92" s="45"/>
      <c r="B92" s="45"/>
      <c r="C92" s="45"/>
      <c r="D92" s="45"/>
      <c r="E92" s="45"/>
    </row>
    <row r="93" spans="1:5" ht="13.8" thickTop="1" x14ac:dyDescent="0.25"/>
    <row r="95" spans="1:5" ht="18" thickBot="1" x14ac:dyDescent="0.4">
      <c r="A95" s="45"/>
      <c r="B95" s="45"/>
      <c r="C95" s="45"/>
      <c r="D95" s="45"/>
      <c r="E95" s="45"/>
    </row>
    <row r="96" spans="1:5" ht="13.8" thickTop="1" x14ac:dyDescent="0.25"/>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76"/>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63.33203125" bestFit="1" customWidth="1"/>
  </cols>
  <sheetData>
    <row r="1" spans="1:5" ht="19.5" customHeight="1" x14ac:dyDescent="0.25">
      <c r="A1" s="161" t="s">
        <v>294</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700</v>
      </c>
      <c r="B10" s="45"/>
      <c r="C10" s="45"/>
      <c r="D10" s="45"/>
      <c r="E10" s="45"/>
    </row>
    <row r="11" spans="1:5" ht="13.8" thickTop="1" x14ac:dyDescent="0.25">
      <c r="A11" t="s">
        <v>376</v>
      </c>
      <c r="B11" t="s">
        <v>8</v>
      </c>
      <c r="C11" t="s">
        <v>155</v>
      </c>
      <c r="D11" t="s">
        <v>55</v>
      </c>
      <c r="E11" t="s">
        <v>217</v>
      </c>
    </row>
    <row r="13" spans="1:5" ht="18" thickBot="1" x14ac:dyDescent="0.4">
      <c r="A13" s="45" t="s">
        <v>701</v>
      </c>
      <c r="B13" s="45"/>
      <c r="C13" s="45"/>
      <c r="D13" s="45"/>
      <c r="E13" s="45"/>
    </row>
    <row r="14" spans="1:5" ht="13.8" thickTop="1" x14ac:dyDescent="0.25">
      <c r="A14" t="s">
        <v>333</v>
      </c>
      <c r="B14" t="s">
        <v>277</v>
      </c>
      <c r="C14" t="s">
        <v>155</v>
      </c>
      <c r="D14" t="s">
        <v>22</v>
      </c>
      <c r="E14" t="s">
        <v>23</v>
      </c>
    </row>
    <row r="16" spans="1:5" ht="18" thickBot="1" x14ac:dyDescent="0.4">
      <c r="A16" s="45" t="s">
        <v>702</v>
      </c>
      <c r="B16" s="45"/>
      <c r="C16" s="45"/>
      <c r="D16" s="45"/>
      <c r="E16" s="45"/>
    </row>
    <row r="17" spans="1:5" ht="13.8" thickTop="1" x14ac:dyDescent="0.25">
      <c r="A17" t="s">
        <v>443</v>
      </c>
      <c r="B17" t="s">
        <v>8</v>
      </c>
      <c r="C17" t="s">
        <v>155</v>
      </c>
      <c r="D17" t="s">
        <v>230</v>
      </c>
      <c r="E17" t="s">
        <v>50</v>
      </c>
    </row>
    <row r="18" spans="1:5" x14ac:dyDescent="0.25">
      <c r="A18" t="s">
        <v>353</v>
      </c>
      <c r="B18" t="s">
        <v>280</v>
      </c>
      <c r="C18" t="s">
        <v>28</v>
      </c>
      <c r="D18" t="s">
        <v>232</v>
      </c>
      <c r="E18" t="s">
        <v>50</v>
      </c>
    </row>
    <row r="19" spans="1:5" x14ac:dyDescent="0.25">
      <c r="A19" t="s">
        <v>354</v>
      </c>
      <c r="B19" t="s">
        <v>280</v>
      </c>
      <c r="C19" t="s">
        <v>28</v>
      </c>
      <c r="D19" t="s">
        <v>233</v>
      </c>
      <c r="E19" t="s">
        <v>50</v>
      </c>
    </row>
    <row r="20" spans="1:5" x14ac:dyDescent="0.25">
      <c r="A20" t="s">
        <v>355</v>
      </c>
      <c r="B20" t="s">
        <v>280</v>
      </c>
      <c r="C20" t="s">
        <v>28</v>
      </c>
      <c r="D20" t="s">
        <v>234</v>
      </c>
      <c r="E20" t="s">
        <v>50</v>
      </c>
    </row>
    <row r="21" spans="1:5" x14ac:dyDescent="0.25">
      <c r="A21" t="s">
        <v>356</v>
      </c>
      <c r="B21" t="s">
        <v>280</v>
      </c>
      <c r="C21" t="s">
        <v>28</v>
      </c>
      <c r="D21" t="s">
        <v>235</v>
      </c>
      <c r="E21" t="s">
        <v>50</v>
      </c>
    </row>
    <row r="23" spans="1:5" ht="18" thickBot="1" x14ac:dyDescent="0.4">
      <c r="A23" s="45" t="s">
        <v>703</v>
      </c>
      <c r="B23" s="45"/>
      <c r="C23" s="45"/>
      <c r="D23" s="45"/>
      <c r="E23" s="45"/>
    </row>
    <row r="24" spans="1:5" ht="13.8" thickTop="1" x14ac:dyDescent="0.25">
      <c r="A24" t="s">
        <v>444</v>
      </c>
      <c r="B24" t="s">
        <v>8</v>
      </c>
      <c r="C24" t="s">
        <v>155</v>
      </c>
      <c r="D24" t="s">
        <v>246</v>
      </c>
      <c r="E24" t="s">
        <v>82</v>
      </c>
    </row>
    <row r="25" spans="1:5" x14ac:dyDescent="0.25">
      <c r="A25" t="s">
        <v>445</v>
      </c>
      <c r="B25" t="s">
        <v>280</v>
      </c>
      <c r="C25" t="s">
        <v>28</v>
      </c>
      <c r="D25" t="s">
        <v>247</v>
      </c>
      <c r="E25" t="s">
        <v>82</v>
      </c>
    </row>
    <row r="26" spans="1:5" x14ac:dyDescent="0.25">
      <c r="A26" t="s">
        <v>446</v>
      </c>
      <c r="B26" t="s">
        <v>280</v>
      </c>
      <c r="C26" t="s">
        <v>28</v>
      </c>
      <c r="D26" t="s">
        <v>248</v>
      </c>
      <c r="E26" t="s">
        <v>82</v>
      </c>
    </row>
    <row r="27" spans="1:5" x14ac:dyDescent="0.25">
      <c r="A27" t="s">
        <v>447</v>
      </c>
      <c r="B27" t="s">
        <v>280</v>
      </c>
      <c r="C27" t="s">
        <v>28</v>
      </c>
      <c r="D27" t="s">
        <v>249</v>
      </c>
      <c r="E27" t="s">
        <v>82</v>
      </c>
    </row>
    <row r="28" spans="1:5" x14ac:dyDescent="0.25">
      <c r="A28" t="s">
        <v>448</v>
      </c>
      <c r="B28" t="s">
        <v>280</v>
      </c>
      <c r="C28" t="s">
        <v>28</v>
      </c>
      <c r="D28" t="s">
        <v>250</v>
      </c>
      <c r="E28" t="s">
        <v>82</v>
      </c>
    </row>
    <row r="30" spans="1:5" ht="18" thickBot="1" x14ac:dyDescent="0.4">
      <c r="A30" s="45" t="s">
        <v>704</v>
      </c>
      <c r="B30" s="45"/>
      <c r="C30" s="45"/>
      <c r="D30" s="45"/>
      <c r="E30" s="45"/>
    </row>
    <row r="31" spans="1:5" ht="13.8" thickTop="1" x14ac:dyDescent="0.25">
      <c r="A31" t="s">
        <v>488</v>
      </c>
      <c r="B31" t="s">
        <v>280</v>
      </c>
      <c r="C31" t="s">
        <v>28</v>
      </c>
      <c r="D31" t="s">
        <v>245</v>
      </c>
      <c r="E31" t="s">
        <v>23</v>
      </c>
    </row>
    <row r="33" spans="1:5" ht="18" thickBot="1" x14ac:dyDescent="0.4">
      <c r="A33" s="45" t="s">
        <v>705</v>
      </c>
      <c r="B33" s="45"/>
      <c r="C33" s="45"/>
      <c r="D33" s="45"/>
      <c r="E33" s="45"/>
    </row>
    <row r="34" spans="1:5" ht="13.8" thickTop="1" x14ac:dyDescent="0.25">
      <c r="A34" t="s">
        <v>637</v>
      </c>
      <c r="B34" t="s">
        <v>280</v>
      </c>
      <c r="C34" t="s">
        <v>28</v>
      </c>
      <c r="D34" t="s">
        <v>551</v>
      </c>
      <c r="E34" t="s">
        <v>23</v>
      </c>
    </row>
    <row r="36" spans="1:5" ht="18" thickBot="1" x14ac:dyDescent="0.4">
      <c r="A36" s="45" t="s">
        <v>706</v>
      </c>
      <c r="B36" s="45"/>
      <c r="C36" s="45"/>
      <c r="D36" s="45"/>
      <c r="E36" s="45"/>
    </row>
    <row r="37" spans="1:5" ht="13.8" thickTop="1" x14ac:dyDescent="0.25">
      <c r="A37" t="s">
        <v>45</v>
      </c>
      <c r="B37" t="s">
        <v>8</v>
      </c>
      <c r="C37" t="s">
        <v>155</v>
      </c>
      <c r="D37" t="s">
        <v>46</v>
      </c>
      <c r="E37" t="s">
        <v>24</v>
      </c>
    </row>
    <row r="38" spans="1:5" x14ac:dyDescent="0.25">
      <c r="A38" t="s">
        <v>103</v>
      </c>
      <c r="B38" t="s">
        <v>8</v>
      </c>
      <c r="C38" t="s">
        <v>155</v>
      </c>
      <c r="D38" t="s">
        <v>104</v>
      </c>
      <c r="E38" t="s">
        <v>24</v>
      </c>
    </row>
    <row r="39" spans="1:5" x14ac:dyDescent="0.25">
      <c r="A39" t="s">
        <v>105</v>
      </c>
      <c r="B39" t="s">
        <v>8</v>
      </c>
      <c r="C39" t="s">
        <v>155</v>
      </c>
      <c r="D39" t="s">
        <v>106</v>
      </c>
      <c r="E39" t="s">
        <v>24</v>
      </c>
    </row>
    <row r="41" spans="1:5" ht="18" thickBot="1" x14ac:dyDescent="0.4">
      <c r="A41" s="45" t="s">
        <v>707</v>
      </c>
      <c r="B41" s="45"/>
      <c r="C41" s="45"/>
      <c r="D41" s="45"/>
      <c r="E41" s="45"/>
    </row>
    <row r="42" spans="1:5" ht="13.8" thickTop="1" x14ac:dyDescent="0.25">
      <c r="A42" t="s">
        <v>493</v>
      </c>
      <c r="B42" t="s">
        <v>8</v>
      </c>
      <c r="C42" t="s">
        <v>155</v>
      </c>
      <c r="D42" t="s">
        <v>79</v>
      </c>
      <c r="E42" t="s">
        <v>23</v>
      </c>
    </row>
    <row r="43" spans="1:5" x14ac:dyDescent="0.25">
      <c r="A43" t="s">
        <v>364</v>
      </c>
      <c r="B43" t="s">
        <v>8</v>
      </c>
      <c r="C43" t="s">
        <v>155</v>
      </c>
      <c r="D43" t="s">
        <v>80</v>
      </c>
      <c r="E43" t="s">
        <v>7</v>
      </c>
    </row>
    <row r="45" spans="1:5" ht="18" thickBot="1" x14ac:dyDescent="0.4">
      <c r="A45" s="45" t="s">
        <v>708</v>
      </c>
      <c r="B45" s="45"/>
      <c r="C45" s="45"/>
      <c r="D45" s="45"/>
      <c r="E45" s="45"/>
    </row>
    <row r="46" spans="1:5" ht="13.8" thickTop="1" x14ac:dyDescent="0.25">
      <c r="A46" t="s">
        <v>492</v>
      </c>
      <c r="B46" t="s">
        <v>8</v>
      </c>
      <c r="C46" t="s">
        <v>155</v>
      </c>
      <c r="D46" t="s">
        <v>216</v>
      </c>
      <c r="E46" t="s">
        <v>23</v>
      </c>
    </row>
    <row r="47" spans="1:5" x14ac:dyDescent="0.25">
      <c r="A47" t="s">
        <v>497</v>
      </c>
      <c r="B47" t="s">
        <v>8</v>
      </c>
      <c r="C47" t="s">
        <v>155</v>
      </c>
      <c r="D47" t="s">
        <v>43</v>
      </c>
      <c r="E47" t="s">
        <v>7</v>
      </c>
    </row>
    <row r="49" spans="1:5" ht="18" thickBot="1" x14ac:dyDescent="0.4">
      <c r="A49" s="45" t="s">
        <v>709</v>
      </c>
      <c r="B49" s="45"/>
      <c r="C49" s="45"/>
      <c r="D49" s="45"/>
      <c r="E49" s="45"/>
    </row>
    <row r="50" spans="1:5" ht="13.8" thickTop="1" x14ac:dyDescent="0.25">
      <c r="A50" t="s">
        <v>555</v>
      </c>
      <c r="B50" t="s">
        <v>8</v>
      </c>
      <c r="C50" t="s">
        <v>155</v>
      </c>
      <c r="D50" t="s">
        <v>556</v>
      </c>
      <c r="E50" t="s">
        <v>23</v>
      </c>
    </row>
    <row r="51" spans="1:5" x14ac:dyDescent="0.25">
      <c r="A51" t="s">
        <v>559</v>
      </c>
      <c r="B51" t="s">
        <v>8</v>
      </c>
      <c r="C51" t="s">
        <v>155</v>
      </c>
      <c r="D51" t="s">
        <v>557</v>
      </c>
      <c r="E51" t="s">
        <v>23</v>
      </c>
    </row>
    <row r="52" spans="1:5" x14ac:dyDescent="0.25">
      <c r="A52" t="s">
        <v>560</v>
      </c>
      <c r="B52" t="s">
        <v>8</v>
      </c>
      <c r="C52" t="s">
        <v>155</v>
      </c>
      <c r="D52" t="s">
        <v>611</v>
      </c>
      <c r="E52" t="s">
        <v>23</v>
      </c>
    </row>
    <row r="53" spans="1:5" x14ac:dyDescent="0.25">
      <c r="A53" t="s">
        <v>612</v>
      </c>
      <c r="B53" t="s">
        <v>8</v>
      </c>
      <c r="C53" t="s">
        <v>155</v>
      </c>
      <c r="D53" t="s">
        <v>558</v>
      </c>
      <c r="E53" t="s">
        <v>23</v>
      </c>
    </row>
    <row r="54" spans="1:5" x14ac:dyDescent="0.25">
      <c r="A54" t="s">
        <v>570</v>
      </c>
      <c r="B54" t="s">
        <v>8</v>
      </c>
      <c r="C54" t="s">
        <v>155</v>
      </c>
      <c r="D54" t="s">
        <v>561</v>
      </c>
      <c r="E54" t="s">
        <v>19</v>
      </c>
    </row>
    <row r="55" spans="1:5" x14ac:dyDescent="0.25">
      <c r="A55" t="s">
        <v>571</v>
      </c>
      <c r="B55" t="s">
        <v>8</v>
      </c>
      <c r="C55" t="s">
        <v>155</v>
      </c>
      <c r="D55" t="s">
        <v>562</v>
      </c>
      <c r="E55" t="s">
        <v>19</v>
      </c>
    </row>
    <row r="56" spans="1:5" x14ac:dyDescent="0.25">
      <c r="A56" t="s">
        <v>572</v>
      </c>
      <c r="B56" t="s">
        <v>8</v>
      </c>
      <c r="C56" t="s">
        <v>155</v>
      </c>
      <c r="D56" t="s">
        <v>563</v>
      </c>
      <c r="E56" t="s">
        <v>42</v>
      </c>
    </row>
    <row r="57" spans="1:5" x14ac:dyDescent="0.25">
      <c r="A57" t="s">
        <v>574</v>
      </c>
      <c r="B57" t="s">
        <v>8</v>
      </c>
      <c r="C57" t="s">
        <v>155</v>
      </c>
      <c r="D57" t="s">
        <v>564</v>
      </c>
      <c r="E57" t="s">
        <v>7</v>
      </c>
    </row>
    <row r="58" spans="1:5" x14ac:dyDescent="0.25">
      <c r="A58" t="s">
        <v>573</v>
      </c>
      <c r="B58" t="s">
        <v>8</v>
      </c>
      <c r="C58" t="s">
        <v>155</v>
      </c>
      <c r="D58" t="s">
        <v>586</v>
      </c>
      <c r="E58" t="s">
        <v>7</v>
      </c>
    </row>
    <row r="59" spans="1:5" x14ac:dyDescent="0.25">
      <c r="A59" t="s">
        <v>575</v>
      </c>
      <c r="B59" t="s">
        <v>8</v>
      </c>
      <c r="C59" t="s">
        <v>155</v>
      </c>
      <c r="D59" t="s">
        <v>565</v>
      </c>
      <c r="E59" t="s">
        <v>567</v>
      </c>
    </row>
    <row r="60" spans="1:5" x14ac:dyDescent="0.25">
      <c r="A60" t="s">
        <v>576</v>
      </c>
      <c r="B60" t="s">
        <v>8</v>
      </c>
      <c r="C60" t="s">
        <v>155</v>
      </c>
      <c r="D60" t="s">
        <v>566</v>
      </c>
      <c r="E60" t="s">
        <v>568</v>
      </c>
    </row>
    <row r="61" spans="1:5" x14ac:dyDescent="0.25">
      <c r="A61" t="s">
        <v>577</v>
      </c>
      <c r="B61" t="s">
        <v>8</v>
      </c>
      <c r="C61" t="s">
        <v>155</v>
      </c>
      <c r="D61" t="s">
        <v>585</v>
      </c>
      <c r="E61" t="s">
        <v>42</v>
      </c>
    </row>
    <row r="62" spans="1:5" x14ac:dyDescent="0.25">
      <c r="A62" t="s">
        <v>578</v>
      </c>
      <c r="B62" t="s">
        <v>8</v>
      </c>
      <c r="C62" t="s">
        <v>155</v>
      </c>
      <c r="D62" t="s">
        <v>587</v>
      </c>
      <c r="E62" t="s">
        <v>569</v>
      </c>
    </row>
    <row r="63" spans="1:5" x14ac:dyDescent="0.25">
      <c r="A63" t="s">
        <v>579</v>
      </c>
      <c r="B63" t="s">
        <v>8</v>
      </c>
      <c r="C63" t="s">
        <v>155</v>
      </c>
      <c r="D63" t="s">
        <v>583</v>
      </c>
      <c r="E63" t="s">
        <v>7</v>
      </c>
    </row>
    <row r="64" spans="1:5" x14ac:dyDescent="0.25">
      <c r="A64" t="s">
        <v>580</v>
      </c>
      <c r="B64" t="s">
        <v>8</v>
      </c>
      <c r="C64" t="s">
        <v>155</v>
      </c>
      <c r="D64" t="s">
        <v>584</v>
      </c>
      <c r="E64" t="s">
        <v>23</v>
      </c>
    </row>
    <row r="65" spans="1:5" x14ac:dyDescent="0.25">
      <c r="A65" t="s">
        <v>581</v>
      </c>
      <c r="B65" t="s">
        <v>8</v>
      </c>
      <c r="C65" t="s">
        <v>155</v>
      </c>
      <c r="D65" t="s">
        <v>588</v>
      </c>
      <c r="E65" t="s">
        <v>569</v>
      </c>
    </row>
    <row r="66" spans="1:5" x14ac:dyDescent="0.25">
      <c r="A66" t="s">
        <v>593</v>
      </c>
      <c r="B66" t="s">
        <v>8</v>
      </c>
      <c r="C66" t="s">
        <v>155</v>
      </c>
      <c r="D66" t="s">
        <v>582</v>
      </c>
      <c r="E66" t="s">
        <v>568</v>
      </c>
    </row>
    <row r="67" spans="1:5" x14ac:dyDescent="0.25">
      <c r="A67" t="s">
        <v>594</v>
      </c>
      <c r="B67" t="s">
        <v>8</v>
      </c>
      <c r="C67" t="s">
        <v>155</v>
      </c>
      <c r="D67" t="s">
        <v>589</v>
      </c>
      <c r="E67" t="s">
        <v>592</v>
      </c>
    </row>
    <row r="68" spans="1:5" x14ac:dyDescent="0.25">
      <c r="A68" t="s">
        <v>595</v>
      </c>
      <c r="B68" t="s">
        <v>8</v>
      </c>
      <c r="C68" t="s">
        <v>155</v>
      </c>
      <c r="D68" t="s">
        <v>590</v>
      </c>
      <c r="E68" t="s">
        <v>592</v>
      </c>
    </row>
    <row r="69" spans="1:5" x14ac:dyDescent="0.25">
      <c r="A69" t="s">
        <v>596</v>
      </c>
      <c r="B69" t="s">
        <v>8</v>
      </c>
      <c r="C69" t="s">
        <v>155</v>
      </c>
      <c r="D69" t="s">
        <v>591</v>
      </c>
      <c r="E69" t="s">
        <v>592</v>
      </c>
    </row>
    <row r="70" spans="1:5" x14ac:dyDescent="0.25">
      <c r="A70" t="s">
        <v>603</v>
      </c>
      <c r="B70" t="s">
        <v>8</v>
      </c>
      <c r="C70" t="s">
        <v>155</v>
      </c>
      <c r="D70" t="s">
        <v>597</v>
      </c>
      <c r="E70" t="s">
        <v>23</v>
      </c>
    </row>
    <row r="71" spans="1:5" x14ac:dyDescent="0.25">
      <c r="A71" t="s">
        <v>604</v>
      </c>
      <c r="B71" t="s">
        <v>8</v>
      </c>
      <c r="C71" t="s">
        <v>155</v>
      </c>
      <c r="D71" t="s">
        <v>598</v>
      </c>
      <c r="E71" t="s">
        <v>23</v>
      </c>
    </row>
    <row r="72" spans="1:5" x14ac:dyDescent="0.25">
      <c r="A72" t="s">
        <v>605</v>
      </c>
      <c r="B72" t="s">
        <v>8</v>
      </c>
      <c r="C72" t="s">
        <v>155</v>
      </c>
      <c r="D72" t="s">
        <v>599</v>
      </c>
      <c r="E72" t="s">
        <v>23</v>
      </c>
    </row>
    <row r="73" spans="1:5" x14ac:dyDescent="0.25">
      <c r="A73" t="s">
        <v>606</v>
      </c>
      <c r="B73" t="s">
        <v>8</v>
      </c>
      <c r="C73" t="s">
        <v>155</v>
      </c>
      <c r="D73" t="s">
        <v>600</v>
      </c>
      <c r="E73" t="s">
        <v>50</v>
      </c>
    </row>
    <row r="74" spans="1:5" x14ac:dyDescent="0.25">
      <c r="A74" t="s">
        <v>607</v>
      </c>
      <c r="B74" t="s">
        <v>8</v>
      </c>
      <c r="C74" t="s">
        <v>155</v>
      </c>
      <c r="D74" t="s">
        <v>601</v>
      </c>
      <c r="E74" t="s">
        <v>23</v>
      </c>
    </row>
    <row r="75" spans="1:5" x14ac:dyDescent="0.25">
      <c r="A75" t="s">
        <v>608</v>
      </c>
      <c r="B75" t="s">
        <v>8</v>
      </c>
      <c r="C75" t="s">
        <v>155</v>
      </c>
      <c r="D75" t="s">
        <v>602</v>
      </c>
      <c r="E75" t="s">
        <v>23</v>
      </c>
    </row>
    <row r="76" spans="1:5" x14ac:dyDescent="0.25">
      <c r="A76" t="s">
        <v>610</v>
      </c>
      <c r="B76" t="s">
        <v>8</v>
      </c>
      <c r="C76" t="s">
        <v>155</v>
      </c>
      <c r="D76" t="s">
        <v>609</v>
      </c>
      <c r="E76" t="s">
        <v>592</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59.6640625" bestFit="1" customWidth="1"/>
  </cols>
  <sheetData>
    <row r="1" spans="1:5" ht="19.5" customHeight="1" x14ac:dyDescent="0.25">
      <c r="A1" s="161" t="s">
        <v>300</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694</v>
      </c>
      <c r="B10" s="45"/>
      <c r="C10" s="45"/>
      <c r="D10" s="45"/>
      <c r="E10" s="45"/>
    </row>
    <row r="11" spans="1:5" ht="13.8" thickTop="1" x14ac:dyDescent="0.25">
      <c r="A11" t="s">
        <v>45</v>
      </c>
      <c r="B11" t="s">
        <v>8</v>
      </c>
      <c r="C11" t="s">
        <v>155</v>
      </c>
      <c r="D11" t="s">
        <v>46</v>
      </c>
      <c r="E11" t="s">
        <v>24</v>
      </c>
    </row>
    <row r="12" spans="1:5" x14ac:dyDescent="0.25">
      <c r="A12" t="s">
        <v>103</v>
      </c>
      <c r="B12" t="s">
        <v>8</v>
      </c>
      <c r="C12" t="s">
        <v>155</v>
      </c>
      <c r="D12" t="s">
        <v>104</v>
      </c>
      <c r="E12" t="s">
        <v>24</v>
      </c>
    </row>
    <row r="13" spans="1:5" x14ac:dyDescent="0.25">
      <c r="A13" t="s">
        <v>105</v>
      </c>
      <c r="B13" t="s">
        <v>8</v>
      </c>
      <c r="C13" t="s">
        <v>155</v>
      </c>
      <c r="D13" t="s">
        <v>106</v>
      </c>
      <c r="E13" t="s">
        <v>24</v>
      </c>
    </row>
    <row r="15" spans="1:5" ht="18" thickBot="1" x14ac:dyDescent="0.4">
      <c r="A15" s="45" t="s">
        <v>681</v>
      </c>
      <c r="B15" s="45"/>
      <c r="C15" s="45"/>
      <c r="D15" s="45"/>
      <c r="E15" s="45"/>
    </row>
    <row r="16" spans="1:5" ht="13.8" thickTop="1" x14ac:dyDescent="0.25">
      <c r="A16" t="s">
        <v>491</v>
      </c>
      <c r="B16" t="s">
        <v>8</v>
      </c>
      <c r="C16" t="s">
        <v>155</v>
      </c>
      <c r="D16" t="s">
        <v>84</v>
      </c>
      <c r="E16" t="s">
        <v>23</v>
      </c>
    </row>
    <row r="18" spans="1:5" ht="18" thickBot="1" x14ac:dyDescent="0.4">
      <c r="A18" s="45" t="s">
        <v>698</v>
      </c>
      <c r="B18" s="45"/>
      <c r="C18" s="45"/>
      <c r="D18" s="45"/>
      <c r="E18" s="45"/>
    </row>
    <row r="19" spans="1:5" ht="13.8" thickTop="1" x14ac:dyDescent="0.25">
      <c r="A19" t="s">
        <v>492</v>
      </c>
      <c r="B19" t="s">
        <v>8</v>
      </c>
      <c r="C19" t="s">
        <v>155</v>
      </c>
      <c r="D19" t="s">
        <v>216</v>
      </c>
      <c r="E19" t="s">
        <v>23</v>
      </c>
    </row>
    <row r="20" spans="1:5" x14ac:dyDescent="0.25">
      <c r="A20" t="s">
        <v>497</v>
      </c>
      <c r="B20" t="s">
        <v>8</v>
      </c>
      <c r="C20" t="s">
        <v>155</v>
      </c>
      <c r="D20" t="s">
        <v>43</v>
      </c>
      <c r="E20" t="s">
        <v>7</v>
      </c>
    </row>
    <row r="21" spans="1:5" x14ac:dyDescent="0.25">
      <c r="A21" t="s">
        <v>498</v>
      </c>
      <c r="B21" t="s">
        <v>8</v>
      </c>
      <c r="C21" t="s">
        <v>155</v>
      </c>
      <c r="D21" t="s">
        <v>44</v>
      </c>
      <c r="E21" t="s">
        <v>7</v>
      </c>
    </row>
    <row r="23" spans="1:5" ht="18" thickBot="1" x14ac:dyDescent="0.4">
      <c r="A23" s="45" t="s">
        <v>728</v>
      </c>
      <c r="B23" s="45"/>
      <c r="C23" s="45"/>
      <c r="D23" s="45"/>
      <c r="E23" s="45"/>
    </row>
    <row r="24" spans="1:5" ht="13.8" thickTop="1" x14ac:dyDescent="0.25">
      <c r="A24" t="s">
        <v>640</v>
      </c>
      <c r="B24" t="s">
        <v>280</v>
      </c>
      <c r="C24" t="s">
        <v>28</v>
      </c>
      <c r="D24" t="s">
        <v>88</v>
      </c>
      <c r="E24" t="s">
        <v>23</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0.109375" bestFit="1" customWidth="1"/>
  </cols>
  <sheetData>
    <row r="1" spans="1:5" ht="19.5" customHeight="1" x14ac:dyDescent="0.25">
      <c r="A1" s="161" t="s">
        <v>295</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710</v>
      </c>
      <c r="B10" s="45"/>
      <c r="C10" s="45"/>
      <c r="D10" s="45"/>
      <c r="E10" s="45"/>
    </row>
    <row r="11" spans="1:5" ht="13.8" thickTop="1" x14ac:dyDescent="0.25">
      <c r="A11" t="s">
        <v>333</v>
      </c>
      <c r="B11" t="s">
        <v>277</v>
      </c>
      <c r="C11" t="s">
        <v>155</v>
      </c>
      <c r="D11" t="s">
        <v>22</v>
      </c>
      <c r="E11" t="s">
        <v>23</v>
      </c>
    </row>
    <row r="13" spans="1:5" ht="18" thickBot="1" x14ac:dyDescent="0.4">
      <c r="A13" s="45" t="s">
        <v>711</v>
      </c>
      <c r="B13" s="45"/>
      <c r="C13" s="45"/>
      <c r="D13" s="45"/>
      <c r="E13" s="45"/>
    </row>
    <row r="14" spans="1:5" ht="13.8" thickTop="1" x14ac:dyDescent="0.25">
      <c r="A14" t="s">
        <v>443</v>
      </c>
      <c r="B14" t="s">
        <v>8</v>
      </c>
      <c r="C14" t="s">
        <v>155</v>
      </c>
      <c r="D14" t="s">
        <v>230</v>
      </c>
      <c r="E14" t="s">
        <v>50</v>
      </c>
    </row>
    <row r="15" spans="1:5" x14ac:dyDescent="0.25">
      <c r="A15" t="s">
        <v>353</v>
      </c>
      <c r="B15" t="s">
        <v>280</v>
      </c>
      <c r="C15" t="s">
        <v>28</v>
      </c>
      <c r="D15" t="s">
        <v>232</v>
      </c>
      <c r="E15" t="s">
        <v>50</v>
      </c>
    </row>
    <row r="16" spans="1:5" x14ac:dyDescent="0.25">
      <c r="A16" t="s">
        <v>354</v>
      </c>
      <c r="B16" t="s">
        <v>280</v>
      </c>
      <c r="C16" t="s">
        <v>28</v>
      </c>
      <c r="D16" t="s">
        <v>233</v>
      </c>
      <c r="E16" t="s">
        <v>50</v>
      </c>
    </row>
    <row r="17" spans="1:5" x14ac:dyDescent="0.25">
      <c r="A17" t="s">
        <v>355</v>
      </c>
      <c r="B17" t="s">
        <v>280</v>
      </c>
      <c r="C17" t="s">
        <v>28</v>
      </c>
      <c r="D17" t="s">
        <v>234</v>
      </c>
      <c r="E17" t="s">
        <v>50</v>
      </c>
    </row>
    <row r="18" spans="1:5" x14ac:dyDescent="0.25">
      <c r="A18" t="s">
        <v>356</v>
      </c>
      <c r="B18" t="s">
        <v>280</v>
      </c>
      <c r="C18" t="s">
        <v>28</v>
      </c>
      <c r="D18" t="s">
        <v>235</v>
      </c>
      <c r="E18" t="s">
        <v>50</v>
      </c>
    </row>
    <row r="20" spans="1:5" ht="18" thickBot="1" x14ac:dyDescent="0.4">
      <c r="A20" s="45" t="s">
        <v>712</v>
      </c>
      <c r="B20" s="45"/>
      <c r="C20" s="45"/>
      <c r="D20" s="45"/>
      <c r="E20" s="45"/>
    </row>
    <row r="21" spans="1:5" ht="13.8" thickTop="1" x14ac:dyDescent="0.25">
      <c r="A21" t="s">
        <v>638</v>
      </c>
      <c r="B21" t="s">
        <v>280</v>
      </c>
      <c r="C21" t="s">
        <v>28</v>
      </c>
      <c r="D21" t="s">
        <v>108</v>
      </c>
      <c r="E21" t="s">
        <v>23</v>
      </c>
    </row>
    <row r="23" spans="1:5" ht="18" thickBot="1" x14ac:dyDescent="0.4">
      <c r="A23" s="45" t="s">
        <v>713</v>
      </c>
      <c r="B23" s="45"/>
      <c r="C23" s="45"/>
      <c r="D23" s="45"/>
      <c r="E23" s="45"/>
    </row>
    <row r="24" spans="1:5" ht="13.8" thickTop="1" x14ac:dyDescent="0.25">
      <c r="A24" t="s">
        <v>45</v>
      </c>
      <c r="B24" t="s">
        <v>8</v>
      </c>
      <c r="C24" t="s">
        <v>155</v>
      </c>
      <c r="D24" t="s">
        <v>46</v>
      </c>
      <c r="E24" t="s">
        <v>24</v>
      </c>
    </row>
    <row r="25" spans="1:5" x14ac:dyDescent="0.25">
      <c r="A25" t="s">
        <v>103</v>
      </c>
      <c r="B25" t="s">
        <v>8</v>
      </c>
      <c r="C25" t="s">
        <v>155</v>
      </c>
      <c r="D25" t="s">
        <v>104</v>
      </c>
      <c r="E25" t="s">
        <v>24</v>
      </c>
    </row>
    <row r="26" spans="1:5" x14ac:dyDescent="0.25">
      <c r="A26" t="s">
        <v>105</v>
      </c>
      <c r="B26" t="s">
        <v>8</v>
      </c>
      <c r="C26" t="s">
        <v>155</v>
      </c>
      <c r="D26" t="s">
        <v>106</v>
      </c>
      <c r="E26" t="s">
        <v>24</v>
      </c>
    </row>
    <row r="28" spans="1:5" ht="18" thickBot="1" x14ac:dyDescent="0.4">
      <c r="A28" s="45" t="s">
        <v>714</v>
      </c>
      <c r="B28" s="45"/>
      <c r="C28" s="45"/>
      <c r="D28" s="45"/>
      <c r="E28" s="45"/>
    </row>
    <row r="29" spans="1:5" ht="13.8" thickTop="1" x14ac:dyDescent="0.25">
      <c r="A29" t="s">
        <v>474</v>
      </c>
      <c r="B29" t="s">
        <v>280</v>
      </c>
      <c r="C29" t="s">
        <v>28</v>
      </c>
      <c r="D29" t="s">
        <v>134</v>
      </c>
      <c r="E29" t="s">
        <v>7</v>
      </c>
    </row>
    <row r="30" spans="1:5" x14ac:dyDescent="0.25">
      <c r="A30" t="s">
        <v>475</v>
      </c>
      <c r="B30" t="s">
        <v>280</v>
      </c>
      <c r="C30" t="s">
        <v>28</v>
      </c>
      <c r="D30" t="s">
        <v>135</v>
      </c>
      <c r="E30" t="s">
        <v>7</v>
      </c>
    </row>
    <row r="31" spans="1:5" x14ac:dyDescent="0.25">
      <c r="A31" t="s">
        <v>476</v>
      </c>
      <c r="B31" t="s">
        <v>280</v>
      </c>
      <c r="C31" t="s">
        <v>28</v>
      </c>
      <c r="D31" t="s">
        <v>136</v>
      </c>
      <c r="E31" t="s">
        <v>7</v>
      </c>
    </row>
    <row r="33" spans="1:5" ht="18" thickBot="1" x14ac:dyDescent="0.4">
      <c r="A33" s="45" t="s">
        <v>715</v>
      </c>
      <c r="B33" s="45"/>
      <c r="C33" s="45"/>
      <c r="D33" s="45"/>
      <c r="E33" s="45"/>
    </row>
    <row r="34" spans="1:5" ht="13.8" thickTop="1" x14ac:dyDescent="0.25">
      <c r="A34" t="s">
        <v>477</v>
      </c>
      <c r="B34" t="s">
        <v>280</v>
      </c>
      <c r="C34" t="s">
        <v>28</v>
      </c>
      <c r="D34" t="s">
        <v>53</v>
      </c>
      <c r="E34" t="s">
        <v>220</v>
      </c>
    </row>
    <row r="35" spans="1:5" x14ac:dyDescent="0.25">
      <c r="A35" t="s">
        <v>478</v>
      </c>
      <c r="B35" t="s">
        <v>280</v>
      </c>
      <c r="C35" t="s">
        <v>28</v>
      </c>
      <c r="D35" t="s">
        <v>54</v>
      </c>
      <c r="E35" t="s">
        <v>220</v>
      </c>
    </row>
    <row r="36" spans="1:5" x14ac:dyDescent="0.25">
      <c r="A36" t="s">
        <v>479</v>
      </c>
      <c r="B36" t="s">
        <v>280</v>
      </c>
      <c r="C36" t="s">
        <v>28</v>
      </c>
      <c r="D36" t="s">
        <v>102</v>
      </c>
      <c r="E36" t="s">
        <v>220</v>
      </c>
    </row>
    <row r="38" spans="1:5" ht="18" thickBot="1" x14ac:dyDescent="0.4">
      <c r="A38" s="45" t="s">
        <v>716</v>
      </c>
      <c r="B38" s="45"/>
      <c r="C38" s="45"/>
      <c r="D38" s="45"/>
      <c r="E38" s="45"/>
    </row>
    <row r="39" spans="1:5" ht="13.8" thickTop="1" x14ac:dyDescent="0.25">
      <c r="A39" t="s">
        <v>503</v>
      </c>
      <c r="B39" t="s">
        <v>280</v>
      </c>
      <c r="C39" t="s">
        <v>28</v>
      </c>
      <c r="D39" t="s">
        <v>86</v>
      </c>
      <c r="E39" t="s">
        <v>23</v>
      </c>
    </row>
    <row r="41" spans="1:5" ht="18" thickBot="1" x14ac:dyDescent="0.4">
      <c r="A41" s="45" t="s">
        <v>717</v>
      </c>
      <c r="B41" s="45"/>
      <c r="C41" s="45"/>
      <c r="D41" s="45"/>
      <c r="E41" s="45"/>
    </row>
    <row r="42" spans="1:5" ht="13.8" thickTop="1" x14ac:dyDescent="0.25">
      <c r="A42" t="s">
        <v>615</v>
      </c>
      <c r="B42">
        <v>0</v>
      </c>
      <c r="C42">
        <v>0</v>
      </c>
      <c r="D42" t="s">
        <v>141</v>
      </c>
      <c r="E42" t="s">
        <v>23</v>
      </c>
    </row>
    <row r="43" spans="1:5" x14ac:dyDescent="0.25">
      <c r="A43" t="s">
        <v>519</v>
      </c>
      <c r="B43">
        <v>0</v>
      </c>
      <c r="C43">
        <v>0</v>
      </c>
      <c r="D43" t="s">
        <v>143</v>
      </c>
      <c r="E43" t="s">
        <v>23</v>
      </c>
    </row>
    <row r="44" spans="1:5" ht="18" thickBot="1" x14ac:dyDescent="0.4">
      <c r="A44" s="45"/>
      <c r="B44" s="45"/>
      <c r="C44" s="45"/>
      <c r="D44" s="45"/>
      <c r="E44" s="45"/>
    </row>
    <row r="45" spans="1:5" ht="13.8" thickTop="1" x14ac:dyDescent="0.25"/>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RowHeight="13.2" x14ac:dyDescent="0.25"/>
  <cols>
    <col min="1" max="1" width="16.6640625" bestFit="1" customWidth="1"/>
    <col min="2" max="2" width="7.5546875" bestFit="1" customWidth="1"/>
    <col min="3" max="3" width="10.88671875" bestFit="1" customWidth="1"/>
    <col min="4" max="4" width="28.88671875" bestFit="1" customWidth="1"/>
  </cols>
  <sheetData>
    <row r="1" spans="1:5" ht="19.5" customHeight="1" x14ac:dyDescent="0.25">
      <c r="A1" s="161" t="s">
        <v>301</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729</v>
      </c>
      <c r="B10" s="45"/>
      <c r="C10" s="45"/>
      <c r="D10" s="45"/>
      <c r="E10" s="45"/>
    </row>
    <row r="11" spans="1:5" ht="13.8" thickTop="1" x14ac:dyDescent="0.25">
      <c r="A11" t="s">
        <v>520</v>
      </c>
      <c r="B11" t="s">
        <v>280</v>
      </c>
      <c r="C11" t="s">
        <v>28</v>
      </c>
      <c r="D11" t="s">
        <v>101</v>
      </c>
      <c r="E11" t="s">
        <v>23</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F34" sqref="F34"/>
    </sheetView>
  </sheetViews>
  <sheetFormatPr baseColWidth="10" defaultRowHeight="13.2" x14ac:dyDescent="0.25"/>
  <cols>
    <col min="1" max="1" width="12.44140625" customWidth="1"/>
    <col min="2" max="2" width="23.33203125" bestFit="1" customWidth="1"/>
    <col min="3" max="3" width="15.44140625" customWidth="1"/>
    <col min="4" max="4" width="18.33203125" bestFit="1" customWidth="1"/>
  </cols>
  <sheetData>
    <row r="1" spans="2:4" ht="14.4" x14ac:dyDescent="0.3">
      <c r="B1" s="9" t="s">
        <v>281</v>
      </c>
      <c r="C1" s="9"/>
      <c r="D1" s="9" t="s">
        <v>549</v>
      </c>
    </row>
    <row r="2" spans="2:4" x14ac:dyDescent="0.25">
      <c r="B2" s="1" t="s">
        <v>524</v>
      </c>
      <c r="D2" s="1" t="s">
        <v>535</v>
      </c>
    </row>
    <row r="3" spans="2:4" x14ac:dyDescent="0.25">
      <c r="B3" s="1" t="s">
        <v>525</v>
      </c>
      <c r="D3" s="1" t="s">
        <v>536</v>
      </c>
    </row>
    <row r="4" spans="2:4" x14ac:dyDescent="0.25">
      <c r="B4" s="1" t="s">
        <v>526</v>
      </c>
      <c r="D4" s="1" t="s">
        <v>539</v>
      </c>
    </row>
    <row r="5" spans="2:4" x14ac:dyDescent="0.25">
      <c r="B5" s="1" t="s">
        <v>529</v>
      </c>
      <c r="D5" s="1" t="s">
        <v>77</v>
      </c>
    </row>
    <row r="6" spans="2:4" x14ac:dyDescent="0.25">
      <c r="B6" s="1" t="s">
        <v>366</v>
      </c>
      <c r="D6" s="1" t="s">
        <v>373</v>
      </c>
    </row>
    <row r="7" spans="2:4" x14ac:dyDescent="0.25">
      <c r="B7" s="1" t="s">
        <v>527</v>
      </c>
      <c r="D7" s="1" t="s">
        <v>372</v>
      </c>
    </row>
    <row r="8" spans="2:4" x14ac:dyDescent="0.25">
      <c r="B8" s="1" t="s">
        <v>528</v>
      </c>
      <c r="D8" s="1" t="s">
        <v>542</v>
      </c>
    </row>
    <row r="9" spans="2:4" x14ac:dyDescent="0.25">
      <c r="D9" s="1" t="s">
        <v>533</v>
      </c>
    </row>
    <row r="10" spans="2:4" x14ac:dyDescent="0.25">
      <c r="D10" s="1" t="s">
        <v>545</v>
      </c>
    </row>
    <row r="11" spans="2:4" x14ac:dyDescent="0.25">
      <c r="D11" s="1" t="s">
        <v>538</v>
      </c>
    </row>
    <row r="12" spans="2:4" x14ac:dyDescent="0.25">
      <c r="D12" s="1" t="s">
        <v>367</v>
      </c>
    </row>
    <row r="13" spans="2:4" x14ac:dyDescent="0.25">
      <c r="D13" s="1" t="s">
        <v>544</v>
      </c>
    </row>
    <row r="14" spans="2:4" x14ac:dyDescent="0.25">
      <c r="D14" s="1" t="s">
        <v>534</v>
      </c>
    </row>
    <row r="15" spans="2:4" x14ac:dyDescent="0.25">
      <c r="D15" s="1" t="s">
        <v>371</v>
      </c>
    </row>
    <row r="16" spans="2:4" x14ac:dyDescent="0.25">
      <c r="D16" s="1" t="s">
        <v>543</v>
      </c>
    </row>
    <row r="17" spans="4:4" x14ac:dyDescent="0.25">
      <c r="D17" s="1" t="s">
        <v>532</v>
      </c>
    </row>
    <row r="18" spans="4:4" x14ac:dyDescent="0.25">
      <c r="D18" s="1" t="s">
        <v>531</v>
      </c>
    </row>
    <row r="19" spans="4:4" x14ac:dyDescent="0.25">
      <c r="D19" s="1" t="s">
        <v>368</v>
      </c>
    </row>
    <row r="20" spans="4:4" x14ac:dyDescent="0.25">
      <c r="D20" s="1" t="s">
        <v>540</v>
      </c>
    </row>
    <row r="21" spans="4:4" x14ac:dyDescent="0.25">
      <c r="D21" s="1" t="s">
        <v>541</v>
      </c>
    </row>
    <row r="22" spans="4:4" x14ac:dyDescent="0.25">
      <c r="D22" s="1" t="s">
        <v>374</v>
      </c>
    </row>
    <row r="23" spans="4:4" x14ac:dyDescent="0.25">
      <c r="D23" s="1" t="s">
        <v>369</v>
      </c>
    </row>
    <row r="24" spans="4:4" x14ac:dyDescent="0.25">
      <c r="D24" s="1" t="s">
        <v>537</v>
      </c>
    </row>
    <row r="25" spans="4:4" x14ac:dyDescent="0.25">
      <c r="D25" s="1" t="s">
        <v>530</v>
      </c>
    </row>
    <row r="26" spans="4:4" x14ac:dyDescent="0.25">
      <c r="D26" s="1" t="s">
        <v>370</v>
      </c>
    </row>
    <row r="27" spans="4:4" x14ac:dyDescent="0.25">
      <c r="D27" s="1" t="s">
        <v>523</v>
      </c>
    </row>
    <row r="28" spans="4:4" x14ac:dyDescent="0.25">
      <c r="D28" s="1"/>
    </row>
  </sheetData>
  <sortState ref="D2:D38">
    <sortCondition ref="D2"/>
  </sortState>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2017-09-15T09:08:07Z</dcterms:modified>
</cp:coreProperties>
</file>