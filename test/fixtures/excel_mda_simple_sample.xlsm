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60" yWindow="3432" windowWidth="20736" windowHeight="8688" tabRatio="952"/>
  </bookViews>
  <sheets>
    <sheet name="Arborescence - V3R0" sheetId="1" r:id="rId1"/>
    <sheet name="Inputs Geometry" sheetId="27" r:id="rId2"/>
    <sheet name="Outputs Geometry" sheetId="33" r:id="rId3"/>
    <sheet name="Inputs Aerodynamics" sheetId="28" r:id="rId4"/>
    <sheet name="Outputs Aerodynamics" sheetId="34" r:id="rId5"/>
    <sheet name="Inputs Propulsion" sheetId="29" r:id="rId6"/>
    <sheet name="Outputs Propulsion" sheetId="35" r:id="rId7"/>
    <sheet name="Inputs Structure" sheetId="30" r:id="rId8"/>
    <sheet name="Outputs Structure" sheetId="36" r:id="rId9"/>
    <sheet name="Inputs Mission" sheetId="31" r:id="rId10"/>
    <sheet name="Outputs Mission" sheetId="37" r:id="rId11"/>
    <sheet name="Inputs QdV" sheetId="32" r:id="rId12"/>
    <sheet name="Outputs QdV" sheetId="38" r:id="rId13"/>
    <sheet name="Listes MC" sheetId="2" r:id="rId14"/>
  </sheets>
  <functionGroups builtInGroupCount="17"/>
  <definedNames>
    <definedName name="_xlnm._FilterDatabase" localSheetId="0" hidden="1">'Arborescence - V3R0'!$B$15:$S$23</definedName>
    <definedName name="InputFileKeys">'Arborescence - V3R0'!$AL$16:$AN$19</definedName>
    <definedName name="sousGroupesDisponibles">'Listes MC'!$D$2:$D$39</definedName>
    <definedName name="variablesAndFlux">'Arborescence - V3R0'!$Y$15:$AJ$114</definedName>
  </definedNames>
  <calcPr calcId="145621"/>
</workbook>
</file>

<file path=xl/calcChain.xml><?xml version="1.0" encoding="utf-8"?>
<calcChain xmlns="http://schemas.openxmlformats.org/spreadsheetml/2006/main">
  <c r="Y16" i="1" l="1"/>
  <c r="Z16" i="1"/>
  <c r="AA16" i="1"/>
  <c r="AB16" i="1"/>
  <c r="AC16" i="1"/>
  <c r="Y17" i="1"/>
  <c r="Z17" i="1"/>
  <c r="AA17" i="1"/>
  <c r="AB17" i="1"/>
  <c r="AC17" i="1"/>
  <c r="Y18" i="1"/>
  <c r="Z18" i="1"/>
  <c r="AA18" i="1"/>
  <c r="AB18" i="1"/>
  <c r="AC18" i="1"/>
  <c r="Y19" i="1"/>
  <c r="Z19" i="1"/>
  <c r="AA19" i="1"/>
  <c r="AB19" i="1"/>
  <c r="AC19" i="1"/>
  <c r="Y20" i="1"/>
  <c r="Z20" i="1"/>
  <c r="AA20" i="1"/>
  <c r="AB20" i="1"/>
  <c r="AC20" i="1"/>
  <c r="Y21" i="1"/>
  <c r="Z21" i="1"/>
  <c r="AA21" i="1"/>
  <c r="AB21" i="1"/>
  <c r="AC21" i="1"/>
  <c r="Y22" i="1"/>
  <c r="Z22" i="1"/>
  <c r="AA22" i="1"/>
  <c r="AB22" i="1"/>
  <c r="AC22" i="1"/>
  <c r="Y23" i="1"/>
  <c r="Z23" i="1"/>
  <c r="AA23" i="1"/>
  <c r="AB23" i="1"/>
  <c r="AC23" i="1"/>
  <c r="Y24" i="1"/>
  <c r="Z24" i="1"/>
  <c r="AA24" i="1"/>
  <c r="AB24" i="1"/>
  <c r="AC24" i="1"/>
  <c r="Y25" i="1"/>
  <c r="Z25" i="1"/>
  <c r="AA25" i="1"/>
  <c r="AB25" i="1"/>
  <c r="AC25" i="1"/>
  <c r="Y26" i="1"/>
  <c r="Z26" i="1"/>
  <c r="AA26" i="1"/>
  <c r="AB26" i="1"/>
  <c r="AC26" i="1"/>
  <c r="Y27" i="1"/>
  <c r="Z27" i="1"/>
  <c r="AA27" i="1"/>
  <c r="AB27" i="1"/>
  <c r="AC27" i="1"/>
  <c r="Y28" i="1"/>
  <c r="Z28" i="1"/>
  <c r="AA28" i="1"/>
  <c r="AB28" i="1"/>
  <c r="AC28" i="1"/>
  <c r="Y29" i="1"/>
  <c r="Z29" i="1"/>
  <c r="AA29" i="1"/>
  <c r="AB29" i="1"/>
  <c r="AC29" i="1"/>
  <c r="Y30" i="1"/>
  <c r="Z30" i="1"/>
  <c r="AA30" i="1"/>
  <c r="AB30" i="1"/>
  <c r="AC30" i="1"/>
  <c r="Y31" i="1"/>
  <c r="Z31" i="1"/>
  <c r="AA31" i="1"/>
  <c r="AB31" i="1"/>
  <c r="AC31" i="1"/>
  <c r="Y32" i="1"/>
  <c r="Z32" i="1"/>
  <c r="AA32" i="1"/>
  <c r="AB32" i="1"/>
  <c r="AC32" i="1"/>
  <c r="Y33" i="1"/>
  <c r="Z33" i="1"/>
  <c r="AA33" i="1"/>
  <c r="AB33" i="1"/>
  <c r="AC33" i="1"/>
  <c r="Y34" i="1"/>
  <c r="Z34" i="1"/>
  <c r="AA34" i="1"/>
  <c r="AB34" i="1"/>
  <c r="AC34" i="1"/>
  <c r="Y35" i="1"/>
  <c r="Z35" i="1"/>
  <c r="AA35" i="1"/>
  <c r="AB35" i="1"/>
  <c r="AC35" i="1"/>
  <c r="Y36" i="1"/>
  <c r="Z36" i="1"/>
  <c r="AA36" i="1"/>
  <c r="AB36" i="1"/>
  <c r="AC36" i="1"/>
  <c r="Y37" i="1"/>
  <c r="Z37" i="1"/>
  <c r="AA37" i="1"/>
  <c r="AB37" i="1"/>
  <c r="AC37" i="1"/>
  <c r="Y38" i="1"/>
  <c r="Z38" i="1"/>
  <c r="AA38" i="1"/>
  <c r="AB38" i="1"/>
  <c r="AC38" i="1"/>
  <c r="Y39" i="1"/>
  <c r="Z39" i="1"/>
  <c r="AA39" i="1"/>
  <c r="AB39" i="1"/>
  <c r="AC39" i="1"/>
  <c r="Y40" i="1"/>
  <c r="Z40" i="1"/>
  <c r="AA40" i="1"/>
  <c r="AB40" i="1"/>
  <c r="AC40" i="1"/>
  <c r="Y41" i="1"/>
  <c r="Z41" i="1"/>
  <c r="AA41" i="1"/>
  <c r="AB41" i="1"/>
  <c r="AC41" i="1"/>
  <c r="Y42" i="1"/>
  <c r="Z42" i="1"/>
  <c r="AA42" i="1"/>
  <c r="AB42" i="1"/>
  <c r="AC42" i="1"/>
  <c r="Y43" i="1"/>
  <c r="Z43" i="1"/>
  <c r="AA43" i="1"/>
  <c r="AB43" i="1"/>
  <c r="AC43" i="1"/>
  <c r="Y44" i="1"/>
  <c r="Z44" i="1"/>
  <c r="AA44" i="1"/>
  <c r="AB44" i="1"/>
  <c r="AC44" i="1"/>
  <c r="Y45" i="1"/>
  <c r="Z45" i="1"/>
  <c r="AA45" i="1"/>
  <c r="AB45" i="1"/>
  <c r="AC45" i="1"/>
  <c r="Y46" i="1"/>
  <c r="Z46" i="1"/>
  <c r="AA46" i="1"/>
  <c r="AB46" i="1"/>
  <c r="AC46" i="1"/>
  <c r="Y47" i="1"/>
  <c r="Z47" i="1"/>
  <c r="AA47" i="1"/>
  <c r="AB47" i="1"/>
  <c r="AC47" i="1"/>
  <c r="Y48" i="1"/>
  <c r="Z48" i="1"/>
  <c r="AA48" i="1"/>
  <c r="AB48" i="1"/>
  <c r="AC48" i="1"/>
  <c r="Y49" i="1"/>
  <c r="Z49" i="1"/>
  <c r="AA49" i="1"/>
  <c r="AB49" i="1"/>
  <c r="AC49" i="1"/>
  <c r="Y50" i="1"/>
  <c r="Z50" i="1"/>
  <c r="AA50" i="1"/>
  <c r="AB50" i="1"/>
  <c r="AC50" i="1"/>
  <c r="Y51" i="1"/>
  <c r="Z51" i="1"/>
  <c r="AA51" i="1"/>
  <c r="AB51" i="1"/>
  <c r="AC51" i="1"/>
  <c r="Y52" i="1"/>
  <c r="Z52" i="1"/>
  <c r="AA52" i="1"/>
  <c r="AB52" i="1"/>
  <c r="AC52" i="1"/>
  <c r="Y53" i="1"/>
  <c r="Z53" i="1"/>
  <c r="AA53" i="1"/>
  <c r="AB53" i="1"/>
  <c r="AC53" i="1"/>
  <c r="Y54" i="1"/>
  <c r="Z54" i="1"/>
  <c r="AA54" i="1"/>
  <c r="AB54" i="1"/>
  <c r="AC54" i="1"/>
  <c r="Y55" i="1"/>
  <c r="Z55" i="1"/>
  <c r="AA55" i="1"/>
  <c r="AB55" i="1"/>
  <c r="AC55" i="1"/>
  <c r="Y56" i="1"/>
  <c r="Z56" i="1"/>
  <c r="AA56" i="1"/>
  <c r="AB56" i="1"/>
  <c r="AC56" i="1"/>
  <c r="Y57" i="1"/>
  <c r="Z57" i="1"/>
  <c r="AA57" i="1"/>
  <c r="AB57" i="1"/>
  <c r="AC57" i="1"/>
  <c r="Y58" i="1"/>
  <c r="Z58" i="1"/>
  <c r="AA58" i="1"/>
  <c r="AB58" i="1"/>
  <c r="AC58" i="1"/>
  <c r="Y59" i="1"/>
  <c r="Z59" i="1"/>
  <c r="AA59" i="1"/>
  <c r="AB59" i="1"/>
  <c r="AC59" i="1"/>
  <c r="Y60" i="1"/>
  <c r="Z60" i="1"/>
  <c r="AA60" i="1"/>
  <c r="AB60" i="1"/>
  <c r="AC60" i="1"/>
  <c r="Y61" i="1"/>
  <c r="Z61" i="1"/>
  <c r="AA61" i="1"/>
  <c r="AB61" i="1"/>
  <c r="AC61" i="1"/>
  <c r="Y62" i="1"/>
  <c r="Z62" i="1"/>
  <c r="AA62" i="1"/>
  <c r="AB62" i="1"/>
  <c r="AC62" i="1"/>
  <c r="Y63" i="1"/>
  <c r="Z63" i="1"/>
  <c r="AA63" i="1"/>
  <c r="AB63" i="1"/>
  <c r="AC63" i="1"/>
  <c r="Y64" i="1"/>
  <c r="Z64" i="1"/>
  <c r="AA64" i="1"/>
  <c r="AB64" i="1"/>
  <c r="AC64" i="1"/>
  <c r="Y65" i="1"/>
  <c r="Z65" i="1"/>
  <c r="AA65" i="1"/>
  <c r="AB65" i="1"/>
  <c r="AC65" i="1"/>
  <c r="Y66" i="1"/>
  <c r="Z66" i="1"/>
  <c r="AA66" i="1"/>
  <c r="AB66" i="1"/>
  <c r="AC66" i="1"/>
  <c r="Y67" i="1"/>
  <c r="Z67" i="1"/>
  <c r="AA67" i="1"/>
  <c r="AB67" i="1"/>
  <c r="AC67" i="1"/>
  <c r="Y68" i="1"/>
  <c r="Z68" i="1"/>
  <c r="AA68" i="1"/>
  <c r="AB68" i="1"/>
  <c r="AC68" i="1"/>
  <c r="Y69" i="1"/>
  <c r="Z69" i="1"/>
  <c r="AA69" i="1"/>
  <c r="AB69" i="1"/>
  <c r="AC69" i="1"/>
  <c r="Y70" i="1"/>
  <c r="Z70" i="1"/>
  <c r="AA70" i="1"/>
  <c r="AB70" i="1"/>
  <c r="AC70" i="1"/>
  <c r="Y71" i="1"/>
  <c r="Z71" i="1"/>
  <c r="AA71" i="1"/>
  <c r="AB71" i="1"/>
  <c r="AC71" i="1"/>
  <c r="Y72" i="1"/>
  <c r="Z72" i="1"/>
  <c r="AA72" i="1"/>
  <c r="AB72" i="1"/>
  <c r="AC72" i="1"/>
  <c r="Y73" i="1"/>
  <c r="Z73" i="1"/>
  <c r="AA73" i="1"/>
  <c r="AB73" i="1"/>
  <c r="AC73" i="1"/>
  <c r="Y74" i="1"/>
  <c r="Z74" i="1"/>
  <c r="AA74" i="1"/>
  <c r="AB74" i="1"/>
  <c r="AC74" i="1"/>
  <c r="Y75" i="1"/>
  <c r="Z75" i="1"/>
  <c r="AA75" i="1"/>
  <c r="AB75" i="1"/>
  <c r="AC75" i="1"/>
  <c r="Y76" i="1"/>
  <c r="Z76" i="1"/>
  <c r="AA76" i="1"/>
  <c r="AB76" i="1"/>
  <c r="AC76" i="1"/>
  <c r="Y77" i="1"/>
  <c r="Z77" i="1"/>
  <c r="AA77" i="1"/>
  <c r="AB77" i="1"/>
  <c r="AC77" i="1"/>
  <c r="Y78" i="1"/>
  <c r="Z78" i="1"/>
  <c r="AA78" i="1"/>
  <c r="AB78" i="1"/>
  <c r="AC78" i="1"/>
  <c r="Y79" i="1"/>
  <c r="Z79" i="1"/>
  <c r="AA79" i="1"/>
  <c r="AB79" i="1"/>
  <c r="AC79" i="1"/>
  <c r="Y80" i="1"/>
  <c r="Z80" i="1"/>
  <c r="AA80" i="1"/>
  <c r="AB80" i="1"/>
  <c r="AC80" i="1"/>
  <c r="Y81" i="1"/>
  <c r="Z81" i="1"/>
  <c r="AA81" i="1"/>
  <c r="AB81" i="1"/>
  <c r="AC81" i="1"/>
  <c r="Y82" i="1"/>
  <c r="Z82" i="1"/>
  <c r="AA82" i="1"/>
  <c r="AB82" i="1"/>
  <c r="AC82" i="1"/>
  <c r="Y83" i="1"/>
  <c r="Z83" i="1"/>
  <c r="AA83" i="1"/>
  <c r="AB83" i="1"/>
  <c r="AC83" i="1"/>
  <c r="Y84" i="1"/>
  <c r="Z84" i="1"/>
  <c r="AA84" i="1"/>
  <c r="AB84" i="1"/>
  <c r="AC84" i="1"/>
  <c r="Y85" i="1"/>
  <c r="Z85" i="1"/>
  <c r="AA85" i="1"/>
  <c r="AB85" i="1"/>
  <c r="AC85" i="1"/>
  <c r="Y86" i="1"/>
  <c r="Z86" i="1"/>
  <c r="AA86" i="1"/>
  <c r="AB86" i="1"/>
  <c r="AC86" i="1"/>
  <c r="Y87" i="1"/>
  <c r="Z87" i="1"/>
  <c r="AA87" i="1"/>
  <c r="AB87" i="1"/>
  <c r="AC87" i="1"/>
  <c r="Y88" i="1"/>
  <c r="Z88" i="1"/>
  <c r="AA88" i="1"/>
  <c r="AB88" i="1"/>
  <c r="AC88" i="1"/>
  <c r="Y89" i="1"/>
  <c r="Z89" i="1"/>
  <c r="AA89" i="1"/>
  <c r="AB89" i="1"/>
  <c r="AC89" i="1"/>
  <c r="Y90" i="1"/>
  <c r="Z90" i="1"/>
  <c r="AA90" i="1"/>
  <c r="AB90" i="1"/>
  <c r="AC90" i="1"/>
  <c r="Y91" i="1"/>
  <c r="Z91" i="1"/>
  <c r="AA91" i="1"/>
  <c r="AB91" i="1"/>
  <c r="AC91" i="1"/>
  <c r="Y92" i="1"/>
  <c r="Z92" i="1"/>
  <c r="AA92" i="1"/>
  <c r="AB92" i="1"/>
  <c r="AC92" i="1"/>
  <c r="Y93" i="1"/>
  <c r="Z93" i="1"/>
  <c r="AA93" i="1"/>
  <c r="AB93" i="1"/>
  <c r="AC93" i="1"/>
  <c r="Y94" i="1"/>
  <c r="Z94" i="1"/>
  <c r="AA94" i="1"/>
  <c r="AB94" i="1"/>
  <c r="AC94" i="1"/>
  <c r="Y95" i="1"/>
  <c r="Z95" i="1"/>
  <c r="AA95" i="1"/>
  <c r="AB95" i="1"/>
  <c r="AC95" i="1"/>
  <c r="Y96" i="1"/>
  <c r="Z96" i="1"/>
  <c r="AA96" i="1"/>
  <c r="AB96" i="1"/>
  <c r="AC96" i="1"/>
  <c r="Y97" i="1"/>
  <c r="Z97" i="1"/>
  <c r="AA97" i="1"/>
  <c r="AB97" i="1"/>
  <c r="AC97" i="1"/>
  <c r="Y98" i="1"/>
  <c r="Z98" i="1"/>
  <c r="AA98" i="1"/>
  <c r="AB98" i="1"/>
  <c r="AC98" i="1"/>
  <c r="Y99" i="1"/>
  <c r="Z99" i="1"/>
  <c r="AA99" i="1"/>
  <c r="AB99" i="1"/>
  <c r="AC99" i="1"/>
  <c r="Y100" i="1"/>
  <c r="Z100" i="1"/>
  <c r="AA100" i="1"/>
  <c r="AB100" i="1"/>
  <c r="AC100" i="1"/>
  <c r="Y101" i="1"/>
  <c r="Z101" i="1"/>
  <c r="AA101" i="1"/>
  <c r="AB101" i="1"/>
  <c r="AC101" i="1"/>
  <c r="Y102" i="1"/>
  <c r="Z102" i="1"/>
  <c r="AA102" i="1"/>
  <c r="AB102" i="1"/>
  <c r="AC102" i="1"/>
  <c r="Y103" i="1"/>
  <c r="Z103" i="1"/>
  <c r="AA103" i="1"/>
  <c r="AB103" i="1"/>
  <c r="AC103" i="1"/>
  <c r="Y104" i="1"/>
  <c r="Z104" i="1"/>
  <c r="AA104" i="1"/>
  <c r="AB104" i="1"/>
  <c r="AC104" i="1"/>
  <c r="Y105" i="1"/>
  <c r="Z105" i="1"/>
  <c r="AA105" i="1"/>
  <c r="AB105" i="1"/>
  <c r="AC105" i="1"/>
  <c r="AD120" i="1"/>
  <c r="AA106" i="1"/>
  <c r="AA107" i="1"/>
  <c r="AA108" i="1"/>
  <c r="AA109" i="1"/>
  <c r="AA110" i="1"/>
  <c r="AA111" i="1"/>
  <c r="AA112" i="1"/>
  <c r="AA113" i="1"/>
  <c r="AA114" i="1"/>
  <c r="Y106" i="1"/>
  <c r="Z106" i="1"/>
  <c r="AB106" i="1"/>
  <c r="AC106" i="1"/>
  <c r="Y107" i="1"/>
  <c r="Z107" i="1"/>
  <c r="AB107" i="1"/>
  <c r="AC107" i="1"/>
  <c r="Y108" i="1"/>
  <c r="Z108" i="1"/>
  <c r="AB108" i="1"/>
  <c r="AC108" i="1"/>
  <c r="Y109" i="1"/>
  <c r="Z109" i="1"/>
  <c r="AB109" i="1"/>
  <c r="AC109" i="1"/>
  <c r="Y110" i="1"/>
  <c r="Z110" i="1"/>
  <c r="AB110" i="1"/>
  <c r="AC110" i="1"/>
  <c r="Y111" i="1"/>
  <c r="Z111" i="1"/>
  <c r="AB111" i="1"/>
  <c r="AC111" i="1"/>
  <c r="Y112" i="1"/>
  <c r="Z112" i="1"/>
  <c r="AB112" i="1"/>
  <c r="AC112" i="1"/>
  <c r="Y113" i="1"/>
  <c r="Z113" i="1"/>
  <c r="AB113" i="1"/>
  <c r="AC113" i="1"/>
  <c r="Y114" i="1"/>
  <c r="Z114" i="1"/>
  <c r="AB114" i="1"/>
  <c r="AC114" i="1"/>
  <c r="AH16" i="1"/>
  <c r="AH17" i="1"/>
  <c r="AH18" i="1"/>
  <c r="AH19" i="1"/>
  <c r="AD36" i="1" l="1"/>
  <c r="AD37" i="1"/>
  <c r="AD34" i="1"/>
  <c r="AD30" i="1"/>
  <c r="AD26" i="1"/>
  <c r="AD24" i="1"/>
  <c r="AD21" i="1"/>
  <c r="AD99" i="1"/>
  <c r="AD91" i="1"/>
  <c r="AD83" i="1"/>
  <c r="AD79" i="1"/>
  <c r="AD67" i="1"/>
  <c r="AD59" i="1"/>
  <c r="AD55" i="1"/>
  <c r="AE16" i="1"/>
  <c r="AI16" i="1"/>
  <c r="AE17" i="1"/>
  <c r="AI17" i="1"/>
  <c r="AE18" i="1"/>
  <c r="AI18" i="1"/>
  <c r="AE19" i="1"/>
  <c r="AI19" i="1"/>
  <c r="AF16" i="1"/>
  <c r="AF17" i="1"/>
  <c r="AF18" i="1"/>
  <c r="AF19" i="1"/>
  <c r="AG16" i="1"/>
  <c r="AG17" i="1"/>
  <c r="AG18" i="1"/>
  <c r="AG19" i="1"/>
  <c r="AJ16" i="1"/>
  <c r="AJ17" i="1"/>
  <c r="AJ19" i="1"/>
  <c r="AG28" i="1"/>
  <c r="AG32" i="1"/>
  <c r="AG36" i="1"/>
  <c r="AH21" i="1"/>
  <c r="AH24" i="1"/>
  <c r="AH26" i="1"/>
  <c r="AH30" i="1"/>
  <c r="AH34" i="1"/>
  <c r="AG34" i="1"/>
  <c r="AH32" i="1"/>
  <c r="AG27" i="1"/>
  <c r="AH33" i="1"/>
  <c r="AG20" i="1"/>
  <c r="AG23" i="1"/>
  <c r="AG25" i="1"/>
  <c r="AG29" i="1"/>
  <c r="AG33" i="1"/>
  <c r="AG37" i="1"/>
  <c r="AH22" i="1"/>
  <c r="AH27" i="1"/>
  <c r="AH31" i="1"/>
  <c r="AG21" i="1"/>
  <c r="AG24" i="1"/>
  <c r="AG26" i="1"/>
  <c r="AG30" i="1"/>
  <c r="AH28" i="1"/>
  <c r="AG22" i="1"/>
  <c r="AG31" i="1"/>
  <c r="AG35" i="1"/>
  <c r="AH20" i="1"/>
  <c r="AH23" i="1"/>
  <c r="AH25" i="1"/>
  <c r="AH29" i="1"/>
  <c r="AJ22" i="1"/>
  <c r="AJ27" i="1"/>
  <c r="AJ31" i="1"/>
  <c r="AI35" i="1"/>
  <c r="AG38" i="1"/>
  <c r="AG42" i="1"/>
  <c r="AG46" i="1"/>
  <c r="AG50" i="1"/>
  <c r="AG54" i="1"/>
  <c r="AG58" i="1"/>
  <c r="AG62" i="1"/>
  <c r="AG66" i="1"/>
  <c r="AG70" i="1"/>
  <c r="AG74" i="1"/>
  <c r="AG78" i="1"/>
  <c r="AG82" i="1"/>
  <c r="AG86" i="1"/>
  <c r="AG90" i="1"/>
  <c r="AG94" i="1"/>
  <c r="AG98" i="1"/>
  <c r="AG102" i="1"/>
  <c r="AI28" i="1"/>
  <c r="AI32" i="1"/>
  <c r="AE36" i="1"/>
  <c r="AG39" i="1"/>
  <c r="AG43" i="1"/>
  <c r="AG47" i="1"/>
  <c r="AG51" i="1"/>
  <c r="AG55" i="1"/>
  <c r="AG59" i="1"/>
  <c r="AG63" i="1"/>
  <c r="AG67" i="1"/>
  <c r="AG71" i="1"/>
  <c r="AG75" i="1"/>
  <c r="AG79" i="1"/>
  <c r="AG83" i="1"/>
  <c r="AG87" i="1"/>
  <c r="AG91" i="1"/>
  <c r="AG95" i="1"/>
  <c r="AG99" i="1"/>
  <c r="AG103" i="1"/>
  <c r="AJ29" i="1"/>
  <c r="AJ33" i="1"/>
  <c r="AE43" i="1"/>
  <c r="AE46" i="1"/>
  <c r="AE50" i="1"/>
  <c r="AE53" i="1"/>
  <c r="AE58" i="1"/>
  <c r="AE62" i="1"/>
  <c r="AE66" i="1"/>
  <c r="AE70" i="1"/>
  <c r="AE74" i="1"/>
  <c r="AE78" i="1"/>
  <c r="AF20" i="1"/>
  <c r="AF23" i="1"/>
  <c r="AF25" i="1"/>
  <c r="AF29" i="1"/>
  <c r="AF33" i="1"/>
  <c r="AJ36" i="1"/>
  <c r="AG40" i="1"/>
  <c r="AG44" i="1"/>
  <c r="AG48" i="1"/>
  <c r="AG52" i="1"/>
  <c r="AG56" i="1"/>
  <c r="AG60" i="1"/>
  <c r="AG64" i="1"/>
  <c r="AG68" i="1"/>
  <c r="AG72" i="1"/>
  <c r="AG76" i="1"/>
  <c r="AG80" i="1"/>
  <c r="AG84" i="1"/>
  <c r="AG88" i="1"/>
  <c r="AG92" i="1"/>
  <c r="AG96" i="1"/>
  <c r="AG100" i="1"/>
  <c r="AG104" i="1"/>
  <c r="AJ20" i="1"/>
  <c r="AI26" i="1"/>
  <c r="AI30" i="1"/>
  <c r="AE39" i="1"/>
  <c r="AI44" i="1"/>
  <c r="AI47" i="1"/>
  <c r="AI51" i="1"/>
  <c r="AI55" i="1"/>
  <c r="AI60" i="1"/>
  <c r="AI64" i="1"/>
  <c r="AI68" i="1"/>
  <c r="AI72" i="1"/>
  <c r="AI75" i="1"/>
  <c r="AE21" i="1"/>
  <c r="AE26" i="1"/>
  <c r="AG41" i="1"/>
  <c r="AG57" i="1"/>
  <c r="AG73" i="1"/>
  <c r="AG89" i="1"/>
  <c r="AG105" i="1"/>
  <c r="AI21" i="1"/>
  <c r="AF27" i="1"/>
  <c r="AE40" i="1"/>
  <c r="AE48" i="1"/>
  <c r="AE56" i="1"/>
  <c r="AE65" i="1"/>
  <c r="AE73" i="1"/>
  <c r="AE30" i="1"/>
  <c r="AG45" i="1"/>
  <c r="AG61" i="1"/>
  <c r="AG77" i="1"/>
  <c r="AG93" i="1"/>
  <c r="AF22" i="1"/>
  <c r="AE28" i="1"/>
  <c r="AI42" i="1"/>
  <c r="AI49" i="1"/>
  <c r="AI57" i="1"/>
  <c r="AI65" i="1"/>
  <c r="AI73" i="1"/>
  <c r="AE24" i="1"/>
  <c r="AE34" i="1"/>
  <c r="AG49" i="1"/>
  <c r="AG65" i="1"/>
  <c r="AG81" i="1"/>
  <c r="AG97" i="1"/>
  <c r="AI24" i="1"/>
  <c r="AF31" i="1"/>
  <c r="AE45" i="1"/>
  <c r="AE52" i="1"/>
  <c r="AE61" i="1"/>
  <c r="AE69" i="1"/>
  <c r="AE76" i="1"/>
  <c r="AF37" i="1"/>
  <c r="AG53" i="1"/>
  <c r="AG69" i="1"/>
  <c r="AG85" i="1"/>
  <c r="AG101" i="1"/>
  <c r="AE32" i="1"/>
  <c r="AI45" i="1"/>
  <c r="AI52" i="1"/>
  <c r="AI61" i="1"/>
  <c r="AI69" i="1"/>
  <c r="AI77" i="1"/>
  <c r="AI20" i="1"/>
  <c r="AI23" i="1"/>
  <c r="AI25" i="1"/>
  <c r="AI29" i="1"/>
  <c r="AI33" i="1"/>
  <c r="AF36" i="1"/>
  <c r="AH40" i="1"/>
  <c r="AH44" i="1"/>
  <c r="AH48" i="1"/>
  <c r="AH52" i="1"/>
  <c r="AH56" i="1"/>
  <c r="AH60" i="1"/>
  <c r="AH64" i="1"/>
  <c r="AH68" i="1"/>
  <c r="AH72" i="1"/>
  <c r="AH76" i="1"/>
  <c r="AH80" i="1"/>
  <c r="AH84" i="1"/>
  <c r="AH88" i="1"/>
  <c r="AH92" i="1"/>
  <c r="AH96" i="1"/>
  <c r="AH100" i="1"/>
  <c r="AH104" i="1"/>
  <c r="AF35" i="1"/>
  <c r="AI38" i="1"/>
  <c r="AI41" i="1"/>
  <c r="AI46" i="1"/>
  <c r="AI50" i="1"/>
  <c r="AI54" i="1"/>
  <c r="AI58" i="1"/>
  <c r="AI62" i="1"/>
  <c r="AI66" i="1"/>
  <c r="AI70" i="1"/>
  <c r="AI74" i="1"/>
  <c r="AI78" i="1"/>
  <c r="AI22" i="1"/>
  <c r="AI27" i="1"/>
  <c r="AH35" i="1"/>
  <c r="AJ44" i="1"/>
  <c r="AJ52" i="1"/>
  <c r="AJ60" i="1"/>
  <c r="AJ68" i="1"/>
  <c r="AJ76" i="1"/>
  <c r="AF82" i="1"/>
  <c r="AF86" i="1"/>
  <c r="AF90" i="1"/>
  <c r="AF94" i="1"/>
  <c r="AF98" i="1"/>
  <c r="AF102" i="1"/>
  <c r="AJ21" i="1"/>
  <c r="AJ26" i="1"/>
  <c r="AF41" i="1"/>
  <c r="AF57" i="1"/>
  <c r="AF73" i="1"/>
  <c r="AF96" i="1"/>
  <c r="AE101" i="1"/>
  <c r="AJ37" i="1"/>
  <c r="AF48" i="1"/>
  <c r="AF64" i="1"/>
  <c r="AJ73" i="1"/>
  <c r="AF85" i="1"/>
  <c r="AE94" i="1"/>
  <c r="AE98" i="1"/>
  <c r="AE102" i="1"/>
  <c r="AF21" i="1"/>
  <c r="AF24" i="1"/>
  <c r="AF26" i="1"/>
  <c r="AF30" i="1"/>
  <c r="AF34" i="1"/>
  <c r="AH37" i="1"/>
  <c r="AH41" i="1"/>
  <c r="AH45" i="1"/>
  <c r="AH49" i="1"/>
  <c r="AH53" i="1"/>
  <c r="AJ28" i="1"/>
  <c r="AJ35" i="1"/>
  <c r="AH43" i="1"/>
  <c r="AH51" i="1"/>
  <c r="AH58" i="1"/>
  <c r="AH63" i="1"/>
  <c r="AH69" i="1"/>
  <c r="AH74" i="1"/>
  <c r="AH79" i="1"/>
  <c r="AH85" i="1"/>
  <c r="AH90" i="1"/>
  <c r="AH95" i="1"/>
  <c r="AH101" i="1"/>
  <c r="AI37" i="1"/>
  <c r="AE41" i="1"/>
  <c r="AE47" i="1"/>
  <c r="AI53" i="1"/>
  <c r="AE57" i="1"/>
  <c r="AE63" i="1"/>
  <c r="AI67" i="1"/>
  <c r="AE72" i="1"/>
  <c r="AE25" i="1"/>
  <c r="AF39" i="1"/>
  <c r="AJ48" i="1"/>
  <c r="AF59" i="1"/>
  <c r="AF71" i="1"/>
  <c r="AJ80" i="1"/>
  <c r="AI85" i="1"/>
  <c r="AE91" i="1"/>
  <c r="AI101" i="1"/>
  <c r="AF80" i="1"/>
  <c r="AJ65" i="1"/>
  <c r="AJ99" i="1"/>
  <c r="AE31" i="1"/>
  <c r="AH38" i="1"/>
  <c r="AH46" i="1"/>
  <c r="AH54" i="1"/>
  <c r="AH59" i="1"/>
  <c r="AH65" i="1"/>
  <c r="AH70" i="1"/>
  <c r="AH75" i="1"/>
  <c r="AH81" i="1"/>
  <c r="AH86" i="1"/>
  <c r="AH91" i="1"/>
  <c r="AH97" i="1"/>
  <c r="AH102" i="1"/>
  <c r="AJ23" i="1"/>
  <c r="AJ25" i="1"/>
  <c r="AE38" i="1"/>
  <c r="AE42" i="1"/>
  <c r="AI48" i="1"/>
  <c r="AE54" i="1"/>
  <c r="AE59" i="1"/>
  <c r="AI63" i="1"/>
  <c r="AE68" i="1"/>
  <c r="AE75" i="1"/>
  <c r="AE23" i="1"/>
  <c r="AE29" i="1"/>
  <c r="AJ40" i="1"/>
  <c r="AF51" i="1"/>
  <c r="AF63" i="1"/>
  <c r="AJ72" i="1"/>
  <c r="AI81" i="1"/>
  <c r="AE87" i="1"/>
  <c r="AJ92" i="1"/>
  <c r="AI97" i="1"/>
  <c r="AE103" i="1"/>
  <c r="AF28" i="1"/>
  <c r="AF49" i="1"/>
  <c r="AJ70" i="1"/>
  <c r="AJ98" i="1"/>
  <c r="AI103" i="1"/>
  <c r="AJ49" i="1"/>
  <c r="AF68" i="1"/>
  <c r="AF81" i="1"/>
  <c r="AJ95" i="1"/>
  <c r="AI100" i="1"/>
  <c r="AF105" i="1"/>
  <c r="AJ32" i="1"/>
  <c r="AH39" i="1"/>
  <c r="AH47" i="1"/>
  <c r="AH55" i="1"/>
  <c r="AH61" i="1"/>
  <c r="AH66" i="1"/>
  <c r="AH71" i="1"/>
  <c r="AH77" i="1"/>
  <c r="AH82" i="1"/>
  <c r="AH87" i="1"/>
  <c r="AH93" i="1"/>
  <c r="AH98" i="1"/>
  <c r="AH103" i="1"/>
  <c r="AI34" i="1"/>
  <c r="AI39" i="1"/>
  <c r="AI43" i="1"/>
  <c r="AE49" i="1"/>
  <c r="AE55" i="1"/>
  <c r="AI59" i="1"/>
  <c r="AE64" i="1"/>
  <c r="AE71" i="1"/>
  <c r="AI76" i="1"/>
  <c r="AE20" i="1"/>
  <c r="AI31" i="1"/>
  <c r="AF43" i="1"/>
  <c r="AF55" i="1"/>
  <c r="AJ64" i="1"/>
  <c r="AF75" i="1"/>
  <c r="AE83" i="1"/>
  <c r="AJ88" i="1"/>
  <c r="AI93" i="1"/>
  <c r="AE99" i="1"/>
  <c r="AJ104" i="1"/>
  <c r="AJ30" i="1"/>
  <c r="AJ50" i="1"/>
  <c r="AJ74" i="1"/>
  <c r="AI99" i="1"/>
  <c r="AE105" i="1"/>
  <c r="AF40" i="1"/>
  <c r="AF60" i="1"/>
  <c r="AJ69" i="1"/>
  <c r="AE90" i="1"/>
  <c r="AI96" i="1"/>
  <c r="AF101" i="1"/>
  <c r="AE22" i="1"/>
  <c r="AE27" i="1"/>
  <c r="AE35" i="1"/>
  <c r="AH42" i="1"/>
  <c r="AH50" i="1"/>
  <c r="AH57" i="1"/>
  <c r="AH62" i="1"/>
  <c r="AH67" i="1"/>
  <c r="AH73" i="1"/>
  <c r="AH78" i="1"/>
  <c r="AH83" i="1"/>
  <c r="AH89" i="1"/>
  <c r="AH94" i="1"/>
  <c r="AH99" i="1"/>
  <c r="AH105" i="1"/>
  <c r="AH36" i="1"/>
  <c r="AI40" i="1"/>
  <c r="AE44" i="1"/>
  <c r="AE51" i="1"/>
  <c r="AI56" i="1"/>
  <c r="AE60" i="1"/>
  <c r="AE67" i="1"/>
  <c r="AI71" i="1"/>
  <c r="AE77" i="1"/>
  <c r="AE33" i="1"/>
  <c r="AF47" i="1"/>
  <c r="AJ56" i="1"/>
  <c r="AF67" i="1"/>
  <c r="AE79" i="1"/>
  <c r="AJ84" i="1"/>
  <c r="AI89" i="1"/>
  <c r="AE95" i="1"/>
  <c r="AJ100" i="1"/>
  <c r="AI105" i="1"/>
  <c r="AJ24" i="1"/>
  <c r="AE37" i="1"/>
  <c r="AJ58" i="1"/>
  <c r="AI79" i="1"/>
  <c r="AF100" i="1"/>
  <c r="AF44" i="1"/>
  <c r="AJ61" i="1"/>
  <c r="AJ79" i="1"/>
  <c r="AJ91" i="1"/>
  <c r="AF97" i="1"/>
  <c r="AJ103" i="1"/>
  <c r="AJ96" i="1"/>
  <c r="AJ42" i="1"/>
  <c r="AF69" i="1"/>
  <c r="AJ102" i="1"/>
  <c r="AJ45" i="1"/>
  <c r="AI80" i="1"/>
  <c r="AI92" i="1"/>
  <c r="AI104" i="1"/>
  <c r="AJ18" i="1"/>
  <c r="AD87" i="1" l="1"/>
  <c r="AD38" i="1"/>
  <c r="AD32" i="1"/>
  <c r="AD28" i="1"/>
  <c r="AD76" i="1"/>
  <c r="AD72" i="1"/>
  <c r="AD68" i="1"/>
  <c r="AD64" i="1"/>
  <c r="AD60" i="1"/>
  <c r="AD56" i="1"/>
  <c r="AD52" i="1"/>
  <c r="AD48" i="1"/>
  <c r="AD44" i="1"/>
  <c r="AD40" i="1"/>
  <c r="AD35" i="1"/>
  <c r="AD31" i="1"/>
  <c r="AD27" i="1"/>
  <c r="AD22" i="1"/>
  <c r="AD103" i="1"/>
  <c r="AD95" i="1"/>
  <c r="AD75" i="1"/>
  <c r="AD71" i="1"/>
  <c r="AD63" i="1"/>
  <c r="AD51" i="1"/>
  <c r="AD47" i="1"/>
  <c r="AD43" i="1"/>
  <c r="AD39" i="1"/>
  <c r="AD102" i="1"/>
  <c r="AD98" i="1"/>
  <c r="AD94" i="1"/>
  <c r="AD90" i="1"/>
  <c r="AD86" i="1"/>
  <c r="AD82" i="1"/>
  <c r="AD33" i="1"/>
  <c r="AD29" i="1"/>
  <c r="AD25" i="1"/>
  <c r="AD23" i="1"/>
  <c r="AD20" i="1"/>
  <c r="AD105" i="1"/>
  <c r="AD101" i="1"/>
  <c r="AD97" i="1"/>
  <c r="AD93" i="1"/>
  <c r="AD89" i="1"/>
  <c r="AD85" i="1"/>
  <c r="AD81" i="1"/>
  <c r="AD77" i="1"/>
  <c r="AD73" i="1"/>
  <c r="AD69" i="1"/>
  <c r="AD65" i="1"/>
  <c r="AD61" i="1"/>
  <c r="AD57" i="1"/>
  <c r="AD53" i="1"/>
  <c r="AD49" i="1"/>
  <c r="AD45" i="1"/>
  <c r="AD41" i="1"/>
  <c r="AD16" i="1"/>
  <c r="AD104" i="1"/>
  <c r="AD100" i="1"/>
  <c r="AD96" i="1"/>
  <c r="AD92" i="1"/>
  <c r="AD88" i="1"/>
  <c r="AD84" i="1"/>
  <c r="AD80" i="1"/>
  <c r="AD78" i="1"/>
  <c r="AD74" i="1"/>
  <c r="AD70" i="1"/>
  <c r="AD66" i="1"/>
  <c r="AD62" i="1"/>
  <c r="AD58" i="1"/>
  <c r="AD54" i="1"/>
  <c r="AD50" i="1"/>
  <c r="AD46" i="1"/>
  <c r="AD42" i="1"/>
  <c r="AD17" i="1"/>
  <c r="AD19" i="1"/>
  <c r="AD18" i="1"/>
  <c r="AD112" i="1"/>
  <c r="AD108" i="1"/>
  <c r="AD114" i="1"/>
  <c r="AD113" i="1"/>
  <c r="AD111" i="1"/>
  <c r="AD110" i="1"/>
  <c r="AD109" i="1"/>
  <c r="AD107" i="1"/>
  <c r="AD106" i="1"/>
  <c r="AF38" i="1"/>
  <c r="AF46" i="1"/>
  <c r="AF54" i="1"/>
  <c r="AF62" i="1"/>
  <c r="AF70" i="1"/>
  <c r="AF78" i="1"/>
  <c r="AI82" i="1"/>
  <c r="AI86" i="1"/>
  <c r="AI90" i="1"/>
  <c r="AI94" i="1"/>
  <c r="AI98" i="1"/>
  <c r="AI102" i="1"/>
  <c r="AJ34" i="1"/>
  <c r="AF53" i="1"/>
  <c r="AF65" i="1"/>
  <c r="AE81" i="1"/>
  <c r="AE85" i="1"/>
  <c r="AE89" i="1"/>
  <c r="AE93" i="1"/>
  <c r="AF104" i="1"/>
  <c r="AF52" i="1"/>
  <c r="AF72" i="1"/>
  <c r="AJ83" i="1"/>
  <c r="AI88" i="1"/>
  <c r="AJ113" i="1"/>
  <c r="AJ109" i="1"/>
  <c r="AG108" i="1"/>
  <c r="AG114" i="1"/>
  <c r="AH112" i="1"/>
  <c r="AI109" i="1"/>
  <c r="AG106" i="1"/>
  <c r="AI113" i="1"/>
  <c r="AJ108" i="1"/>
  <c r="AI107" i="1"/>
  <c r="AJ114" i="1"/>
  <c r="AH110" i="1"/>
  <c r="AE109" i="1"/>
  <c r="AI106" i="1"/>
  <c r="AF110" i="1"/>
  <c r="AI112" i="1"/>
  <c r="AJ107" i="1"/>
  <c r="AJ110" i="1"/>
  <c r="AE114" i="1"/>
  <c r="AI108" i="1"/>
  <c r="AJ39" i="1"/>
  <c r="AJ47" i="1"/>
  <c r="AJ55" i="1"/>
  <c r="AJ63" i="1"/>
  <c r="AJ71" i="1"/>
  <c r="AF79" i="1"/>
  <c r="AF83" i="1"/>
  <c r="AF87" i="1"/>
  <c r="AF91" i="1"/>
  <c r="AF95" i="1"/>
  <c r="AF99" i="1"/>
  <c r="AF103" i="1"/>
  <c r="AJ38" i="1"/>
  <c r="AJ54" i="1"/>
  <c r="AJ66" i="1"/>
  <c r="AJ82" i="1"/>
  <c r="AJ86" i="1"/>
  <c r="AJ90" i="1"/>
  <c r="AJ94" i="1"/>
  <c r="AJ53" i="1"/>
  <c r="AF76" i="1"/>
  <c r="AI84" i="1"/>
  <c r="AF89" i="1"/>
  <c r="AE113" i="1"/>
  <c r="AH108" i="1"/>
  <c r="AF107" i="1"/>
  <c r="AF114" i="1"/>
  <c r="AI110" i="1"/>
  <c r="AH109" i="1"/>
  <c r="AJ106" i="1"/>
  <c r="AF112" i="1"/>
  <c r="AG110" i="1"/>
  <c r="AH107" i="1"/>
  <c r="AF113" i="1"/>
  <c r="AF108" i="1"/>
  <c r="AH111" i="1"/>
  <c r="AF42" i="1"/>
  <c r="AF50" i="1"/>
  <c r="AF58" i="1"/>
  <c r="AF66" i="1"/>
  <c r="AF74" i="1"/>
  <c r="AE80" i="1"/>
  <c r="AE84" i="1"/>
  <c r="AE88" i="1"/>
  <c r="AE92" i="1"/>
  <c r="AE96" i="1"/>
  <c r="AE100" i="1"/>
  <c r="AE104" i="1"/>
  <c r="AF45" i="1"/>
  <c r="AF61" i="1"/>
  <c r="AF77" i="1"/>
  <c r="AI83" i="1"/>
  <c r="AI87" i="1"/>
  <c r="AI91" i="1"/>
  <c r="AI95" i="1"/>
  <c r="AI36" i="1"/>
  <c r="AF56" i="1"/>
  <c r="AJ77" i="1"/>
  <c r="AE86" i="1"/>
  <c r="AF93" i="1"/>
  <c r="AE112" i="1"/>
  <c r="AE111" i="1"/>
  <c r="AG107" i="1"/>
  <c r="AH113" i="1"/>
  <c r="AJ111" i="1"/>
  <c r="AF111" i="1"/>
  <c r="AH114" i="1"/>
  <c r="AF109" i="1"/>
  <c r="AG109" i="1"/>
  <c r="AE106" i="1"/>
  <c r="AG112" i="1"/>
  <c r="AE108" i="1"/>
  <c r="AE107" i="1"/>
  <c r="AJ43" i="1"/>
  <c r="AJ51" i="1"/>
  <c r="AJ59" i="1"/>
  <c r="AJ67" i="1"/>
  <c r="AJ75" i="1"/>
  <c r="AJ81" i="1"/>
  <c r="AJ85" i="1"/>
  <c r="AJ89" i="1"/>
  <c r="AJ93" i="1"/>
  <c r="AJ97" i="1"/>
  <c r="AJ101" i="1"/>
  <c r="AJ105" i="1"/>
  <c r="AF32" i="1"/>
  <c r="AJ46" i="1"/>
  <c r="AJ62" i="1"/>
  <c r="AJ78" i="1"/>
  <c r="AF84" i="1"/>
  <c r="AF88" i="1"/>
  <c r="AF92" i="1"/>
  <c r="AE97" i="1"/>
  <c r="AJ41" i="1"/>
  <c r="AJ57" i="1"/>
  <c r="AE82" i="1"/>
  <c r="AJ87" i="1"/>
  <c r="AI114" i="1"/>
  <c r="AI111" i="1"/>
  <c r="AF106" i="1"/>
  <c r="AG111" i="1"/>
  <c r="AG113" i="1"/>
  <c r="AE110" i="1"/>
  <c r="AJ112" i="1"/>
  <c r="AH106" i="1"/>
</calcChain>
</file>

<file path=xl/sharedStrings.xml><?xml version="1.0" encoding="utf-8"?>
<sst xmlns="http://schemas.openxmlformats.org/spreadsheetml/2006/main" count="3571" uniqueCount="704">
  <si>
    <t>Nom de la variable</t>
  </si>
  <si>
    <t>Libellé</t>
  </si>
  <si>
    <t>Type</t>
  </si>
  <si>
    <t>Unité</t>
  </si>
  <si>
    <t>Géométrie</t>
  </si>
  <si>
    <t>Propulsion</t>
  </si>
  <si>
    <t>Aérodynamique</t>
  </si>
  <si>
    <t>Structure</t>
  </si>
  <si>
    <t>Mission</t>
  </si>
  <si>
    <t>QdV</t>
  </si>
  <si>
    <t>Corde2</t>
  </si>
  <si>
    <t>Corde3</t>
  </si>
  <si>
    <t>m</t>
  </si>
  <si>
    <t>double</t>
  </si>
  <si>
    <t>Y03</t>
  </si>
  <si>
    <t>Corde0</t>
  </si>
  <si>
    <t>Corde1</t>
  </si>
  <si>
    <t>Groupe</t>
  </si>
  <si>
    <t>Sous-groupe</t>
  </si>
  <si>
    <t>Planeur</t>
  </si>
  <si>
    <t>Lcockpit</t>
  </si>
  <si>
    <t>Longueur du cockpit</t>
  </si>
  <si>
    <t>Epaisseur de la paroi cabine (bulkhead)</t>
  </si>
  <si>
    <t>Lcabinetriangulaire</t>
  </si>
  <si>
    <t>Lcabinerectangulaire</t>
  </si>
  <si>
    <t>Longueur de la zone triangulaire avant de la cabine</t>
  </si>
  <si>
    <t>Longueur de la zone rectangulaire arrière de la cabine</t>
  </si>
  <si>
    <t>ycloison</t>
  </si>
  <si>
    <t>Position latérale de la cloison interne</t>
  </si>
  <si>
    <t>ecloison</t>
  </si>
  <si>
    <t>hcabine</t>
  </si>
  <si>
    <t>Hauteur de la cabine</t>
  </si>
  <si>
    <t>Lsoute</t>
  </si>
  <si>
    <t>Longueur de la soute</t>
  </si>
  <si>
    <t>hsoute</t>
  </si>
  <si>
    <t>Hauteur de la soute</t>
  </si>
  <si>
    <t>Epaisseur d'une cloison interne</t>
  </si>
  <si>
    <t>eplanchercabine</t>
  </si>
  <si>
    <t>Epaisseur du plancher cabine</t>
  </si>
  <si>
    <t>degré</t>
  </si>
  <si>
    <t>ycockpit</t>
  </si>
  <si>
    <t>Largeur du cockpit</t>
  </si>
  <si>
    <t>xBAcloison</t>
  </si>
  <si>
    <t>Position longitudinale du bord d'attaque de la cloison interne</t>
  </si>
  <si>
    <t>Nmoteur</t>
  </si>
  <si>
    <t>Nombre de moteurs</t>
  </si>
  <si>
    <t>(-)</t>
  </si>
  <si>
    <t>Dmoteur</t>
  </si>
  <si>
    <t>Lmoteur</t>
  </si>
  <si>
    <t>yplan1</t>
  </si>
  <si>
    <t>yplan2</t>
  </si>
  <si>
    <t>yplan3</t>
  </si>
  <si>
    <t>xBAplan1</t>
  </si>
  <si>
    <t>xBAplan2</t>
  </si>
  <si>
    <t>xBAplan3</t>
  </si>
  <si>
    <t>htrainavant</t>
  </si>
  <si>
    <t>kg</t>
  </si>
  <si>
    <t>Volume total des réservoirs</t>
  </si>
  <si>
    <t>Volume des réservoirs situés dans les voilures (gauche + droite)</t>
  </si>
  <si>
    <t>Volume des réservoirs situés dans le corps central (gauche + droite)</t>
  </si>
  <si>
    <t>Vreservoirtotal</t>
  </si>
  <si>
    <t>Vreservoirvoilure</t>
  </si>
  <si>
    <t>Vreservoirfuselage</t>
  </si>
  <si>
    <t>Lreservoirfuselage</t>
  </si>
  <si>
    <t>table</t>
  </si>
  <si>
    <t>Position longitudinale du bord d'attaque au plan 1</t>
  </si>
  <si>
    <t>Position longitudinale du bord d'attaque au plan 2</t>
  </si>
  <si>
    <t>Position longitudinale du bord d'attaque au plan 3</t>
  </si>
  <si>
    <t>Epaisseur relative du profil aérodynamique dans le plan 0</t>
  </si>
  <si>
    <t>Epaisseur relative du profil aérodynamique dans le plan 1</t>
  </si>
  <si>
    <t>Angle de vrillage au plan 2</t>
  </si>
  <si>
    <t>Angle de vrillage au plan 3</t>
  </si>
  <si>
    <t>Rayon de courbure du nez de l'avion</t>
  </si>
  <si>
    <t>ecabine</t>
  </si>
  <si>
    <t>zplancher</t>
  </si>
  <si>
    <t>Position verticale du plancher cabine</t>
  </si>
  <si>
    <t>Angle de la cabine par rapport à l'axe longitudinal</t>
  </si>
  <si>
    <t>Mmoteur</t>
  </si>
  <si>
    <t>Masse d'un moteur</t>
  </si>
  <si>
    <t>Repartitionportance</t>
  </si>
  <si>
    <t>N/m</t>
  </si>
  <si>
    <t>Structural design altitude</t>
  </si>
  <si>
    <t>m/s</t>
  </si>
  <si>
    <t>altitudefinmontee</t>
  </si>
  <si>
    <t>altitudecroisiere</t>
  </si>
  <si>
    <t>Altitude de fin de montée</t>
  </si>
  <si>
    <t>Altitude de croisière</t>
  </si>
  <si>
    <t>Czalphaloadcase</t>
  </si>
  <si>
    <t>Czmaxloadcase</t>
  </si>
  <si>
    <t>MTOW</t>
  </si>
  <si>
    <t>Maximum Take Off Weight</t>
  </si>
  <si>
    <t>nzloadcase</t>
  </si>
  <si>
    <t>Czmax aux points de vol pour le dimensionnement de la structure</t>
  </si>
  <si>
    <t>Mesh</t>
  </si>
  <si>
    <t>Maillage de la structure</t>
  </si>
  <si>
    <t>Facteurs de charge nz calculés pour le dimensionnement de la structure</t>
  </si>
  <si>
    <t>MissionRAmax</t>
  </si>
  <si>
    <t>Etat</t>
  </si>
  <si>
    <t>Tableaero</t>
  </si>
  <si>
    <t>N</t>
  </si>
  <si>
    <t>kg/N/s</t>
  </si>
  <si>
    <t>Cx</t>
  </si>
  <si>
    <t>Y24</t>
  </si>
  <si>
    <t>Wi</t>
  </si>
  <si>
    <t>Masse par postes i, d'après la norme AIR 2001</t>
  </si>
  <si>
    <t>InertieMTOW</t>
  </si>
  <si>
    <t>Matrice d'inertie à la MTOW</t>
  </si>
  <si>
    <t>InertieZFW</t>
  </si>
  <si>
    <t>Matrice d'inertie à la ZFW</t>
  </si>
  <si>
    <t>Sref</t>
  </si>
  <si>
    <t>Surface de référence totale du véhicule</t>
  </si>
  <si>
    <t>X0</t>
  </si>
  <si>
    <t>Allongement</t>
  </si>
  <si>
    <t>Allongement de la voilure externe, entre les plans 2 et 3</t>
  </si>
  <si>
    <t>Effilement</t>
  </si>
  <si>
    <t>Effilement de la voilure externe, entre les plans 2 et 3</t>
  </si>
  <si>
    <t>PhiBAplan0</t>
  </si>
  <si>
    <t>Flèche du bord d'attaque au plan 0</t>
  </si>
  <si>
    <t>PhiBAplan1</t>
  </si>
  <si>
    <t>Flèche du bord d'attaque au plan 1</t>
  </si>
  <si>
    <t>PhiBAplan2</t>
  </si>
  <si>
    <t>Flèche du bord d'attaque au plan 2</t>
  </si>
  <si>
    <t>EpaisseurRelativeplan0</t>
  </si>
  <si>
    <t>EpaisseurRelativeplan1</t>
  </si>
  <si>
    <t>EpaisseurRelativeplan2</t>
  </si>
  <si>
    <t>EpaisseurRelativeplan3</t>
  </si>
  <si>
    <t>Epaisseur relative du profil aérodynamique dans le plan 2</t>
  </si>
  <si>
    <t>Epaisseur relative du profil aérodynamique dans le plan 3</t>
  </si>
  <si>
    <t>Diedre</t>
  </si>
  <si>
    <t>Dièdre de la voilure externe, entre les plans 2 et 3</t>
  </si>
  <si>
    <t>zBAplan0</t>
  </si>
  <si>
    <t>Position verticale du bord d'attaque au plan 0</t>
  </si>
  <si>
    <t>zBAplan1</t>
  </si>
  <si>
    <t>Position verticale du bord d'attaque au plan 1</t>
  </si>
  <si>
    <t>zBAplan2</t>
  </si>
  <si>
    <t>Position verticale du bord d'attaque au plan 2</t>
  </si>
  <si>
    <t>zBAplan3</t>
  </si>
  <si>
    <t>Position verticale du bord d'attaque au plan 3</t>
  </si>
  <si>
    <t>Rayoncourburenez</t>
  </si>
  <si>
    <t>Rayon de courbure aux raccordements des surfaces</t>
  </si>
  <si>
    <t>Envergure</t>
  </si>
  <si>
    <t>Envergure totale du véhicule</t>
  </si>
  <si>
    <t>Contrôle</t>
  </si>
  <si>
    <t>Npax</t>
  </si>
  <si>
    <t>Vsoute</t>
  </si>
  <si>
    <t>NLD3</t>
  </si>
  <si>
    <t>Vvrac</t>
  </si>
  <si>
    <t>Nombre de passagers (aménagement homogène 100% classe économique)</t>
  </si>
  <si>
    <t>Nombre de cloisons internes dans la cabine</t>
  </si>
  <si>
    <t>Volume total de la soute</t>
  </si>
  <si>
    <t>Nombre de conteneurs LD3 (remplissage des soutes uniquement en LD3)</t>
  </si>
  <si>
    <t>Nombre de palettes 96" (remplissage des soutes uniquement en palettes 96")</t>
  </si>
  <si>
    <t>Volume de vrac</t>
  </si>
  <si>
    <t>Anglecabine</t>
  </si>
  <si>
    <t>BLI</t>
  </si>
  <si>
    <t>Fxdimensionnementmoteur</t>
  </si>
  <si>
    <t>Machdimensionnementmoteur</t>
  </si>
  <si>
    <t>Zdimensionnementmoteur</t>
  </si>
  <si>
    <t>Traînée au point de dimensionnement de la propulsion</t>
  </si>
  <si>
    <t>Mach au point de dimensionnement de la propulsion</t>
  </si>
  <si>
    <t>Altitude au point de dimensionnement de la propulsion</t>
  </si>
  <si>
    <t>ESF</t>
  </si>
  <si>
    <t>Facteur d'échelle sur le moteur de référence</t>
  </si>
  <si>
    <t>kg/s</t>
  </si>
  <si>
    <t>Czdimensionnementmoteur</t>
  </si>
  <si>
    <t>Cz au point de dimensionnement de la propulsion</t>
  </si>
  <si>
    <t>f</t>
  </si>
  <si>
    <t>Finesse aux points Tableaero</t>
  </si>
  <si>
    <t>Points de vol pour l'analyse des QdV</t>
  </si>
  <si>
    <t>TableQdV</t>
  </si>
  <si>
    <t>X5</t>
  </si>
  <si>
    <t>Répartition de portance en envergure pour le dimensionnement de la structure</t>
  </si>
  <si>
    <t>Descriptif de la mission opérationnelle</t>
  </si>
  <si>
    <t>Descriptif de la mission de dimensionnement effectuée au rayon d'action maximal</t>
  </si>
  <si>
    <t>Vecteur d'état de l'avion sur la trajectoire sur la mission opérationnelle</t>
  </si>
  <si>
    <t>Surface de référence de la surface verticale</t>
  </si>
  <si>
    <t>Srefsurfaceverticale</t>
  </si>
  <si>
    <t>Allongementsurfaceverticale</t>
  </si>
  <si>
    <t>Effilement de la surface verticale</t>
  </si>
  <si>
    <t>PhiBAsurfaceverticale</t>
  </si>
  <si>
    <t>EpaisseurRelativesurfaceverticale</t>
  </si>
  <si>
    <t>Allongement de la surface verticale</t>
  </si>
  <si>
    <t>Flèche au bord d'attaque à l'emplanture de la surface verticale</t>
  </si>
  <si>
    <t>Epaisseur relative de la surface verticale</t>
  </si>
  <si>
    <t>Position longitudinale du bord d'attaque de l'emplanture de la surface verticale</t>
  </si>
  <si>
    <t>Position latérale du bord d'attaque de l'emplanture de la surface verticale</t>
  </si>
  <si>
    <t>Position verticale du bord d'attaque de l'emplanture de la surface verticale</t>
  </si>
  <si>
    <t>xemplanturesurfaceverticale</t>
  </si>
  <si>
    <t>yemplanturesurfaceverticale</t>
  </si>
  <si>
    <t>zemplanturesurfaceverticale</t>
  </si>
  <si>
    <t>Diedresurfaceverticale</t>
  </si>
  <si>
    <t>Dièdre de la surface verticale</t>
  </si>
  <si>
    <t>Corde à l'emplanture de la surface verticale</t>
  </si>
  <si>
    <t>Cordeemplanturesurfaceverticale</t>
  </si>
  <si>
    <t>Cordesaumonsurfaceverticale</t>
  </si>
  <si>
    <t>Corde au saumon de la surface verticale</t>
  </si>
  <si>
    <t>ysaumonsurfaceverticale</t>
  </si>
  <si>
    <t>Position latérale du bord d'attaque du saumon de la surface verticale</t>
  </si>
  <si>
    <t>Valeurs propres des modes avion</t>
  </si>
  <si>
    <t>Y5x</t>
  </si>
  <si>
    <t>Modes avions</t>
  </si>
  <si>
    <t>Lambda</t>
  </si>
  <si>
    <t>InertieMLW</t>
  </si>
  <si>
    <t>Matrice d'inertie à la MLW</t>
  </si>
  <si>
    <t>ZFW</t>
  </si>
  <si>
    <t>Zero Fuel Weight</t>
  </si>
  <si>
    <t>MLW</t>
  </si>
  <si>
    <t>Maximum Landing Weight</t>
  </si>
  <si>
    <t>htrainprincipal</t>
  </si>
  <si>
    <t>Vecteur d'état complet - arborescence des variables</t>
  </si>
  <si>
    <t xml:space="preserve">PRF CICAV </t>
  </si>
  <si>
    <t>Modèle aérodynamique complet (Cz, Cx, Cm, etc. en fonction de M ,α ,β, dl, etc.)</t>
  </si>
  <si>
    <t>Codes associés 
aux modules</t>
  </si>
  <si>
    <t>Angle d'inclinaison des moteurs par rapport à l'axe longitudinal</t>
  </si>
  <si>
    <t>TauxBLImoteur</t>
  </si>
  <si>
    <t>Taux d'enfouissement des moteurs</t>
  </si>
  <si>
    <t>Débit d'air des moteurs aux points Tablepropulsion</t>
  </si>
  <si>
    <t>Inclinaisonmoteur</t>
  </si>
  <si>
    <t>Raccordement</t>
  </si>
  <si>
    <t>Vrillageplan2</t>
  </si>
  <si>
    <t>Vrillageplan3</t>
  </si>
  <si>
    <t>Profil aérodynamique au plan 0, coordonnées de l'extrados (BA vers BF)</t>
  </si>
  <si>
    <t>Extradosairfoilplan0</t>
  </si>
  <si>
    <t>Intradosairfoilplan0</t>
  </si>
  <si>
    <t>Extradosairfoilplan1</t>
  </si>
  <si>
    <t>Intradosairfoilplan1</t>
  </si>
  <si>
    <t>Extradosairfoilplan2</t>
  </si>
  <si>
    <t>Intradosairfoilplan2</t>
  </si>
  <si>
    <t>Extradosairfoilplan3</t>
  </si>
  <si>
    <t>Intradosairfoilplan3</t>
  </si>
  <si>
    <t>Extradosairfoilsurfaceverticale</t>
  </si>
  <si>
    <t>Intradosairfoilsurfaceverticale</t>
  </si>
  <si>
    <t>Profil aérodynamique au plan 0, coordonnées de l'intrados (BA vers BF)</t>
  </si>
  <si>
    <t>Profil aérodynamique au plan 1, coordonnées de l'extrados (BA vers BF)</t>
  </si>
  <si>
    <t>Profil aérodynamique au plan 1, coordonnées de l'intrados (BA vers BF)</t>
  </si>
  <si>
    <t>Profil aérodynamique au plan 2, coordonnées de l'extrados (BA vers BF)</t>
  </si>
  <si>
    <t>Profil aérodynamique au plan 2, coordonnées de l'intrados (BA vers BF)</t>
  </si>
  <si>
    <t>Profil aérodynamique au plan 3, coordonnées de l'extrados (BA vers BF)</t>
  </si>
  <si>
    <t>Profil aérodynamique au plan 3, coordonnées de l'intrados (BA vers BF)</t>
  </si>
  <si>
    <t>Profil aérodynamique de la surface verticale, coordonnées de l'extrados (BA vers BF)</t>
  </si>
  <si>
    <t>Profil aérodynamique de la surface verticale, coordonnées de l'intrados (BA vers BF)</t>
  </si>
  <si>
    <t>Npointairfoil</t>
  </si>
  <si>
    <t>Npointairfoilsurfaceverticale</t>
  </si>
  <si>
    <t>Nombre de points des tables de profil aérodynamique</t>
  </si>
  <si>
    <t>Nombre de points des tables de profil aérodynamique de la surface verticale</t>
  </si>
  <si>
    <t>NPNC</t>
  </si>
  <si>
    <t>NPNT</t>
  </si>
  <si>
    <t>NWC</t>
  </si>
  <si>
    <t>Nombre de sièges</t>
  </si>
  <si>
    <t>Nombre de WC</t>
  </si>
  <si>
    <t>Nombre de galleys</t>
  </si>
  <si>
    <t>Nombre de portes</t>
  </si>
  <si>
    <t>xyWC</t>
  </si>
  <si>
    <t>Position longitudinale et latérale du CdG des sièges passagers</t>
  </si>
  <si>
    <t>Position longitudinale et latérale du CdG des WC</t>
  </si>
  <si>
    <t>Position longitudinale et latérale du CdG des galleys</t>
  </si>
  <si>
    <t>Position longitudinale et latérale du CdG des portes</t>
  </si>
  <si>
    <t>xyzmoteur</t>
  </si>
  <si>
    <t>Position longitudinale, latérale et verticale du CdG des moteurs</t>
  </si>
  <si>
    <t>xyzCdGMTOW</t>
  </si>
  <si>
    <t>xyzCdGZFW</t>
  </si>
  <si>
    <t>xyzCdGMLW</t>
  </si>
  <si>
    <t>Position longitudinale, latérale et verticale du CdG à la MTOW</t>
  </si>
  <si>
    <t>Position longitudinale, latérale et verticale du CdG à la ZFW</t>
  </si>
  <si>
    <t>Position longitudinale, latérale et verticale du CdG à la MLW</t>
  </si>
  <si>
    <t>Gouvernes</t>
  </si>
  <si>
    <t>Nombre de gouvernes</t>
  </si>
  <si>
    <t>Corde des gouvernes</t>
  </si>
  <si>
    <t>Position latérale de l'emplanture des gouvernes</t>
  </si>
  <si>
    <t>Position latérale du saumon des gouvernes</t>
  </si>
  <si>
    <t>Affectation du rôle des gouvernes</t>
  </si>
  <si>
    <t>Cordegouvernesurfaceverticale</t>
  </si>
  <si>
    <t>Corde de la gouverne de la surface verticale</t>
  </si>
  <si>
    <t>Affectation du rôle de la gouverne de la surface verticale</t>
  </si>
  <si>
    <t>Tsortiefluxprimaire</t>
  </si>
  <si>
    <t>Tsortiefluxsecondaire</t>
  </si>
  <si>
    <t>Température de sortie du flux primaire</t>
  </si>
  <si>
    <t>K</t>
  </si>
  <si>
    <t>Température de sortie du flux secondaire</t>
  </si>
  <si>
    <t>Débit du flux primaire</t>
  </si>
  <si>
    <t>Débit du flux secondaire</t>
  </si>
  <si>
    <t>tr/s</t>
  </si>
  <si>
    <t>Ncloison</t>
  </si>
  <si>
    <t>Npalette</t>
  </si>
  <si>
    <t>Ngalley</t>
  </si>
  <si>
    <t>Nporte</t>
  </si>
  <si>
    <t>Ngouverne</t>
  </si>
  <si>
    <t>Vitesse de sortie du flux primaire</t>
  </si>
  <si>
    <t>Vitesse de sortie du flux secondaire</t>
  </si>
  <si>
    <t>Vfluxprimaire</t>
  </si>
  <si>
    <t>Vfluxsecondaire</t>
  </si>
  <si>
    <t>Nombre de personnel navigant commercial</t>
  </si>
  <si>
    <t>Nombre de personnel navigant technique</t>
  </si>
  <si>
    <t>xygalley</t>
  </si>
  <si>
    <t>xyporte</t>
  </si>
  <si>
    <t>Cordegouverne</t>
  </si>
  <si>
    <t>yemplanturegouverne</t>
  </si>
  <si>
    <t>ysaumongouverne</t>
  </si>
  <si>
    <t>Dimension</t>
  </si>
  <si>
    <t>scalaire</t>
  </si>
  <si>
    <t>?</t>
  </si>
  <si>
    <t>xyzreservoirvoilure</t>
  </si>
  <si>
    <t>xyzreservoirfuselage</t>
  </si>
  <si>
    <t>Position longitudinale, latérale et verticale du CdG du réservoir situé dans la voilure</t>
  </si>
  <si>
    <t>Position longitudinale, latérale et verticale du CdG du réservoir situé dans le corps central</t>
  </si>
  <si>
    <t>Gradient de portance aux points de vol pour le dimensionnement de la structure</t>
  </si>
  <si>
    <t>Position du longeron de bord d'attaque dans la voilure externe, en % de la corde</t>
  </si>
  <si>
    <t>Position du longeron de bord de fuite dans la voilure externe, en % de la corde</t>
  </si>
  <si>
    <t>ELongeronBAplan2</t>
  </si>
  <si>
    <t>Epaisseur du longeron de bord d'attaque au plan 2</t>
  </si>
  <si>
    <t>ELongeronBFplan2</t>
  </si>
  <si>
    <t>Epaisseur du longeron de bord de fuite au plan 2</t>
  </si>
  <si>
    <t>ELongeronBAplan3</t>
  </si>
  <si>
    <t>Epaisseur du longeron de bord d'attaque au plan 3</t>
  </si>
  <si>
    <t>ELongeronBFplan3</t>
  </si>
  <si>
    <t>Epaisseur du longeron de bord de fuite au plan 3</t>
  </si>
  <si>
    <t>Corde au plan 0</t>
  </si>
  <si>
    <t>Corde au plan 1</t>
  </si>
  <si>
    <t>Corde au plan 2</t>
  </si>
  <si>
    <t>Diamètre total d'un moteur</t>
  </si>
  <si>
    <t>Longueur totale d'un moteur</t>
  </si>
  <si>
    <t>Dfan</t>
  </si>
  <si>
    <t>Diamètre du fan d'un moteur (correspond au diamètre du moteur si Nflux = 1)</t>
  </si>
  <si>
    <t>Lfan</t>
  </si>
  <si>
    <t>Longueur du fan d'un moteur (correspond à la longueur du moteur si Nflux = 1)</t>
  </si>
  <si>
    <t>Dturbine</t>
  </si>
  <si>
    <t>Diamètre de la turbine d'un moteur</t>
  </si>
  <si>
    <t>Lturbine</t>
  </si>
  <si>
    <t>Longueur de la turbine d'un moteur</t>
  </si>
  <si>
    <t>Diamètre de la tuyère primaire</t>
  </si>
  <si>
    <t>Diamètre de la tuyère secondaire</t>
  </si>
  <si>
    <t>Effilementsurfaceverticale</t>
  </si>
  <si>
    <t>Ltrainavant</t>
  </si>
  <si>
    <t>Longueur de la case du train avant, suivant l'axe x</t>
  </si>
  <si>
    <t>ltrainavant</t>
  </si>
  <si>
    <t>Largeur de la case du train avant, suivant l'axe y</t>
  </si>
  <si>
    <t>Hauteur de la case du train avant, suivant l'axe z</t>
  </si>
  <si>
    <t>xyztrainavant</t>
  </si>
  <si>
    <t>Position longitudinale, latérale et verticale du CdG de la case du train avant</t>
  </si>
  <si>
    <t>xyztrainprincipal</t>
  </si>
  <si>
    <t>Position longitudinale, latérale et verticale du CdG du train principal</t>
  </si>
  <si>
    <t>Ltrainprincipal</t>
  </si>
  <si>
    <t>Longueur de la case du train principal, suivant l'axe x</t>
  </si>
  <si>
    <t>ltrainprincipal</t>
  </si>
  <si>
    <t>Largeur de la case du train principal, suivant l'axe y</t>
  </si>
  <si>
    <t>Hauteur de la case du train principal, suivant l'axe z</t>
  </si>
  <si>
    <t>Longueur des réservoirs situés dans le corps central, suivant l'axe x</t>
  </si>
  <si>
    <t>lreservoirfuselage</t>
  </si>
  <si>
    <t>Largeur des réservoirs situés dans le corps central, suivant l'axe y</t>
  </si>
  <si>
    <t>hreservoirfuselage</t>
  </si>
  <si>
    <t>Hauteur des réservoirs situés dans le corps central, suivant l'axe z</t>
  </si>
  <si>
    <t>Extradosairfoilgouverne2</t>
  </si>
  <si>
    <t>Profil aérodynamique à l'emplanture de la gouverne 2, coordonnées de l'extrados</t>
  </si>
  <si>
    <t>Intradosairfoilgouverne2</t>
  </si>
  <si>
    <t>Profil aérodynamique à l'emplanture de la gouverne 2, coordonnées de l'intrados</t>
  </si>
  <si>
    <t>Extradosairfoilgouverne3</t>
  </si>
  <si>
    <t>Profil aérodynamique à l'emplanture de la gouverne 3, coordonnées de l'extrados</t>
  </si>
  <si>
    <t>Intradosairfoilgouverne3</t>
  </si>
  <si>
    <t>Profil aérodynamique à l'emplanture de la gouverne 3, coordonnées de l'intrados</t>
  </si>
  <si>
    <t>Corde au plan 3</t>
  </si>
  <si>
    <t>Position latérale du plan 1</t>
  </si>
  <si>
    <t>Position latérale du plan 2</t>
  </si>
  <si>
    <t>xyLD3</t>
  </si>
  <si>
    <t>Position longitudinale et latérale du CdG des conteneurs LD3</t>
  </si>
  <si>
    <t>xypalette</t>
  </si>
  <si>
    <t>Position longitudinale et latérale du CdG des palettes 96"</t>
  </si>
  <si>
    <t>Hauteursurfaceverticale</t>
  </si>
  <si>
    <t>Hauteur de la surface verticale</t>
  </si>
  <si>
    <t>Y02</t>
  </si>
  <si>
    <t>Tambiant</t>
  </si>
  <si>
    <t>Température de l'air ambiant</t>
  </si>
  <si>
    <t>Pambiant</t>
  </si>
  <si>
    <t>Pression de l'air ambiant</t>
  </si>
  <si>
    <t>Pa</t>
  </si>
  <si>
    <t>cambiant</t>
  </si>
  <si>
    <t>Vitesse du son de l'air ambiant</t>
  </si>
  <si>
    <t>rhoambiant</t>
  </si>
  <si>
    <t>Masse volumique de l'air ambiant</t>
  </si>
  <si>
    <t>kg/m3</t>
  </si>
  <si>
    <t>Rhofluxprimaire</t>
  </si>
  <si>
    <t>Masse volumique du flux primaire</t>
  </si>
  <si>
    <t>DeltaT</t>
  </si>
  <si>
    <t>Accroissement de température à travers la soufflante</t>
  </si>
  <si>
    <t>Mpale</t>
  </si>
  <si>
    <t>Mach en bout de pale</t>
  </si>
  <si>
    <t>Mrelatifpale</t>
  </si>
  <si>
    <t>Mach relatif en bout de pale</t>
  </si>
  <si>
    <t>Mrelatifpalenominal</t>
  </si>
  <si>
    <t>Mach relatif en bout de pale nominal</t>
  </si>
  <si>
    <t>Rss</t>
  </si>
  <si>
    <t>Distance entre le rotor et le stator du fan</t>
  </si>
  <si>
    <t>V</t>
  </si>
  <si>
    <t>Nombre de pales du stator du fan</t>
  </si>
  <si>
    <t>B</t>
  </si>
  <si>
    <t>Nombre de pales du rotor du fan</t>
  </si>
  <si>
    <t>Régime de rotation du rotor du fan</t>
  </si>
  <si>
    <t>Nflux</t>
  </si>
  <si>
    <t>Nombre de flux des moteurs</t>
  </si>
  <si>
    <t>Points de vol pour le calcul de l'aérodynamique (z, Mach)</t>
  </si>
  <si>
    <t>Alpha</t>
  </si>
  <si>
    <t>Incidence aux points Tableaero</t>
  </si>
  <si>
    <t>CMA</t>
  </si>
  <si>
    <t>Corde Moyenne Aérodynamique</t>
  </si>
  <si>
    <t>Structuraldesignaltitude</t>
  </si>
  <si>
    <t>Mcruise</t>
  </si>
  <si>
    <t>Mach de croisière</t>
  </si>
  <si>
    <t>m2</t>
  </si>
  <si>
    <t>m3</t>
  </si>
  <si>
    <t>rad-1</t>
  </si>
  <si>
    <t>kg.m2</t>
  </si>
  <si>
    <t>rad</t>
  </si>
  <si>
    <t>PhiBAplan0.1</t>
  </si>
  <si>
    <t>PhiBFplan0</t>
  </si>
  <si>
    <t>PhiBFplan1</t>
  </si>
  <si>
    <t>PhiBFplan2</t>
  </si>
  <si>
    <t>lzonetransition</t>
  </si>
  <si>
    <t>lcassurevoilure</t>
  </si>
  <si>
    <t>lsoute</t>
  </si>
  <si>
    <t>Profil aérodynamique au plan 2.1, coordonnées de l'extrados (BA vers BF)</t>
  </si>
  <si>
    <t>Profil aérodynamique au plan 2.1, coordonnées de l'intrados (BA vers BF)</t>
  </si>
  <si>
    <t>Flèche du bord de fuite au plan 0</t>
  </si>
  <si>
    <t>Flèche du bord de fuite au plan 1</t>
  </si>
  <si>
    <t>Flèche du bord de fuite au plan 2</t>
  </si>
  <si>
    <t>Largeur du premier tronçon de la voilure externe (distance latérale entre les plans 2 et 2.1)</t>
  </si>
  <si>
    <t>Largeur de la zone de transition (distance latérale entre les plans 1 et 2)</t>
  </si>
  <si>
    <t>Longueur de la zone arrière du corps central au plan 0.1</t>
  </si>
  <si>
    <t>SFCSol</t>
  </si>
  <si>
    <t>Poussée d'un moteur au sol</t>
  </si>
  <si>
    <t>SFCCruise</t>
  </si>
  <si>
    <t>Points de vol pour le calcul de la propulsion (z, Mach, disa, T5), pour le segment TakeOff</t>
  </si>
  <si>
    <t>Poussée d'un moteur aux points TablepropulsionTakeOff</t>
  </si>
  <si>
    <t>Poussée d'un moteur aux points TablepropulsionClimb</t>
  </si>
  <si>
    <t>Poussée d'un moteur aux points TablepropulsionCruise</t>
  </si>
  <si>
    <t>Poussée d'un moteur aux points TablepropulsionDescent</t>
  </si>
  <si>
    <t>Points de vol pour le calcul de la propulsion (z, Mach, disa, T5), pour le segment Climb</t>
  </si>
  <si>
    <t>Points de vol pour le calcul de la propulsion (z, Mach, disa, T5), pour le segment Cruise</t>
  </si>
  <si>
    <t>Points de vol pour le calcul de la propulsion (z, Mach, disa, T5), pour le segment Descent</t>
  </si>
  <si>
    <t>SFCTakeOff</t>
  </si>
  <si>
    <t>SFCClimb</t>
  </si>
  <si>
    <t>SFCDescent</t>
  </si>
  <si>
    <t>OEW</t>
  </si>
  <si>
    <t>Operating Empty Weight</t>
  </si>
  <si>
    <t>Largeur de la soute ( = ycloison)</t>
  </si>
  <si>
    <t>Larrierefuselageplan0</t>
  </si>
  <si>
    <t>Longueur de la zone arrière du corps central au plan 0</t>
  </si>
  <si>
    <t>TablepropulsionTakeOff</t>
  </si>
  <si>
    <t>TablepropulsionClimb</t>
  </si>
  <si>
    <t>TablepropulsionCruise</t>
  </si>
  <si>
    <t>TablepropulsionDescent</t>
  </si>
  <si>
    <t>Profil aérodynamique au plan 0.1, coordonnées de l'extrados (BA vers BF)</t>
  </si>
  <si>
    <t>Profil aérodynamique au plan 0.1, coordonnées de l'intrados (BA vers BF)</t>
  </si>
  <si>
    <t>Cx aux points Tableaero (z, Mach,Cz)</t>
  </si>
  <si>
    <t>Consommation spécifique d'un moteur au sol</t>
  </si>
  <si>
    <t>Consommation spécifique d'un moteur aux points TablepropulsionTakeOff</t>
  </si>
  <si>
    <t>Consommation spécifique d'un moteur aux points TablepropulsionClimb</t>
  </si>
  <si>
    <t>Consommation spécifique d'un moteur aux points TablepropulsionCruise</t>
  </si>
  <si>
    <t>Consommation spécifique d'un moteur aux points TablepropulsionDescent</t>
  </si>
  <si>
    <t>Flèche du bord d'attaque au plan 0.1</t>
  </si>
  <si>
    <t>Flèche du bord d'attaque au plan 2.1</t>
  </si>
  <si>
    <t>Flèche du bord de fuite au plan 0.1</t>
  </si>
  <si>
    <t>Flèche du bord de fuite au plan 2.1</t>
  </si>
  <si>
    <t>Epaisseur relative du profil aérodynamique dans le plan 0.1</t>
  </si>
  <si>
    <t>Epaisseur relative du profil aérodynamique dans le plan 2.1</t>
  </si>
  <si>
    <t>Epaisseur du longeron de bord d'attaque au plan 2.1</t>
  </si>
  <si>
    <t>Epaisseur du longeron de bord de fuite au plan 2.1</t>
  </si>
  <si>
    <t>Corde au plan 0.1</t>
  </si>
  <si>
    <t>Corde au plan 2.1</t>
  </si>
  <si>
    <t>Position latérale du plan 2.1</t>
  </si>
  <si>
    <t>Position longitudinale du bord d'attaque au plan 0.1</t>
  </si>
  <si>
    <t>Position longitudinale du bord d'attaque au plan 2.1</t>
  </si>
  <si>
    <t>Position verticale du bord d'attaque au plan 0.1</t>
  </si>
  <si>
    <t>Position verticale du bord d'attaque au plan 2.1</t>
  </si>
  <si>
    <t>Position latérale du plan 0.1 ( = lsoute)</t>
  </si>
  <si>
    <t>Angle de vrillage au plan 2.1</t>
  </si>
  <si>
    <t>Position latérale du plan 3 ( = demi-envergure)</t>
  </si>
  <si>
    <t>Masses</t>
  </si>
  <si>
    <t>CS</t>
  </si>
  <si>
    <t xml:space="preserve"> Y02</t>
  </si>
  <si>
    <t xml:space="preserve"> Y03</t>
  </si>
  <si>
    <t>Flux 1</t>
  </si>
  <si>
    <t>Flux 2</t>
  </si>
  <si>
    <t>Flux 3</t>
  </si>
  <si>
    <t>Flux 4</t>
  </si>
  <si>
    <t>Flux 5</t>
  </si>
  <si>
    <t>Flux 6</t>
  </si>
  <si>
    <t>PhiBAplan0_1</t>
  </si>
  <si>
    <t>PhiBAplan2_1</t>
  </si>
  <si>
    <t>PhiBFplan0_1</t>
  </si>
  <si>
    <t>PhiBFplan2_1</t>
  </si>
  <si>
    <t>EpaisseurRelativeplan0_1</t>
  </si>
  <si>
    <t>EpaisseurRelativeplan2_1</t>
  </si>
  <si>
    <t>ELongeronBAplan2_1</t>
  </si>
  <si>
    <t>ELongeronBFplan2_1</t>
  </si>
  <si>
    <t>Corde0_1</t>
  </si>
  <si>
    <t>Corde2_1</t>
  </si>
  <si>
    <t>yplan0_1</t>
  </si>
  <si>
    <t>yplan2_1</t>
  </si>
  <si>
    <t>xBAplan0_1</t>
  </si>
  <si>
    <t>xBAplan2_1</t>
  </si>
  <si>
    <t>zBAplan0_1</t>
  </si>
  <si>
    <t>zBAplan2_1</t>
  </si>
  <si>
    <t>Larrierefuselageplan0_1</t>
  </si>
  <si>
    <t>Extradosairfoilplan0_1</t>
  </si>
  <si>
    <t>Intradosairfoilplan0_1</t>
  </si>
  <si>
    <t>Extradosairfoilplan2_1</t>
  </si>
  <si>
    <t>Intradosairfoilplan2_1</t>
  </si>
  <si>
    <t>Vrillageplan2_1</t>
  </si>
  <si>
    <t>xysiege</t>
  </si>
  <si>
    <t>Rolegouverne</t>
  </si>
  <si>
    <t>Rolegouvernesurfaceverticale</t>
  </si>
  <si>
    <t>Déclaration de la variable dans Model Center</t>
  </si>
  <si>
    <t>integer</t>
  </si>
  <si>
    <t>X0,Y*0</t>
  </si>
  <si>
    <t>Y0*</t>
  </si>
  <si>
    <t>X4,Y*4</t>
  </si>
  <si>
    <t>X5,Y*5</t>
  </si>
  <si>
    <t>double[]</t>
  </si>
  <si>
    <t>Groupes</t>
  </si>
  <si>
    <t>sous-groupes</t>
  </si>
  <si>
    <t>Commenté dans Model Center</t>
  </si>
  <si>
    <t xml:space="preserve">Utilisation </t>
  </si>
  <si>
    <t>Quelques spécifications pour la création des wrapper model center</t>
  </si>
  <si>
    <t>Partie Génération des Wrappers ModelCenter</t>
  </si>
  <si>
    <t>+</t>
  </si>
  <si>
    <t>Nom de Groupe Model Center</t>
  </si>
  <si>
    <t>Nom de Sous-Groupe Model Center</t>
  </si>
  <si>
    <t>Nom Model Center alt</t>
  </si>
  <si>
    <t>commentaire</t>
  </si>
  <si>
    <t>xCLongeronBA</t>
  </si>
  <si>
    <t>xCLongeronBF</t>
  </si>
  <si>
    <t>Dtuyereprimaire</t>
  </si>
  <si>
    <t>Dtuyeresecondaire</t>
  </si>
  <si>
    <t>PousseeSol</t>
  </si>
  <si>
    <t>PousseeTakeOff</t>
  </si>
  <si>
    <t>PousseeClimb</t>
  </si>
  <si>
    <t>PousseeCruise</t>
  </si>
  <si>
    <t>PousseeDescent</t>
  </si>
  <si>
    <t>Debitmoteur</t>
  </si>
  <si>
    <t>Debitfluxprimaire</t>
  </si>
  <si>
    <t>Debitfluxsecondaire</t>
  </si>
  <si>
    <t>Regimerotationfan</t>
  </si>
  <si>
    <t>ModeleAeroComplet</t>
  </si>
  <si>
    <t>Nsiege</t>
  </si>
  <si>
    <t>non</t>
  </si>
  <si>
    <t>Nom du Script</t>
  </si>
  <si>
    <t>Clefs</t>
  </si>
  <si>
    <t>Input_0</t>
  </si>
  <si>
    <t>Input_4</t>
  </si>
  <si>
    <t>Input_5</t>
  </si>
  <si>
    <t>Output_0</t>
  </si>
  <si>
    <t>Les noms de variables ne doivent pas contenir de symboles spéciaux.
Les groupes doivent être renseignés, le sous-groupe peut être laissé vide.
Si une information est manquante pour le wrapper, utiliser la colonne commenter (R) pour que la variable soit présente dans le wrapper en tant que commentaire
Ne pas supprimer la feuille contenant la liste des groupes / sous-groupes ModelCenter utilisables</t>
  </si>
  <si>
    <t>Sheet Name</t>
  </si>
  <si>
    <t>Inputs Geometry</t>
  </si>
  <si>
    <t>Inputs Propulsion</t>
  </si>
  <si>
    <t>Inputs Aerodynamics</t>
  </si>
  <si>
    <t>Inputs Structure</t>
  </si>
  <si>
    <t>Inputs Mission</t>
  </si>
  <si>
    <t>Inputs QdV</t>
  </si>
  <si>
    <t>Outputs Geometry</t>
  </si>
  <si>
    <t>Outputs Aerodynamics</t>
  </si>
  <si>
    <t>Outputs Propulsion</t>
  </si>
  <si>
    <t>Outputs Structure</t>
  </si>
  <si>
    <t>Outputs Mission</t>
  </si>
  <si>
    <t>Outputs QdV</t>
  </si>
  <si>
    <t>Id</t>
  </si>
  <si>
    <t>unit</t>
  </si>
  <si>
    <t>description</t>
  </si>
  <si>
    <t>type</t>
  </si>
  <si>
    <t xml:space="preserve">Nom </t>
  </si>
  <si>
    <t>X0.Geometrie.Planeur</t>
  </si>
  <si>
    <t>Y30.Geometrie.Planeur</t>
  </si>
  <si>
    <t>Y30.Geometrie.Cabine</t>
  </si>
  <si>
    <t>X0.Geometrie.Surfaces_verticales</t>
  </si>
  <si>
    <t>Y10.Geometrie.Moteurs</t>
  </si>
  <si>
    <t>X0.Geometrie.Moteurs</t>
  </si>
  <si>
    <t>Y30.Geometrie.Trains</t>
  </si>
  <si>
    <t>Y30.Geometrie.Reservoirs</t>
  </si>
  <si>
    <t>X0.Propulsion.Nombre</t>
  </si>
  <si>
    <t>Y20.Aerodynamique.Profils</t>
  </si>
  <si>
    <t>X0.Centrage_Inerties.Moteurs</t>
  </si>
  <si>
    <t>Y30.Centrage_Inerties.Trains</t>
  </si>
  <si>
    <t>Y30.Centrage_Inerties.Reservoirs</t>
  </si>
  <si>
    <t>X0.Mission.Charge_utile</t>
  </si>
  <si>
    <t>X0.Controle.Gouvernes</t>
  </si>
  <si>
    <t>X0.Controle.Gouverne_verticale</t>
  </si>
  <si>
    <t>Y01.Geometrie.Moteurs</t>
  </si>
  <si>
    <t>Y01.Propulsion.Nombre</t>
  </si>
  <si>
    <t>X1.Propulsion.BLI</t>
  </si>
  <si>
    <t>X1.Propulsion.Point_vol_propu</t>
  </si>
  <si>
    <t>X1.Mission.Point_vol_propu</t>
  </si>
  <si>
    <t>Y21.Mission.Point_vol_propu</t>
  </si>
  <si>
    <t>Y02.Geometrie.Planeur</t>
  </si>
  <si>
    <t>Y32.Geometrie.Planeur</t>
  </si>
  <si>
    <t>Y02.Geometrie.Surfaces_verticales</t>
  </si>
  <si>
    <t>Y12.Geometrie.Moteurs</t>
  </si>
  <si>
    <t>Y02.Propulsion.Nombre</t>
  </si>
  <si>
    <t>X2.Propulsion.Nombre</t>
  </si>
  <si>
    <t>Y12.Propulsion.Debits</t>
  </si>
  <si>
    <t>Y32.Aerodynamique.Profils</t>
  </si>
  <si>
    <t>X2.Aerodynamique.Profils</t>
  </si>
  <si>
    <t>X2.Aerodynamique.Points_vol</t>
  </si>
  <si>
    <t>Y02.Centrage_Inerties.Moteurs</t>
  </si>
  <si>
    <t>X2.Mission.Point_vol_propu</t>
  </si>
  <si>
    <t>Y42.Mission.Point_vol_propu</t>
  </si>
  <si>
    <t>Y02.Controle.Gouvernes</t>
  </si>
  <si>
    <t>Y02.Controle.Gouverne_verticale</t>
  </si>
  <si>
    <t>Y03.Geometrie.Planeur</t>
  </si>
  <si>
    <t>Y03.Geometrie.Cabine</t>
  </si>
  <si>
    <t>Y03.Geometrie.Soute</t>
  </si>
  <si>
    <t>Y03.Geometrie.Surfaces_verticales</t>
  </si>
  <si>
    <t>Y13.Geometrie.Moteurs</t>
  </si>
  <si>
    <t>Y03.Propulsion.Nombre</t>
  </si>
  <si>
    <t>Y13.Propulsion.Masse</t>
  </si>
  <si>
    <t>Y23.Aerodynamique.Profils</t>
  </si>
  <si>
    <t>Y23.Aerodynamique.Vrillages_raccordements</t>
  </si>
  <si>
    <t>Y23.Aerodynamique.Portance</t>
  </si>
  <si>
    <t>Y43.Masses</t>
  </si>
  <si>
    <t>Y03.Centrage_Inerties.Cabine</t>
  </si>
  <si>
    <t>Y03.Centrage_Inerties.Soute</t>
  </si>
  <si>
    <t>Y03.Centrage_Inerties.Moteurs</t>
  </si>
  <si>
    <t>Y03.Mission.Charge_utile</t>
  </si>
  <si>
    <t>X3.Mission.Point_vol_structure</t>
  </si>
  <si>
    <t>Y43.Mission.Point_vol_structure</t>
  </si>
  <si>
    <t>Y03.Controle.Gouvernes</t>
  </si>
  <si>
    <t>Y03.Controle.Gouverne_verticale</t>
  </si>
  <si>
    <t>Y24.Geometrie.Planeur</t>
  </si>
  <si>
    <t>Y04.Propulsion.Nombre</t>
  </si>
  <si>
    <t>Y14.Propulsion.Poussee</t>
  </si>
  <si>
    <t>Y14.Propulsion.CS</t>
  </si>
  <si>
    <t>Y24.Aerodynamique.Cx</t>
  </si>
  <si>
    <t>Y34.Masses</t>
  </si>
  <si>
    <t>X4.Mission.Point_vol_propu</t>
  </si>
  <si>
    <t>X4.Mission</t>
  </si>
  <si>
    <t>Y05.Propulsion.Nombre</t>
  </si>
  <si>
    <t>Y15.Propulsion.Poussee</t>
  </si>
  <si>
    <t>Y25.Aerodynamique.Modele_complet</t>
  </si>
  <si>
    <t>Y35.Masses</t>
  </si>
  <si>
    <t>Y35.Centrage_Inerties.Centrages</t>
  </si>
  <si>
    <t>Y35.Centrage_Inerties.Inerties</t>
  </si>
  <si>
    <t>X5.Controle.Points_vol</t>
  </si>
  <si>
    <t>X5.Controle.Gouvernes</t>
  </si>
  <si>
    <t>X5.Controle.Gouverne_verticale</t>
  </si>
  <si>
    <t>Y0x.Geometrie.Planeur</t>
  </si>
  <si>
    <t>Y1x.Propulsion.Scale</t>
  </si>
  <si>
    <t>Y1x.Propulsion.Acoustic</t>
  </si>
  <si>
    <t>Y2x.Aerodynamique.Finesse</t>
  </si>
  <si>
    <t>Y2x.Aerodynamique</t>
  </si>
  <si>
    <t>Y3x.Geometrie.Reservoirs</t>
  </si>
  <si>
    <t>Y3x.Masses</t>
  </si>
  <si>
    <t>Y3x.Mission.Point_vol_structure</t>
  </si>
  <si>
    <t>Y3x.Structure</t>
  </si>
  <si>
    <t>Y4x.Mission</t>
  </si>
  <si>
    <t>Y5x.Controle.Modes</t>
  </si>
  <si>
    <t xml:space="preserve">Nom de variable </t>
  </si>
  <si>
    <t>unité</t>
  </si>
  <si>
    <t>dim</t>
  </si>
  <si>
    <t>dimension</t>
  </si>
  <si>
    <t>reference_Surface</t>
  </si>
  <si>
    <t>mission</t>
  </si>
  <si>
    <t>ctrl_surface_chord</t>
  </si>
  <si>
    <t>nb_rctrl_surface</t>
  </si>
  <si>
    <t>lambda_table</t>
  </si>
  <si>
    <t>lift_to_drag</t>
  </si>
  <si>
    <t>rudder</t>
  </si>
  <si>
    <t>ctrl_surfaces</t>
  </si>
  <si>
    <t>inertias</t>
  </si>
  <si>
    <t>mesh</t>
  </si>
  <si>
    <t>masses</t>
  </si>
  <si>
    <t>complete_model</t>
  </si>
  <si>
    <t>modes</t>
  </si>
  <si>
    <t>engines</t>
  </si>
  <si>
    <t>engine</t>
  </si>
  <si>
    <t>number</t>
  </si>
  <si>
    <t>wingbody</t>
  </si>
  <si>
    <t>propulsion_flight_point</t>
  </si>
  <si>
    <t>structure_flight_point</t>
  </si>
  <si>
    <t>flight_points</t>
  </si>
  <si>
    <t>lift</t>
  </si>
  <si>
    <t>thrust</t>
  </si>
  <si>
    <t>weight</t>
  </si>
  <si>
    <t>fuel_tanks</t>
  </si>
  <si>
    <t>scale</t>
  </si>
  <si>
    <t>sections</t>
  </si>
  <si>
    <t>cargo_hold</t>
  </si>
  <si>
    <t>temperatures</t>
  </si>
  <si>
    <t>landing_gear</t>
  </si>
  <si>
    <t>speeds</t>
  </si>
  <si>
    <t>twists</t>
  </si>
  <si>
    <t>acoustic</t>
  </si>
  <si>
    <t>centering</t>
  </si>
  <si>
    <t>cabin</t>
  </si>
  <si>
    <t>payload</t>
  </si>
  <si>
    <t>regime</t>
  </si>
  <si>
    <t>surfaces_verticales</t>
  </si>
  <si>
    <t>fuel_rates</t>
  </si>
  <si>
    <t>airfoil</t>
  </si>
  <si>
    <t>Geometry</t>
  </si>
  <si>
    <t>MCI</t>
  </si>
  <si>
    <t>Control</t>
  </si>
  <si>
    <t>Aerodynamics</t>
  </si>
  <si>
    <t>wing_edge_p0</t>
  </si>
  <si>
    <t>wing_edge_p0_1</t>
  </si>
  <si>
    <t>wing_edge_p1</t>
  </si>
  <si>
    <t>flight_qualities_point</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</si>
</sst>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0"/>
      <name val="Arial"/>
      <family val="2"/>
    </font>
    <font>
      <b/>
      <sz val="10"/>
      <name val="Arial"/>
      <family val="2"/>
    </font>
    <font>
      <sz val="10"/>
      <name val="Arial"/>
      <family val="2"/>
    </font>
    <font>
      <sz val="9"/>
      <name val="Arial"/>
      <family val="2"/>
    </font>
    <font>
      <sz val="9"/>
      <color indexed="10"/>
      <name val="Arial"/>
      <family val="2"/>
    </font>
    <font>
      <b/>
      <sz val="16"/>
      <name val="Arial"/>
      <family val="2"/>
    </font>
    <font>
      <sz val="8"/>
      <name val="Arial"/>
      <family val="2"/>
    </font>
    <font>
      <b/>
      <i/>
      <sz val="11"/>
      <color indexed="8"/>
      <name val="Arial"/>
      <family val="2"/>
    </font>
    <font>
      <b/>
      <i/>
      <sz val="10"/>
      <color indexed="62"/>
      <name val="Arial"/>
      <family val="2"/>
    </font>
    <font>
      <b/>
      <i/>
      <sz val="13"/>
      <color indexed="56"/>
      <name val="Calibri"/>
      <family val="2"/>
    </font>
    <font>
      <sz val="11"/>
      <color theme="0"/>
      <name val="Calibri"/>
      <family val="2"/>
      <scheme val="minor"/>
    </font>
    <font>
      <b/>
      <sz val="15"/>
      <color theme="3"/>
      <name val="Calibri"/>
      <family val="2"/>
      <scheme val="minor"/>
    </font>
    <font>
      <b/>
      <sz val="13"/>
      <color theme="3"/>
      <name val="Calibri"/>
      <family val="2"/>
      <scheme val="minor"/>
    </font>
  </fonts>
  <fills count="7">
    <fill>
      <patternFill patternType="none"/>
    </fill>
    <fill>
      <patternFill patternType="gray125"/>
    </fill>
    <fill>
      <patternFill patternType="solid">
        <fgColor indexed="31"/>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theme="4"/>
      </patternFill>
    </fill>
  </fills>
  <borders count="45">
    <border>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bottom/>
      <diagonal/>
    </border>
    <border>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s>
  <cellStyleXfs count="4">
    <xf numFmtId="0" fontId="0" fillId="0" borderId="0"/>
    <xf numFmtId="0" fontId="11" fillId="6" borderId="0" applyNumberFormat="0" applyBorder="0" applyAlignment="0" applyProtection="0"/>
    <xf numFmtId="0" fontId="12" fillId="0" borderId="43" applyNumberFormat="0" applyFill="0" applyAlignment="0" applyProtection="0"/>
    <xf numFmtId="0" fontId="13" fillId="0" borderId="44" applyNumberFormat="0" applyFill="0" applyAlignment="0" applyProtection="0"/>
  </cellStyleXfs>
  <cellXfs count="123">
    <xf numFmtId="0" fontId="0" fillId="0" borderId="0" xfId="0"/>
    <xf numFmtId="0" fontId="1" fillId="0" borderId="0" xfId="0" applyFont="1"/>
    <xf numFmtId="0" fontId="3" fillId="0" borderId="0" xfId="0" applyFont="1"/>
    <xf numFmtId="0" fontId="3" fillId="0" borderId="1" xfId="0" applyFont="1" applyBorder="1" applyAlignment="1">
      <alignment horizontal="center"/>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0" xfId="0" applyFont="1" applyBorder="1"/>
    <xf numFmtId="0" fontId="2" fillId="0" borderId="0" xfId="0" applyFont="1" applyBorder="1" applyAlignment="1">
      <alignment horizontal="center"/>
    </xf>
    <xf numFmtId="0" fontId="11" fillId="6" borderId="0" xfId="1"/>
    <xf numFmtId="0" fontId="2" fillId="0" borderId="5" xfId="0" applyFont="1" applyBorder="1" applyAlignment="1">
      <alignment horizont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0" fontId="2" fillId="0" borderId="5"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5" fillId="2" borderId="12" xfId="0" applyFont="1" applyFill="1" applyBorder="1" applyAlignment="1">
      <alignment horizontal="center" wrapText="1"/>
    </xf>
    <xf numFmtId="0" fontId="5" fillId="2" borderId="13" xfId="0" applyFont="1" applyFill="1" applyBorder="1" applyAlignment="1">
      <alignment wrapText="1"/>
    </xf>
    <xf numFmtId="0" fontId="5" fillId="2" borderId="12" xfId="0" applyFont="1" applyFill="1" applyBorder="1" applyAlignment="1">
      <alignment wrapText="1"/>
    </xf>
    <xf numFmtId="0" fontId="3" fillId="2" borderId="14" xfId="0" applyFont="1" applyFill="1" applyBorder="1"/>
    <xf numFmtId="0" fontId="4" fillId="2" borderId="15" xfId="0" applyFont="1" applyFill="1" applyBorder="1" applyAlignment="1">
      <alignment horizontal="center" wrapText="1"/>
    </xf>
    <xf numFmtId="0" fontId="4" fillId="2" borderId="16" xfId="0" applyFont="1" applyFill="1" applyBorder="1" applyAlignment="1">
      <alignment wrapText="1"/>
    </xf>
    <xf numFmtId="0" fontId="4" fillId="2" borderId="15" xfId="0" applyFont="1" applyFill="1" applyBorder="1" applyAlignment="1">
      <alignment wrapText="1"/>
    </xf>
    <xf numFmtId="0" fontId="3" fillId="2" borderId="2" xfId="0" applyFont="1" applyFill="1" applyBorder="1"/>
    <xf numFmtId="0" fontId="5" fillId="2" borderId="15" xfId="0" applyFont="1" applyFill="1" applyBorder="1" applyAlignment="1">
      <alignment horizontal="center" wrapText="1"/>
    </xf>
    <xf numFmtId="0" fontId="5" fillId="2" borderId="16" xfId="0" applyFont="1" applyFill="1" applyBorder="1" applyAlignment="1">
      <alignment wrapText="1"/>
    </xf>
    <xf numFmtId="0" fontId="5" fillId="2" borderId="15" xfId="0" applyFont="1" applyFill="1" applyBorder="1" applyAlignment="1">
      <alignment wrapText="1"/>
    </xf>
    <xf numFmtId="0" fontId="4" fillId="2" borderId="15" xfId="0" applyFont="1" applyFill="1" applyBorder="1" applyAlignment="1">
      <alignment vertical="top" wrapText="1"/>
    </xf>
    <xf numFmtId="0" fontId="4" fillId="4" borderId="15" xfId="0" applyFont="1" applyFill="1" applyBorder="1" applyAlignment="1">
      <alignment horizontal="center" wrapText="1"/>
    </xf>
    <xf numFmtId="0" fontId="4" fillId="4" borderId="16" xfId="0" applyFont="1" applyFill="1" applyBorder="1" applyAlignment="1">
      <alignment wrapText="1"/>
    </xf>
    <xf numFmtId="0" fontId="4" fillId="4" borderId="15" xfId="0" applyFont="1" applyFill="1" applyBorder="1" applyAlignment="1">
      <alignment wrapText="1"/>
    </xf>
    <xf numFmtId="0" fontId="3" fillId="4" borderId="2" xfId="0" applyFont="1" applyFill="1" applyBorder="1"/>
    <xf numFmtId="0" fontId="2" fillId="4" borderId="13" xfId="0" applyFont="1" applyFill="1" applyBorder="1" applyAlignment="1">
      <alignment horizontal="center" vertical="top"/>
    </xf>
    <xf numFmtId="0" fontId="4" fillId="4" borderId="12" xfId="0" applyFont="1" applyFill="1" applyBorder="1" applyAlignment="1">
      <alignment horizontal="center" wrapText="1"/>
    </xf>
    <xf numFmtId="0" fontId="4" fillId="4" borderId="13" xfId="0" applyFont="1" applyFill="1" applyBorder="1" applyAlignment="1">
      <alignment wrapText="1"/>
    </xf>
    <xf numFmtId="0" fontId="4" fillId="4" borderId="12" xfId="0" applyFont="1" applyFill="1" applyBorder="1" applyAlignment="1">
      <alignment wrapText="1"/>
    </xf>
    <xf numFmtId="0" fontId="3" fillId="4" borderId="14" xfId="0" applyFont="1" applyFill="1" applyBorder="1"/>
    <xf numFmtId="0" fontId="2" fillId="4" borderId="18" xfId="0" applyFont="1" applyFill="1" applyBorder="1" applyAlignment="1">
      <alignment horizontal="center" vertical="top"/>
    </xf>
    <xf numFmtId="0" fontId="4" fillId="4" borderId="17" xfId="0" applyFont="1" applyFill="1" applyBorder="1" applyAlignment="1">
      <alignment horizontal="center" vertical="top" wrapText="1"/>
    </xf>
    <xf numFmtId="0" fontId="4" fillId="4" borderId="18" xfId="0" applyFont="1" applyFill="1" applyBorder="1" applyAlignment="1">
      <alignment vertical="top" wrapText="1"/>
    </xf>
    <xf numFmtId="0" fontId="4" fillId="4" borderId="17" xfId="0" applyFont="1" applyFill="1" applyBorder="1" applyAlignment="1">
      <alignment wrapText="1"/>
    </xf>
    <xf numFmtId="0" fontId="3" fillId="4" borderId="4" xfId="0" applyFont="1" applyFill="1" applyBorder="1"/>
    <xf numFmtId="0" fontId="3" fillId="2" borderId="20" xfId="0" applyFont="1" applyFill="1" applyBorder="1"/>
    <xf numFmtId="0" fontId="3" fillId="2" borderId="21" xfId="0" applyFont="1" applyFill="1" applyBorder="1"/>
    <xf numFmtId="0" fontId="3" fillId="4" borderId="20" xfId="0" applyFont="1" applyFill="1" applyBorder="1"/>
    <xf numFmtId="0" fontId="3" fillId="4" borderId="21" xfId="0" applyFont="1" applyFill="1" applyBorder="1"/>
    <xf numFmtId="0" fontId="3" fillId="4" borderId="22" xfId="0" applyFont="1" applyFill="1" applyBorder="1"/>
    <xf numFmtId="0" fontId="3" fillId="2" borderId="23" xfId="0" applyFont="1" applyFill="1" applyBorder="1"/>
    <xf numFmtId="0" fontId="3" fillId="4" borderId="25" xfId="0" applyFont="1" applyFill="1" applyBorder="1"/>
    <xf numFmtId="0" fontId="3" fillId="4" borderId="23" xfId="0" applyFont="1" applyFill="1" applyBorder="1"/>
    <xf numFmtId="0" fontId="3" fillId="4" borderId="24" xfId="0" applyFont="1" applyFill="1" applyBorder="1"/>
    <xf numFmtId="0" fontId="2" fillId="0" borderId="26" xfId="0" applyFont="1" applyBorder="1" applyAlignment="1">
      <alignment horizontal="center" vertical="center" wrapText="1"/>
    </xf>
    <xf numFmtId="0" fontId="5" fillId="2" borderId="27" xfId="0" applyFont="1" applyFill="1" applyBorder="1" applyAlignment="1">
      <alignment wrapText="1"/>
    </xf>
    <xf numFmtId="0" fontId="5" fillId="2" borderId="14" xfId="0" applyFont="1" applyFill="1" applyBorder="1" applyAlignment="1">
      <alignment wrapText="1"/>
    </xf>
    <xf numFmtId="0" fontId="4" fillId="2" borderId="1" xfId="0" applyFont="1" applyFill="1" applyBorder="1" applyAlignment="1">
      <alignment wrapText="1"/>
    </xf>
    <xf numFmtId="0" fontId="4" fillId="2" borderId="2" xfId="0" applyFont="1" applyFill="1" applyBorder="1" applyAlignment="1">
      <alignment wrapText="1"/>
    </xf>
    <xf numFmtId="0" fontId="5" fillId="2" borderId="1" xfId="0" applyFont="1" applyFill="1" applyBorder="1" applyAlignment="1">
      <alignment wrapText="1"/>
    </xf>
    <xf numFmtId="0" fontId="5" fillId="2" borderId="2" xfId="0" applyFont="1" applyFill="1" applyBorder="1" applyAlignment="1">
      <alignment wrapText="1"/>
    </xf>
    <xf numFmtId="0" fontId="4" fillId="4" borderId="27" xfId="0" applyFont="1" applyFill="1" applyBorder="1" applyAlignment="1">
      <alignment wrapText="1"/>
    </xf>
    <xf numFmtId="0" fontId="4" fillId="4" borderId="14" xfId="0" applyFont="1" applyFill="1" applyBorder="1" applyAlignment="1">
      <alignment wrapText="1"/>
    </xf>
    <xf numFmtId="0" fontId="4" fillId="4" borderId="1" xfId="0" applyFont="1" applyFill="1" applyBorder="1" applyAlignment="1">
      <alignment wrapText="1"/>
    </xf>
    <xf numFmtId="0" fontId="4" fillId="4" borderId="2" xfId="0" applyFont="1" applyFill="1" applyBorder="1" applyAlignment="1">
      <alignment wrapText="1"/>
    </xf>
    <xf numFmtId="0" fontId="4" fillId="4" borderId="4" xfId="0" applyFont="1" applyFill="1" applyBorder="1" applyAlignment="1">
      <alignment wrapText="1"/>
    </xf>
    <xf numFmtId="0" fontId="4" fillId="2" borderId="1" xfId="0" applyFont="1" applyFill="1" applyBorder="1" applyAlignment="1">
      <alignment vertical="top" wrapText="1"/>
    </xf>
    <xf numFmtId="0" fontId="4" fillId="2" borderId="2" xfId="0" applyFont="1" applyFill="1" applyBorder="1" applyAlignment="1">
      <alignment vertical="top" wrapText="1"/>
    </xf>
    <xf numFmtId="0" fontId="4" fillId="4" borderId="3" xfId="0" applyFont="1" applyFill="1" applyBorder="1" applyAlignment="1">
      <alignment wrapText="1"/>
    </xf>
    <xf numFmtId="0" fontId="6" fillId="5" borderId="0" xfId="0" applyFont="1" applyFill="1" applyAlignment="1">
      <alignment vertical="center" textRotation="90"/>
    </xf>
    <xf numFmtId="0" fontId="6" fillId="5" borderId="0" xfId="0" quotePrefix="1" applyFont="1" applyFill="1" applyAlignment="1">
      <alignment vertical="center" textRotation="90"/>
    </xf>
    <xf numFmtId="0" fontId="3" fillId="3" borderId="28" xfId="0" applyFont="1" applyFill="1" applyBorder="1"/>
    <xf numFmtId="0" fontId="2" fillId="0" borderId="9" xfId="0" applyFont="1" applyBorder="1" applyAlignment="1">
      <alignment horizontal="center" vertical="center"/>
    </xf>
    <xf numFmtId="0" fontId="2" fillId="0" borderId="11" xfId="0" applyFont="1" applyBorder="1" applyAlignment="1">
      <alignment horizontal="center" vertical="center"/>
    </xf>
    <xf numFmtId="0" fontId="5" fillId="2" borderId="20" xfId="0" applyFont="1" applyFill="1" applyBorder="1" applyAlignment="1">
      <alignment wrapText="1"/>
    </xf>
    <xf numFmtId="0" fontId="4" fillId="2" borderId="21" xfId="0" applyFont="1" applyFill="1" applyBorder="1" applyAlignment="1">
      <alignment wrapText="1"/>
    </xf>
    <xf numFmtId="0" fontId="5" fillId="2" borderId="21" xfId="0" applyFont="1" applyFill="1" applyBorder="1" applyAlignment="1">
      <alignment wrapText="1"/>
    </xf>
    <xf numFmtId="0" fontId="4" fillId="4" borderId="20" xfId="0" applyFont="1" applyFill="1" applyBorder="1" applyAlignment="1">
      <alignment wrapText="1"/>
    </xf>
    <xf numFmtId="0" fontId="4" fillId="4" borderId="21" xfId="0" applyFont="1" applyFill="1" applyBorder="1" applyAlignment="1">
      <alignment wrapText="1"/>
    </xf>
    <xf numFmtId="0" fontId="4" fillId="4" borderId="22" xfId="0" applyFont="1" applyFill="1" applyBorder="1" applyAlignment="1">
      <alignment vertical="top" wrapText="1"/>
    </xf>
    <xf numFmtId="0" fontId="2" fillId="0" borderId="30" xfId="0" applyFont="1" applyBorder="1" applyAlignment="1">
      <alignment horizontal="center" vertical="center" wrapText="1"/>
    </xf>
    <xf numFmtId="0" fontId="1" fillId="2" borderId="25" xfId="0" applyFont="1" applyFill="1" applyBorder="1"/>
    <xf numFmtId="0" fontId="2" fillId="0" borderId="5" xfId="0" applyFont="1" applyFill="1" applyBorder="1" applyAlignment="1">
      <alignment horizontal="center" vertical="center"/>
    </xf>
    <xf numFmtId="0" fontId="1" fillId="0" borderId="0" xfId="0" applyFont="1" applyFill="1" applyBorder="1"/>
    <xf numFmtId="0" fontId="4" fillId="2" borderId="0" xfId="0" applyFont="1" applyFill="1" applyBorder="1" applyAlignment="1">
      <alignment wrapText="1"/>
    </xf>
    <xf numFmtId="0" fontId="2" fillId="0" borderId="0" xfId="0" applyFont="1" applyBorder="1" applyAlignment="1">
      <alignment vertical="center"/>
    </xf>
    <xf numFmtId="0" fontId="2" fillId="0" borderId="0" xfId="0" applyFont="1" applyBorder="1" applyAlignment="1">
      <alignment horizontal="center" vertical="center"/>
    </xf>
    <xf numFmtId="0" fontId="3" fillId="0" borderId="0" xfId="0" applyFont="1" applyAlignment="1">
      <alignment vertical="center" wrapText="1"/>
    </xf>
    <xf numFmtId="0" fontId="1" fillId="0" borderId="0" xfId="0" applyFont="1" applyAlignment="1">
      <alignment vertical="center" wrapText="1"/>
    </xf>
    <xf numFmtId="0" fontId="9" fillId="0" borderId="0" xfId="0" applyFont="1"/>
    <xf numFmtId="0" fontId="10" fillId="0" borderId="44" xfId="3" applyFont="1"/>
    <xf numFmtId="0" fontId="0" fillId="0" borderId="31" xfId="0" applyBorder="1"/>
    <xf numFmtId="0" fontId="0" fillId="0" borderId="32" xfId="0" applyBorder="1"/>
    <xf numFmtId="0" fontId="0" fillId="0" borderId="33" xfId="0" applyBorder="1"/>
    <xf numFmtId="0" fontId="0" fillId="0" borderId="34" xfId="0" applyBorder="1"/>
    <xf numFmtId="0" fontId="2" fillId="2" borderId="6" xfId="0" applyFont="1" applyFill="1" applyBorder="1" applyAlignment="1">
      <alignment horizontal="center" vertical="top"/>
    </xf>
    <xf numFmtId="0" fontId="2" fillId="2" borderId="29" xfId="0" applyFont="1" applyFill="1" applyBorder="1" applyAlignment="1">
      <alignment horizontal="center" vertical="top"/>
    </xf>
    <xf numFmtId="0" fontId="2" fillId="4" borderId="19" xfId="0" applyFont="1" applyFill="1" applyBorder="1" applyAlignment="1">
      <alignment horizontal="center" vertical="top"/>
    </xf>
    <xf numFmtId="0" fontId="2" fillId="4" borderId="36" xfId="0" applyFont="1" applyFill="1" applyBorder="1" applyAlignment="1">
      <alignment horizontal="center" vertical="top"/>
    </xf>
    <xf numFmtId="0" fontId="2" fillId="4" borderId="6" xfId="0" applyFont="1" applyFill="1" applyBorder="1" applyAlignment="1">
      <alignment horizontal="center" vertical="top"/>
    </xf>
    <xf numFmtId="0" fontId="2" fillId="4" borderId="29" xfId="0" applyFont="1" applyFill="1" applyBorder="1" applyAlignment="1">
      <alignment horizontal="center" vertical="top"/>
    </xf>
    <xf numFmtId="0" fontId="2" fillId="4" borderId="35" xfId="0" applyFont="1" applyFill="1" applyBorder="1" applyAlignment="1">
      <alignment horizontal="center" vertical="top"/>
    </xf>
    <xf numFmtId="0" fontId="2" fillId="5" borderId="39" xfId="0" applyFont="1" applyFill="1" applyBorder="1" applyAlignment="1">
      <alignment horizontal="center" wrapText="1"/>
    </xf>
    <xf numFmtId="0" fontId="2" fillId="5" borderId="40" xfId="0" applyFont="1" applyFill="1" applyBorder="1" applyAlignment="1">
      <alignment horizontal="center" wrapText="1"/>
    </xf>
    <xf numFmtId="0" fontId="2" fillId="5" borderId="41" xfId="0" applyFont="1" applyFill="1" applyBorder="1" applyAlignment="1">
      <alignment horizontal="center" wrapText="1"/>
    </xf>
    <xf numFmtId="0" fontId="2" fillId="5" borderId="42" xfId="0" applyFont="1" applyFill="1" applyBorder="1" applyAlignment="1">
      <alignment horizontal="center" wrapText="1"/>
    </xf>
    <xf numFmtId="0" fontId="6" fillId="5" borderId="0" xfId="0" applyFont="1" applyFill="1" applyAlignment="1">
      <alignment horizontal="center" vertical="center" textRotation="90"/>
    </xf>
    <xf numFmtId="0" fontId="6" fillId="5" borderId="9" xfId="0" applyFont="1" applyFill="1" applyBorder="1" applyAlignment="1">
      <alignment horizontal="center"/>
    </xf>
    <xf numFmtId="0" fontId="6" fillId="5" borderId="10" xfId="0" applyFont="1" applyFill="1" applyBorder="1" applyAlignment="1">
      <alignment horizontal="center"/>
    </xf>
    <xf numFmtId="0" fontId="6" fillId="5" borderId="11" xfId="0" applyFont="1" applyFill="1" applyBorder="1" applyAlignment="1">
      <alignment horizontal="center"/>
    </xf>
    <xf numFmtId="0" fontId="3" fillId="5" borderId="9" xfId="0" applyFont="1" applyFill="1" applyBorder="1" applyAlignment="1">
      <alignment horizontal="center"/>
    </xf>
    <xf numFmtId="0" fontId="3" fillId="5" borderId="10" xfId="0" applyFont="1" applyFill="1" applyBorder="1" applyAlignment="1">
      <alignment horizontal="center"/>
    </xf>
    <xf numFmtId="0" fontId="3" fillId="5" borderId="11" xfId="0" applyFont="1" applyFill="1" applyBorder="1" applyAlignment="1">
      <alignment horizontal="center"/>
    </xf>
    <xf numFmtId="0" fontId="7" fillId="0" borderId="31" xfId="0" applyFont="1" applyBorder="1" applyAlignment="1">
      <alignment horizontal="left" vertical="center" wrapText="1"/>
    </xf>
    <xf numFmtId="0" fontId="7" fillId="0" borderId="28" xfId="0" applyFont="1" applyBorder="1" applyAlignment="1">
      <alignment horizontal="left" vertical="center" wrapText="1"/>
    </xf>
    <xf numFmtId="0" fontId="7" fillId="0" borderId="32" xfId="0" applyFont="1" applyBorder="1" applyAlignment="1">
      <alignment horizontal="left" vertical="center" wrapText="1"/>
    </xf>
    <xf numFmtId="0" fontId="2" fillId="5" borderId="31" xfId="0" applyFont="1" applyFill="1" applyBorder="1" applyAlignment="1">
      <alignment horizontal="center" vertical="center"/>
    </xf>
    <xf numFmtId="0" fontId="2" fillId="5" borderId="32" xfId="0" applyFont="1" applyFill="1" applyBorder="1" applyAlignment="1">
      <alignment horizontal="center" vertical="center"/>
    </xf>
    <xf numFmtId="0" fontId="12" fillId="0" borderId="0" xfId="2" applyBorder="1" applyAlignment="1">
      <alignment horizontal="center" vertical="center"/>
    </xf>
    <xf numFmtId="0" fontId="12" fillId="0" borderId="43" xfId="2" applyAlignment="1">
      <alignment horizontal="center" vertical="center"/>
    </xf>
    <xf numFmtId="0" fontId="2" fillId="2" borderId="7" xfId="0" applyFont="1" applyFill="1" applyBorder="1" applyAlignment="1">
      <alignment horizontal="center" vertical="top"/>
    </xf>
    <xf numFmtId="0" fontId="2" fillId="2" borderId="37" xfId="0" applyFont="1" applyFill="1" applyBorder="1" applyAlignment="1">
      <alignment horizontal="center" vertical="top"/>
    </xf>
    <xf numFmtId="0" fontId="2" fillId="2" borderId="38" xfId="0" applyFont="1" applyFill="1" applyBorder="1" applyAlignment="1">
      <alignment horizontal="center" vertical="top"/>
    </xf>
    <xf numFmtId="0" fontId="1" fillId="0" borderId="28" xfId="0" applyFont="1" applyBorder="1"/>
  </cellXfs>
  <cellStyles count="4">
    <cellStyle name="Accent1" xfId="1" builtinId="29"/>
    <cellStyle name="Normal" xfId="0" builtinId="0"/>
    <cellStyle name="Titre 1" xfId="2" builtinId="16"/>
    <cellStyle name="Titre 2" xfId="3" builtin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129540</xdr:colOff>
          <xdr:row>5</xdr:row>
          <xdr:rowOff>7620</xdr:rowOff>
        </xdr:from>
        <xdr:to>
          <xdr:col>6</xdr:col>
          <xdr:colOff>396240</xdr:colOff>
          <xdr:row>7</xdr:row>
          <xdr:rowOff>22860</xdr:rowOff>
        </xdr:to>
        <xdr:sp macro="" textlink="">
          <xdr:nvSpPr>
            <xdr:cNvPr id="3086" name="Button 14" hidden="1">
              <a:extLst>
                <a:ext uri="{63B3BB69-23CF-44E3-9099-C40C66FF867C}">
                  <a14:compatExt spid="_x0000_s30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1" u="none" strike="noStrike" baseline="0">
                  <a:solidFill>
                    <a:srgbClr val="000000"/>
                  </a:solidFill>
                  <a:latin typeface="Arial"/>
                  <a:cs typeface="Arial"/>
                </a:rPr>
                <a:t>Générer les Wrappers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480060</xdr:colOff>
          <xdr:row>5</xdr:row>
          <xdr:rowOff>7620</xdr:rowOff>
        </xdr:from>
        <xdr:to>
          <xdr:col>8</xdr:col>
          <xdr:colOff>281940</xdr:colOff>
          <xdr:row>7</xdr:row>
          <xdr:rowOff>22860</xdr:rowOff>
        </xdr:to>
        <xdr:sp macro="" textlink="">
          <xdr:nvSpPr>
            <xdr:cNvPr id="3089" name="Button 17" hidden="1">
              <a:extLst>
                <a:ext uri="{63B3BB69-23CF-44E3-9099-C40C66FF867C}">
                  <a14:compatExt spid="_x0000_s30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1" u="none" strike="noStrike" baseline="0">
                  <a:solidFill>
                    <a:srgbClr val="000000"/>
                  </a:solidFill>
                  <a:latin typeface="Arial"/>
                  <a:cs typeface="Arial"/>
                </a:rPr>
                <a:t>Générer le vecteur d'états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B1:AN120"/>
  <sheetViews>
    <sheetView tabSelected="1" topLeftCell="F9" zoomScaleNormal="100" workbookViewId="0">
      <selection activeCell="Q15" sqref="Q15"/>
    </sheetView>
  </sheetViews>
  <sheetFormatPr baseColWidth="10" defaultColWidth="11.44140625" defaultRowHeight="13.2" outlineLevelCol="1" x14ac:dyDescent="0.25"/>
  <cols>
    <col min="1" max="1" width="2.6640625" style="2" customWidth="1"/>
    <col min="2" max="2" width="15.44140625" style="2" bestFit="1" customWidth="1"/>
    <col min="3" max="3" width="43.33203125" style="2" bestFit="1" customWidth="1"/>
    <col min="4" max="4" width="28.88671875" style="2" bestFit="1" customWidth="1"/>
    <col min="5" max="5" width="71.6640625" style="2" customWidth="1"/>
    <col min="6" max="6" width="23.5546875" style="2" customWidth="1"/>
    <col min="7" max="7" width="21.6640625" style="2" bestFit="1" customWidth="1"/>
    <col min="8" max="8" width="10.5546875" style="2" bestFit="1" customWidth="1"/>
    <col min="9" max="9" width="9.44140625" style="2" customWidth="1"/>
    <col min="10" max="10" width="6.44140625" style="2" bestFit="1" customWidth="1"/>
    <col min="11" max="16" width="6.5546875" style="2" bestFit="1" customWidth="1"/>
    <col min="17" max="17" width="34.44140625" style="2" bestFit="1" customWidth="1"/>
    <col min="18" max="18" width="5.33203125" style="2" customWidth="1"/>
    <col min="19" max="19" width="13.5546875" style="2" customWidth="1"/>
    <col min="20" max="20" width="84.6640625" style="2" customWidth="1"/>
    <col min="21" max="21" width="4.5546875" style="2" customWidth="1"/>
    <col min="22" max="22" width="7.109375" style="2" customWidth="1"/>
    <col min="23" max="24" width="7.109375" customWidth="1" outlineLevel="1"/>
    <col min="25" max="25" width="9.33203125" customWidth="1" outlineLevel="1"/>
    <col min="26" max="29" width="7.109375" customWidth="1" outlineLevel="1"/>
    <col min="30" max="30" width="137.88671875" style="2" customWidth="1" outlineLevel="1"/>
    <col min="31" max="31" width="39.44140625" style="2" bestFit="1" customWidth="1"/>
    <col min="32" max="33" width="30.44140625" style="2" bestFit="1" customWidth="1"/>
    <col min="34" max="36" width="20.6640625" style="2" bestFit="1" customWidth="1"/>
    <col min="37" max="37" width="11.44140625" style="2"/>
    <col min="38" max="38" width="13.88671875" style="2" bestFit="1" customWidth="1"/>
    <col min="39" max="39" width="6.5546875" style="2" bestFit="1" customWidth="1"/>
    <col min="40" max="40" width="13.6640625" style="2" bestFit="1" customWidth="1"/>
    <col min="41" max="16384" width="11.44140625" style="2"/>
  </cols>
  <sheetData>
    <row r="1" spans="2:40" s="1" customFormat="1" ht="13.5" customHeight="1" thickBot="1" x14ac:dyDescent="0.3">
      <c r="V1" s="68"/>
      <c r="W1"/>
      <c r="X1"/>
      <c r="Y1"/>
      <c r="Z1"/>
      <c r="AA1"/>
      <c r="AB1"/>
      <c r="AC1"/>
    </row>
    <row r="2" spans="2:40" ht="21.6" thickBot="1" x14ac:dyDescent="0.45">
      <c r="B2" s="106" t="s">
        <v>210</v>
      </c>
      <c r="C2" s="107"/>
      <c r="D2" s="107"/>
      <c r="E2" s="107"/>
      <c r="F2" s="107"/>
      <c r="G2" s="107"/>
      <c r="H2" s="107"/>
      <c r="I2" s="107"/>
      <c r="J2" s="107"/>
      <c r="K2" s="107"/>
      <c r="L2" s="107"/>
      <c r="M2" s="107"/>
      <c r="N2" s="107"/>
      <c r="O2" s="107"/>
      <c r="P2" s="107"/>
      <c r="Q2" s="107"/>
      <c r="R2" s="107"/>
      <c r="S2" s="107"/>
      <c r="T2" s="108"/>
      <c r="V2" s="69" t="s">
        <v>523</v>
      </c>
      <c r="AD2" s="1"/>
    </row>
    <row r="3" spans="2:40" ht="13.8" thickBot="1" x14ac:dyDescent="0.3">
      <c r="B3" s="109" t="s">
        <v>209</v>
      </c>
      <c r="C3" s="110"/>
      <c r="D3" s="110"/>
      <c r="E3" s="110"/>
      <c r="F3" s="110"/>
      <c r="G3" s="110"/>
      <c r="H3" s="110"/>
      <c r="I3" s="110"/>
      <c r="J3" s="110"/>
      <c r="K3" s="110"/>
      <c r="L3" s="110"/>
      <c r="M3" s="110"/>
      <c r="N3" s="110"/>
      <c r="O3" s="110"/>
      <c r="P3" s="110"/>
      <c r="Q3" s="110"/>
      <c r="R3" s="110"/>
      <c r="S3" s="110"/>
      <c r="T3" s="111"/>
      <c r="V3" s="105" t="s">
        <v>522</v>
      </c>
      <c r="AD3" s="86"/>
    </row>
    <row r="4" spans="2:40" x14ac:dyDescent="0.25">
      <c r="V4" s="105"/>
      <c r="AD4" s="87"/>
    </row>
    <row r="5" spans="2:40" ht="13.8" thickBot="1" x14ac:dyDescent="0.3">
      <c r="B5" s="2" t="s">
        <v>520</v>
      </c>
      <c r="V5" s="105"/>
      <c r="AD5" s="87"/>
    </row>
    <row r="6" spans="2:40" x14ac:dyDescent="0.25">
      <c r="B6" s="101" t="s">
        <v>212</v>
      </c>
      <c r="C6" s="102"/>
      <c r="E6" s="115" t="s">
        <v>521</v>
      </c>
      <c r="V6" s="105"/>
      <c r="AD6" s="87"/>
    </row>
    <row r="7" spans="2:40" ht="13.8" thickBot="1" x14ac:dyDescent="0.3">
      <c r="B7" s="103"/>
      <c r="C7" s="104"/>
      <c r="E7" s="116"/>
      <c r="V7" s="105"/>
      <c r="AD7" s="87"/>
    </row>
    <row r="8" spans="2:40" x14ac:dyDescent="0.25">
      <c r="B8" s="3">
        <v>1</v>
      </c>
      <c r="C8" s="4" t="s">
        <v>5</v>
      </c>
      <c r="E8" s="112" t="s">
        <v>550</v>
      </c>
      <c r="L8" s="1"/>
      <c r="V8" s="105"/>
      <c r="AD8" s="87"/>
    </row>
    <row r="9" spans="2:40" x14ac:dyDescent="0.25">
      <c r="B9" s="3">
        <v>2</v>
      </c>
      <c r="C9" s="4" t="s">
        <v>6</v>
      </c>
      <c r="E9" s="113"/>
      <c r="G9" s="1"/>
      <c r="V9" s="105"/>
      <c r="AD9" s="87"/>
    </row>
    <row r="10" spans="2:40" x14ac:dyDescent="0.25">
      <c r="B10" s="3">
        <v>3</v>
      </c>
      <c r="C10" s="4" t="s">
        <v>7</v>
      </c>
      <c r="E10" s="113"/>
      <c r="V10" s="105"/>
      <c r="AD10" s="87"/>
    </row>
    <row r="11" spans="2:40" x14ac:dyDescent="0.25">
      <c r="B11" s="3">
        <v>4</v>
      </c>
      <c r="C11" s="4" t="s">
        <v>8</v>
      </c>
      <c r="E11" s="113"/>
      <c r="V11" s="105"/>
      <c r="AD11" s="87"/>
    </row>
    <row r="12" spans="2:40" ht="13.8" thickBot="1" x14ac:dyDescent="0.3">
      <c r="B12" s="5">
        <v>5</v>
      </c>
      <c r="C12" s="6" t="s">
        <v>9</v>
      </c>
      <c r="E12" s="114"/>
      <c r="V12" s="105"/>
      <c r="AD12" s="87"/>
    </row>
    <row r="13" spans="2:40" x14ac:dyDescent="0.25">
      <c r="V13" s="105"/>
    </row>
    <row r="14" spans="2:40" ht="13.8" thickBot="1" x14ac:dyDescent="0.3">
      <c r="V14" s="105"/>
    </row>
    <row r="15" spans="2:40" ht="41.25" customHeight="1" thickBot="1" x14ac:dyDescent="0.3">
      <c r="B15" s="11" t="s">
        <v>17</v>
      </c>
      <c r="C15" s="12" t="s">
        <v>18</v>
      </c>
      <c r="D15" s="12" t="s">
        <v>0</v>
      </c>
      <c r="E15" s="13" t="s">
        <v>1</v>
      </c>
      <c r="F15" s="14" t="s">
        <v>524</v>
      </c>
      <c r="G15" s="14" t="s">
        <v>525</v>
      </c>
      <c r="H15" s="79" t="s">
        <v>298</v>
      </c>
      <c r="I15" s="12" t="s">
        <v>2</v>
      </c>
      <c r="J15" s="53" t="s">
        <v>3</v>
      </c>
      <c r="K15" s="15" t="s">
        <v>479</v>
      </c>
      <c r="L15" s="16" t="s">
        <v>480</v>
      </c>
      <c r="M15" s="16" t="s">
        <v>481</v>
      </c>
      <c r="N15" s="16" t="s">
        <v>482</v>
      </c>
      <c r="O15" s="16" t="s">
        <v>483</v>
      </c>
      <c r="P15" s="17" t="s">
        <v>484</v>
      </c>
      <c r="Q15" s="14" t="s">
        <v>526</v>
      </c>
      <c r="R15" s="14" t="s">
        <v>564</v>
      </c>
      <c r="S15" s="10" t="s">
        <v>519</v>
      </c>
      <c r="T15" s="14" t="s">
        <v>527</v>
      </c>
      <c r="U15" s="8"/>
      <c r="V15" s="105"/>
      <c r="Y15" s="84" t="s">
        <v>568</v>
      </c>
      <c r="Z15" s="84" t="s">
        <v>567</v>
      </c>
      <c r="AA15" s="84" t="s">
        <v>655</v>
      </c>
      <c r="AB15" s="84" t="s">
        <v>566</v>
      </c>
      <c r="AC15" s="84" t="s">
        <v>565</v>
      </c>
      <c r="AD15" s="84" t="s">
        <v>510</v>
      </c>
      <c r="AE15" s="85" t="s">
        <v>479</v>
      </c>
      <c r="AF15" s="85" t="s">
        <v>480</v>
      </c>
      <c r="AG15" s="85" t="s">
        <v>481</v>
      </c>
      <c r="AH15" s="85" t="s">
        <v>482</v>
      </c>
      <c r="AI15" s="85" t="s">
        <v>483</v>
      </c>
      <c r="AJ15" s="85" t="s">
        <v>484</v>
      </c>
      <c r="AL15" s="71" t="s">
        <v>544</v>
      </c>
      <c r="AM15" s="72" t="s">
        <v>545</v>
      </c>
      <c r="AN15" s="81" t="s">
        <v>551</v>
      </c>
    </row>
    <row r="16" spans="2:40" x14ac:dyDescent="0.25">
      <c r="B16" s="94" t="s">
        <v>4</v>
      </c>
      <c r="C16" s="119" t="s">
        <v>19</v>
      </c>
      <c r="D16" s="18" t="s">
        <v>109</v>
      </c>
      <c r="E16" s="19" t="s">
        <v>110</v>
      </c>
      <c r="F16" t="s">
        <v>696</v>
      </c>
      <c r="G16" t="s">
        <v>673</v>
      </c>
      <c r="H16" s="73" t="s">
        <v>299</v>
      </c>
      <c r="I16" s="20" t="s">
        <v>13</v>
      </c>
      <c r="J16" s="55" t="s">
        <v>406</v>
      </c>
      <c r="K16" s="54" t="s">
        <v>102</v>
      </c>
      <c r="L16" s="20"/>
      <c r="M16" s="20"/>
      <c r="N16" s="20"/>
      <c r="O16" s="20"/>
      <c r="P16" s="55"/>
      <c r="Q16" s="90" t="s">
        <v>657</v>
      </c>
      <c r="R16" s="80">
        <v>1</v>
      </c>
      <c r="S16" s="44" t="s">
        <v>543</v>
      </c>
      <c r="T16" s="21"/>
      <c r="U16" s="7"/>
      <c r="V16" s="105"/>
      <c r="Y16" t="str">
        <f>Q16</f>
        <v>reference_Surface</v>
      </c>
      <c r="Z16" t="str">
        <f>I16</f>
        <v>double</v>
      </c>
      <c r="AA16" t="str">
        <f>H16</f>
        <v>scalaire</v>
      </c>
      <c r="AB16" t="str">
        <f>E16</f>
        <v>Surface de référence totale du véhicule</v>
      </c>
      <c r="AC16" t="str">
        <f t="shared" ref="AC16:AC19" si="0">J16</f>
        <v>m2</v>
      </c>
      <c r="AD16" s="83" t="str">
        <f t="shared" ref="AD16:AD19" si="1">CONCATENATE(IF(S16="oui","#",""),"variable: ",Y16," ",Z16," input ","description= """,AB16,""" units= """,AC16,"""")</f>
        <v>variable: reference_Surface double input description= "Surface de référence totale du véhicule" units= "m2"</v>
      </c>
      <c r="AE16" s="7" t="str">
        <f t="shared" ref="AE16:AE19" si="2">CONCATENER_MODELCENTER(K16,$F16,$G16)</f>
        <v>Y24.Geometry.wingbody</v>
      </c>
      <c r="AF16" s="7" t="str">
        <f t="shared" ref="AF16:AF19" si="3">CONCATENER_MODELCENTER(L16,$F16,$G16)</f>
        <v/>
      </c>
      <c r="AG16" s="7" t="str">
        <f t="shared" ref="AG16:AG19" si="4">CONCATENER_MODELCENTER(M16,$F16,$G16)</f>
        <v/>
      </c>
      <c r="AH16" s="7" t="str">
        <f t="shared" ref="AH16:AH19" si="5">CONCATENER_MODELCENTER(N16,$F16,$G16)</f>
        <v/>
      </c>
      <c r="AI16" s="7" t="str">
        <f t="shared" ref="AI16:AI19" si="6">CONCATENER_MODELCENTER(O16,$F16,$G16)</f>
        <v/>
      </c>
      <c r="AJ16" s="7" t="str">
        <f t="shared" ref="AJ16:AJ19" si="7">CONCATENER_MODELCENTER(P16,$F16,$G16)</f>
        <v/>
      </c>
      <c r="AL16" s="2" t="s">
        <v>546</v>
      </c>
      <c r="AM16" s="1" t="s">
        <v>512</v>
      </c>
      <c r="AN16" s="1" t="s">
        <v>552</v>
      </c>
    </row>
    <row r="17" spans="2:40" x14ac:dyDescent="0.25">
      <c r="B17" s="95"/>
      <c r="C17" s="120"/>
      <c r="D17" s="22" t="s">
        <v>116</v>
      </c>
      <c r="E17" s="23" t="s">
        <v>117</v>
      </c>
      <c r="F17" t="s">
        <v>696</v>
      </c>
      <c r="G17" t="s">
        <v>673</v>
      </c>
      <c r="H17" s="74" t="s">
        <v>299</v>
      </c>
      <c r="I17" s="24" t="s">
        <v>13</v>
      </c>
      <c r="J17" s="57" t="s">
        <v>39</v>
      </c>
      <c r="K17" s="56" t="s">
        <v>111</v>
      </c>
      <c r="L17" s="24" t="s">
        <v>368</v>
      </c>
      <c r="M17" s="24" t="s">
        <v>14</v>
      </c>
      <c r="N17" s="24"/>
      <c r="O17" s="24"/>
      <c r="P17" s="57"/>
      <c r="Q17" s="122" t="s">
        <v>700</v>
      </c>
      <c r="R17" s="49">
        <v>5</v>
      </c>
      <c r="S17" s="45" t="s">
        <v>543</v>
      </c>
      <c r="T17" s="25"/>
      <c r="U17" s="7"/>
      <c r="V17" s="105"/>
      <c r="Y17" t="str">
        <f t="shared" ref="Y17:Y19" si="8">Q17</f>
        <v>wing_edge_p0</v>
      </c>
      <c r="Z17" t="str">
        <f t="shared" ref="Z17:Z19" si="9">I17</f>
        <v>double</v>
      </c>
      <c r="AA17" t="str">
        <f t="shared" ref="AA17:AA19" si="10">H17</f>
        <v>scalaire</v>
      </c>
      <c r="AB17" t="str">
        <f t="shared" ref="AB17:AB19" si="11">E17</f>
        <v>Flèche du bord d'attaque au plan 0</v>
      </c>
      <c r="AC17" t="str">
        <f t="shared" si="0"/>
        <v>degré</v>
      </c>
      <c r="AD17" s="83" t="str">
        <f t="shared" si="1"/>
        <v>variable: wing_edge_p0 double input description= "Flèche du bord d'attaque au plan 0" units= "degré"</v>
      </c>
      <c r="AE17" s="7" t="str">
        <f t="shared" si="2"/>
        <v>X0.Geometry.wingbody</v>
      </c>
      <c r="AF17" s="7" t="str">
        <f t="shared" si="3"/>
        <v>Y02.Geometry.wingbody</v>
      </c>
      <c r="AG17" s="7" t="str">
        <f t="shared" si="4"/>
        <v>Y03.Geometry.wingbody</v>
      </c>
      <c r="AH17" s="7" t="str">
        <f t="shared" si="5"/>
        <v/>
      </c>
      <c r="AI17" s="7" t="str">
        <f t="shared" si="6"/>
        <v/>
      </c>
      <c r="AJ17" s="7" t="str">
        <f t="shared" si="7"/>
        <v/>
      </c>
      <c r="AL17" s="2" t="s">
        <v>547</v>
      </c>
      <c r="AM17" s="2" t="s">
        <v>514</v>
      </c>
      <c r="AN17" s="82" t="s">
        <v>556</v>
      </c>
    </row>
    <row r="18" spans="2:40" x14ac:dyDescent="0.25">
      <c r="B18" s="95"/>
      <c r="C18" s="120"/>
      <c r="D18" s="26" t="s">
        <v>411</v>
      </c>
      <c r="E18" s="27" t="s">
        <v>457</v>
      </c>
      <c r="F18" t="s">
        <v>696</v>
      </c>
      <c r="G18" t="s">
        <v>673</v>
      </c>
      <c r="H18" s="75" t="s">
        <v>299</v>
      </c>
      <c r="I18" s="28" t="s">
        <v>13</v>
      </c>
      <c r="J18" s="59" t="s">
        <v>39</v>
      </c>
      <c r="K18" s="58" t="s">
        <v>111</v>
      </c>
      <c r="L18" s="28" t="s">
        <v>477</v>
      </c>
      <c r="M18" s="28" t="s">
        <v>478</v>
      </c>
      <c r="N18" s="28"/>
      <c r="O18" s="28"/>
      <c r="P18" s="59"/>
      <c r="Q18" s="122" t="s">
        <v>701</v>
      </c>
      <c r="R18" s="49">
        <v>6</v>
      </c>
      <c r="S18" s="45" t="s">
        <v>543</v>
      </c>
      <c r="T18" s="25"/>
      <c r="U18" s="7"/>
      <c r="V18" s="105"/>
      <c r="Y18" t="str">
        <f t="shared" si="8"/>
        <v>wing_edge_p0_1</v>
      </c>
      <c r="Z18" t="str">
        <f t="shared" si="9"/>
        <v>double</v>
      </c>
      <c r="AA18" t="str">
        <f t="shared" si="10"/>
        <v>scalaire</v>
      </c>
      <c r="AB18" t="str">
        <f t="shared" si="11"/>
        <v>Flèche du bord d'attaque au plan 0.1</v>
      </c>
      <c r="AC18" t="str">
        <f t="shared" si="0"/>
        <v>degré</v>
      </c>
      <c r="AD18" s="83" t="str">
        <f t="shared" si="1"/>
        <v>variable: wing_edge_p0_1 double input description= "Flèche du bord d'attaque au plan 0.1" units= "degré"</v>
      </c>
      <c r="AE18" s="7" t="str">
        <f t="shared" si="2"/>
        <v>X0.Geometry.wingbody</v>
      </c>
      <c r="AF18" s="7" t="str">
        <f t="shared" si="3"/>
        <v>Y02.Geometry.wingbody</v>
      </c>
      <c r="AG18" s="7" t="str">
        <f t="shared" si="4"/>
        <v>Y03.Geometry.wingbody</v>
      </c>
      <c r="AH18" s="7" t="str">
        <f t="shared" si="5"/>
        <v/>
      </c>
      <c r="AI18" s="7" t="str">
        <f t="shared" si="6"/>
        <v/>
      </c>
      <c r="AJ18" s="7" t="str">
        <f t="shared" si="7"/>
        <v/>
      </c>
      <c r="AL18" s="2" t="s">
        <v>548</v>
      </c>
      <c r="AM18" s="2" t="s">
        <v>515</v>
      </c>
      <c r="AN18" s="82" t="s">
        <v>557</v>
      </c>
    </row>
    <row r="19" spans="2:40" ht="13.8" thickBot="1" x14ac:dyDescent="0.3">
      <c r="B19" s="95"/>
      <c r="C19" s="121"/>
      <c r="D19" s="22" t="s">
        <v>118</v>
      </c>
      <c r="E19" s="23" t="s">
        <v>119</v>
      </c>
      <c r="F19" t="s">
        <v>696</v>
      </c>
      <c r="G19" t="s">
        <v>673</v>
      </c>
      <c r="H19" s="74" t="s">
        <v>299</v>
      </c>
      <c r="I19" s="24" t="s">
        <v>13</v>
      </c>
      <c r="J19" s="57" t="s">
        <v>39</v>
      </c>
      <c r="K19" s="65" t="s">
        <v>111</v>
      </c>
      <c r="L19" s="29" t="s">
        <v>477</v>
      </c>
      <c r="M19" s="29" t="s">
        <v>478</v>
      </c>
      <c r="N19" s="29"/>
      <c r="O19" s="29"/>
      <c r="P19" s="66"/>
      <c r="Q19" s="122" t="s">
        <v>702</v>
      </c>
      <c r="R19" s="49">
        <v>7</v>
      </c>
      <c r="S19" s="45" t="s">
        <v>543</v>
      </c>
      <c r="T19" s="25"/>
      <c r="U19" s="7"/>
      <c r="V19" s="105"/>
      <c r="Y19" t="str">
        <f t="shared" si="8"/>
        <v>wing_edge_p1</v>
      </c>
      <c r="Z19" t="str">
        <f t="shared" si="9"/>
        <v>double</v>
      </c>
      <c r="AA19" t="str">
        <f t="shared" si="10"/>
        <v>scalaire</v>
      </c>
      <c r="AB19" t="str">
        <f t="shared" si="11"/>
        <v>Flèche du bord d'attaque au plan 1</v>
      </c>
      <c r="AC19" t="str">
        <f t="shared" si="0"/>
        <v>degré</v>
      </c>
      <c r="AD19" s="83" t="str">
        <f t="shared" si="1"/>
        <v>variable: wing_edge_p1 double input description= "Flèche du bord d'attaque au plan 1" units= "degré"</v>
      </c>
      <c r="AE19" s="7" t="str">
        <f t="shared" si="2"/>
        <v>X0.Geometry.wingbody</v>
      </c>
      <c r="AF19" s="7" t="str">
        <f t="shared" si="3"/>
        <v>Y02.Geometry.wingbody</v>
      </c>
      <c r="AG19" s="7" t="str">
        <f t="shared" si="4"/>
        <v>Y03.Geometry.wingbody</v>
      </c>
      <c r="AH19" s="7" t="str">
        <f t="shared" si="5"/>
        <v/>
      </c>
      <c r="AI19" s="7" t="str">
        <f t="shared" si="6"/>
        <v/>
      </c>
      <c r="AJ19" s="7" t="str">
        <f t="shared" si="7"/>
        <v/>
      </c>
      <c r="AL19" s="2" t="s">
        <v>549</v>
      </c>
      <c r="AM19" s="2" t="s">
        <v>513</v>
      </c>
      <c r="AN19" s="1" t="s">
        <v>558</v>
      </c>
    </row>
    <row r="20" spans="2:40" x14ac:dyDescent="0.25">
      <c r="B20" s="98" t="s">
        <v>142</v>
      </c>
      <c r="C20" s="34" t="s">
        <v>168</v>
      </c>
      <c r="D20" s="35" t="s">
        <v>169</v>
      </c>
      <c r="E20" s="36" t="s">
        <v>168</v>
      </c>
      <c r="F20" t="s">
        <v>698</v>
      </c>
      <c r="G20" t="s">
        <v>676</v>
      </c>
      <c r="H20" s="76" t="s">
        <v>64</v>
      </c>
      <c r="I20" s="37" t="s">
        <v>516</v>
      </c>
      <c r="J20" s="61" t="s">
        <v>46</v>
      </c>
      <c r="K20" s="60" t="s">
        <v>170</v>
      </c>
      <c r="L20" s="37"/>
      <c r="M20" s="37"/>
      <c r="N20" s="37"/>
      <c r="O20" s="37"/>
      <c r="P20" s="61"/>
      <c r="Q20" s="1" t="s">
        <v>703</v>
      </c>
      <c r="R20" s="50">
        <v>225</v>
      </c>
      <c r="S20" s="46" t="s">
        <v>543</v>
      </c>
      <c r="T20" s="38"/>
      <c r="U20" s="7"/>
      <c r="V20" s="68"/>
      <c r="Y20" t="e">
        <f>#REF!</f>
        <v>#REF!</v>
      </c>
      <c r="Z20" t="e">
        <f>#REF!</f>
        <v>#REF!</v>
      </c>
      <c r="AA20" t="e">
        <f>#REF!</f>
        <v>#REF!</v>
      </c>
      <c r="AB20" t="e">
        <f>#REF!</f>
        <v>#REF!</v>
      </c>
      <c r="AC20" t="e">
        <f>#REF!</f>
        <v>#REF!</v>
      </c>
      <c r="AD20" s="83" t="e">
        <f>CONCATENATE(IF(#REF!="oui","#",""),"variable: ",Y20," ",Z20," input ","description= """,AB20,""" units= """,AC20,"""")</f>
        <v>#REF!</v>
      </c>
      <c r="AE20" s="7" t="e">
        <f>CONCATENER_MODELCENTER(#REF!,#REF!,#REF!)</f>
        <v>#VALUE!</v>
      </c>
      <c r="AF20" s="7" t="e">
        <f>CONCATENER_MODELCENTER(#REF!,#REF!,#REF!)</f>
        <v>#VALUE!</v>
      </c>
      <c r="AG20" s="7" t="e">
        <f>CONCATENER_MODELCENTER(#REF!,#REF!,#REF!)</f>
        <v>#VALUE!</v>
      </c>
      <c r="AH20" s="7" t="e">
        <f>CONCATENER_MODELCENTER(#REF!,#REF!,#REF!)</f>
        <v>#VALUE!</v>
      </c>
      <c r="AI20" s="7" t="e">
        <f>CONCATENER_MODELCENTER(#REF!,#REF!,#REF!)</f>
        <v>#VALUE!</v>
      </c>
      <c r="AJ20" s="7" t="e">
        <f>CONCATENER_MODELCENTER(#REF!,#REF!,#REF!)</f>
        <v>#VALUE!</v>
      </c>
    </row>
    <row r="21" spans="2:40" x14ac:dyDescent="0.25">
      <c r="B21" s="99"/>
      <c r="C21" s="96" t="s">
        <v>265</v>
      </c>
      <c r="D21" s="30" t="s">
        <v>286</v>
      </c>
      <c r="E21" s="31" t="s">
        <v>266</v>
      </c>
      <c r="F21" t="s">
        <v>698</v>
      </c>
      <c r="G21" t="s">
        <v>664</v>
      </c>
      <c r="H21" s="77" t="s">
        <v>299</v>
      </c>
      <c r="I21" s="32" t="s">
        <v>511</v>
      </c>
      <c r="J21" s="63" t="s">
        <v>46</v>
      </c>
      <c r="K21" s="62" t="s">
        <v>111</v>
      </c>
      <c r="L21" s="32" t="s">
        <v>477</v>
      </c>
      <c r="M21" s="32" t="s">
        <v>478</v>
      </c>
      <c r="N21" s="32"/>
      <c r="O21" s="32"/>
      <c r="P21" s="63"/>
      <c r="Q21" t="s">
        <v>660</v>
      </c>
      <c r="R21" s="51">
        <v>226</v>
      </c>
      <c r="S21" s="47" t="s">
        <v>543</v>
      </c>
      <c r="T21" s="33"/>
      <c r="U21" s="7"/>
      <c r="V21" s="68"/>
      <c r="Y21" t="e">
        <f>#REF!</f>
        <v>#REF!</v>
      </c>
      <c r="Z21" t="e">
        <f>#REF!</f>
        <v>#REF!</v>
      </c>
      <c r="AA21" t="e">
        <f>#REF!</f>
        <v>#REF!</v>
      </c>
      <c r="AB21" t="e">
        <f>#REF!</f>
        <v>#REF!</v>
      </c>
      <c r="AC21" t="e">
        <f>#REF!</f>
        <v>#REF!</v>
      </c>
      <c r="AD21" s="83" t="e">
        <f>CONCATENATE(IF(#REF!="oui","#",""),"variable: ",Y21," ",Z21," input ","description= """,AB21,""" units= """,AC21,"""")</f>
        <v>#REF!</v>
      </c>
      <c r="AE21" s="7" t="e">
        <f>CONCATENER_MODELCENTER(#REF!,#REF!,#REF!)</f>
        <v>#VALUE!</v>
      </c>
      <c r="AF21" s="7" t="e">
        <f>CONCATENER_MODELCENTER(#REF!,#REF!,#REF!)</f>
        <v>#VALUE!</v>
      </c>
      <c r="AG21" s="7" t="e">
        <f>CONCATENER_MODELCENTER(#REF!,#REF!,#REF!)</f>
        <v>#VALUE!</v>
      </c>
      <c r="AH21" s="7" t="e">
        <f>CONCATENER_MODELCENTER(#REF!,#REF!,#REF!)</f>
        <v>#VALUE!</v>
      </c>
      <c r="AI21" s="7" t="e">
        <f>CONCATENER_MODELCENTER(#REF!,#REF!,#REF!)</f>
        <v>#VALUE!</v>
      </c>
      <c r="AJ21" s="7" t="e">
        <f>CONCATENER_MODELCENTER(#REF!,#REF!,#REF!)</f>
        <v>#VALUE!</v>
      </c>
    </row>
    <row r="22" spans="2:40" x14ac:dyDescent="0.25">
      <c r="B22" s="99"/>
      <c r="C22" s="97"/>
      <c r="D22" s="30" t="s">
        <v>295</v>
      </c>
      <c r="E22" s="31" t="s">
        <v>267</v>
      </c>
      <c r="F22" t="s">
        <v>698</v>
      </c>
      <c r="G22" t="s">
        <v>664</v>
      </c>
      <c r="H22" s="77" t="s">
        <v>64</v>
      </c>
      <c r="I22" s="32" t="s">
        <v>516</v>
      </c>
      <c r="J22" s="63" t="s">
        <v>12</v>
      </c>
      <c r="K22" s="62" t="s">
        <v>111</v>
      </c>
      <c r="L22" s="32" t="s">
        <v>477</v>
      </c>
      <c r="M22" s="32" t="s">
        <v>478</v>
      </c>
      <c r="N22" s="32"/>
      <c r="O22" s="32"/>
      <c r="P22" s="63"/>
      <c r="Q22" t="s">
        <v>659</v>
      </c>
      <c r="R22" s="51">
        <v>227</v>
      </c>
      <c r="S22" s="47" t="s">
        <v>543</v>
      </c>
      <c r="T22" s="33"/>
      <c r="U22" s="7"/>
      <c r="V22" s="68"/>
      <c r="Y22" t="e">
        <f>#REF!</f>
        <v>#REF!</v>
      </c>
      <c r="Z22" t="e">
        <f>#REF!</f>
        <v>#REF!</v>
      </c>
      <c r="AA22" t="e">
        <f>#REF!</f>
        <v>#REF!</v>
      </c>
      <c r="AB22" t="e">
        <f>#REF!</f>
        <v>#REF!</v>
      </c>
      <c r="AC22" t="e">
        <f>#REF!</f>
        <v>#REF!</v>
      </c>
      <c r="AD22" s="83" t="e">
        <f>CONCATENATE(IF(#REF!="oui","#",""),"variable: ",Y22," ",Z22," input ","description= """,AB22,""" units= """,AC22,"""")</f>
        <v>#REF!</v>
      </c>
      <c r="AE22" s="7" t="e">
        <f>CONCATENER_MODELCENTER(#REF!,#REF!,#REF!)</f>
        <v>#VALUE!</v>
      </c>
      <c r="AF22" s="7" t="e">
        <f>CONCATENER_MODELCENTER(#REF!,#REF!,#REF!)</f>
        <v>#VALUE!</v>
      </c>
      <c r="AG22" s="7" t="e">
        <f>CONCATENER_MODELCENTER(#REF!,#REF!,#REF!)</f>
        <v>#VALUE!</v>
      </c>
      <c r="AH22" s="7" t="e">
        <f>CONCATENER_MODELCENTER(#REF!,#REF!,#REF!)</f>
        <v>#VALUE!</v>
      </c>
      <c r="AI22" s="7" t="e">
        <f>CONCATENER_MODELCENTER(#REF!,#REF!,#REF!)</f>
        <v>#VALUE!</v>
      </c>
      <c r="AJ22" s="7" t="e">
        <f>CONCATENER_MODELCENTER(#REF!,#REF!,#REF!)</f>
        <v>#VALUE!</v>
      </c>
    </row>
    <row r="23" spans="2:40" ht="13.8" thickBot="1" x14ac:dyDescent="0.3">
      <c r="B23" s="100"/>
      <c r="C23" s="39" t="s">
        <v>200</v>
      </c>
      <c r="D23" s="40" t="s">
        <v>201</v>
      </c>
      <c r="E23" s="41" t="s">
        <v>198</v>
      </c>
      <c r="F23" s="93" t="s">
        <v>698</v>
      </c>
      <c r="G23" s="92" t="s">
        <v>669</v>
      </c>
      <c r="H23" s="78" t="s">
        <v>64</v>
      </c>
      <c r="I23" s="42" t="s">
        <v>516</v>
      </c>
      <c r="J23" s="64" t="s">
        <v>46</v>
      </c>
      <c r="K23" s="67" t="s">
        <v>199</v>
      </c>
      <c r="L23" s="42"/>
      <c r="M23" s="42"/>
      <c r="N23" s="42"/>
      <c r="O23" s="42"/>
      <c r="P23" s="64"/>
      <c r="Q23" s="91" t="s">
        <v>661</v>
      </c>
      <c r="R23" s="52">
        <v>233</v>
      </c>
      <c r="S23" s="48" t="s">
        <v>543</v>
      </c>
      <c r="T23" s="43"/>
      <c r="U23" s="7"/>
      <c r="V23" s="68"/>
      <c r="Y23" t="e">
        <f>#REF!</f>
        <v>#REF!</v>
      </c>
      <c r="Z23" t="e">
        <f>#REF!</f>
        <v>#REF!</v>
      </c>
      <c r="AA23" t="e">
        <f>#REF!</f>
        <v>#REF!</v>
      </c>
      <c r="AB23" t="e">
        <f>#REF!</f>
        <v>#REF!</v>
      </c>
      <c r="AC23" t="e">
        <f>#REF!</f>
        <v>#REF!</v>
      </c>
      <c r="AD23" s="83" t="e">
        <f>CONCATENATE(IF(#REF!="oui","#",""),"variable: ",Y23," ",Z23," input ","description= """,AB23,""" units= """,AC23,"""")</f>
        <v>#REF!</v>
      </c>
      <c r="AE23" s="7" t="e">
        <f>CONCATENER_MODELCENTER(#REF!,#REF!,#REF!)</f>
        <v>#VALUE!</v>
      </c>
      <c r="AF23" s="7" t="e">
        <f>CONCATENER_MODELCENTER(#REF!,#REF!,#REF!)</f>
        <v>#VALUE!</v>
      </c>
      <c r="AG23" s="7" t="e">
        <f>CONCATENER_MODELCENTER(#REF!,#REF!,#REF!)</f>
        <v>#VALUE!</v>
      </c>
      <c r="AH23" s="7" t="e">
        <f>CONCATENER_MODELCENTER(#REF!,#REF!,#REF!)</f>
        <v>#VALUE!</v>
      </c>
      <c r="AI23" s="7" t="e">
        <f>CONCATENER_MODELCENTER(#REF!,#REF!,#REF!)</f>
        <v>#VALUE!</v>
      </c>
      <c r="AJ23" s="7" t="e">
        <f>CONCATENER_MODELCENTER(#REF!,#REF!,#REF!)</f>
        <v>#VALUE!</v>
      </c>
    </row>
    <row r="24" spans="2:40" x14ac:dyDescent="0.25">
      <c r="U24" s="7"/>
      <c r="V24" s="68"/>
      <c r="Y24" t="e">
        <f>#REF!</f>
        <v>#REF!</v>
      </c>
      <c r="Z24" t="e">
        <f>#REF!</f>
        <v>#REF!</v>
      </c>
      <c r="AA24" t="e">
        <f>#REF!</f>
        <v>#REF!</v>
      </c>
      <c r="AB24" t="e">
        <f>#REF!</f>
        <v>#REF!</v>
      </c>
      <c r="AC24" t="e">
        <f>#REF!</f>
        <v>#REF!</v>
      </c>
      <c r="AD24" s="83" t="e">
        <f>CONCATENATE(IF(#REF!="oui","#",""),"variable: ",Y24," ",Z24," input ","description= """,AB24,""" units= """,AC24,"""")</f>
        <v>#REF!</v>
      </c>
      <c r="AE24" s="7" t="e">
        <f>CONCATENER_MODELCENTER(#REF!,#REF!,#REF!)</f>
        <v>#VALUE!</v>
      </c>
      <c r="AF24" s="7" t="e">
        <f>CONCATENER_MODELCENTER(#REF!,#REF!,#REF!)</f>
        <v>#VALUE!</v>
      </c>
      <c r="AG24" s="7" t="e">
        <f>CONCATENER_MODELCENTER(#REF!,#REF!,#REF!)</f>
        <v>#VALUE!</v>
      </c>
      <c r="AH24" s="7" t="e">
        <f>CONCATENER_MODELCENTER(#REF!,#REF!,#REF!)</f>
        <v>#VALUE!</v>
      </c>
      <c r="AI24" s="7" t="e">
        <f>CONCATENER_MODELCENTER(#REF!,#REF!,#REF!)</f>
        <v>#VALUE!</v>
      </c>
      <c r="AJ24" s="7" t="e">
        <f>CONCATENER_MODELCENTER(#REF!,#REF!,#REF!)</f>
        <v>#VALUE!</v>
      </c>
    </row>
    <row r="25" spans="2:40" x14ac:dyDescent="0.25">
      <c r="U25" s="7"/>
      <c r="V25" s="68"/>
      <c r="Y25" t="e">
        <f>#REF!</f>
        <v>#REF!</v>
      </c>
      <c r="Z25" t="e">
        <f>#REF!</f>
        <v>#REF!</v>
      </c>
      <c r="AA25" t="e">
        <f>#REF!</f>
        <v>#REF!</v>
      </c>
      <c r="AB25" t="e">
        <f>#REF!</f>
        <v>#REF!</v>
      </c>
      <c r="AC25" t="e">
        <f>#REF!</f>
        <v>#REF!</v>
      </c>
      <c r="AD25" s="83" t="e">
        <f>CONCATENATE(IF(#REF!="oui","#",""),"variable: ",Y25," ",Z25," input ","description= """,AB25,""" units= """,AC25,"""")</f>
        <v>#REF!</v>
      </c>
      <c r="AE25" s="7" t="e">
        <f>CONCATENER_MODELCENTER(#REF!,#REF!,#REF!)</f>
        <v>#VALUE!</v>
      </c>
      <c r="AF25" s="7" t="e">
        <f>CONCATENER_MODELCENTER(#REF!,#REF!,#REF!)</f>
        <v>#VALUE!</v>
      </c>
      <c r="AG25" s="7" t="e">
        <f>CONCATENER_MODELCENTER(#REF!,#REF!,#REF!)</f>
        <v>#VALUE!</v>
      </c>
      <c r="AH25" s="7" t="e">
        <f>CONCATENER_MODELCENTER(#REF!,#REF!,#REF!)</f>
        <v>#VALUE!</v>
      </c>
      <c r="AI25" s="7" t="e">
        <f>CONCATENER_MODELCENTER(#REF!,#REF!,#REF!)</f>
        <v>#VALUE!</v>
      </c>
      <c r="AJ25" s="7" t="e">
        <f>CONCATENER_MODELCENTER(#REF!,#REF!,#REF!)</f>
        <v>#VALUE!</v>
      </c>
    </row>
    <row r="26" spans="2:40" x14ac:dyDescent="0.25">
      <c r="U26" s="7"/>
      <c r="V26" s="68"/>
      <c r="Y26" t="e">
        <f>#REF!</f>
        <v>#REF!</v>
      </c>
      <c r="Z26" t="e">
        <f>#REF!</f>
        <v>#REF!</v>
      </c>
      <c r="AA26" t="e">
        <f>#REF!</f>
        <v>#REF!</v>
      </c>
      <c r="AB26" t="e">
        <f>#REF!</f>
        <v>#REF!</v>
      </c>
      <c r="AC26" t="e">
        <f>#REF!</f>
        <v>#REF!</v>
      </c>
      <c r="AD26" s="83" t="e">
        <f>CONCATENATE(IF(#REF!="oui","#",""),"variable: ",Y26," ",Z26," input ","description= """,AB26,""" units= """,AC26,"""")</f>
        <v>#REF!</v>
      </c>
      <c r="AE26" s="7" t="e">
        <f>CONCATENER_MODELCENTER(#REF!,#REF!,#REF!)</f>
        <v>#VALUE!</v>
      </c>
      <c r="AF26" s="7" t="e">
        <f>CONCATENER_MODELCENTER(#REF!,#REF!,#REF!)</f>
        <v>#VALUE!</v>
      </c>
      <c r="AG26" s="7" t="e">
        <f>CONCATENER_MODELCENTER(#REF!,#REF!,#REF!)</f>
        <v>#VALUE!</v>
      </c>
      <c r="AH26" s="7" t="e">
        <f>CONCATENER_MODELCENTER(#REF!,#REF!,#REF!)</f>
        <v>#VALUE!</v>
      </c>
      <c r="AI26" s="7" t="e">
        <f>CONCATENER_MODELCENTER(#REF!,#REF!,#REF!)</f>
        <v>#VALUE!</v>
      </c>
      <c r="AJ26" s="7" t="e">
        <f>CONCATENER_MODELCENTER(#REF!,#REF!,#REF!)</f>
        <v>#VALUE!</v>
      </c>
    </row>
    <row r="27" spans="2:40" x14ac:dyDescent="0.25">
      <c r="U27" s="7"/>
      <c r="V27" s="68"/>
      <c r="Y27" t="e">
        <f>#REF!</f>
        <v>#REF!</v>
      </c>
      <c r="Z27" t="e">
        <f>#REF!</f>
        <v>#REF!</v>
      </c>
      <c r="AA27" t="e">
        <f>#REF!</f>
        <v>#REF!</v>
      </c>
      <c r="AB27" t="e">
        <f>#REF!</f>
        <v>#REF!</v>
      </c>
      <c r="AC27" t="e">
        <f>#REF!</f>
        <v>#REF!</v>
      </c>
      <c r="AD27" s="83" t="e">
        <f>CONCATENATE(IF(#REF!="oui","#",""),"variable: ",Y27," ",Z27," input ","description= """,AB27,""" units= """,AC27,"""")</f>
        <v>#REF!</v>
      </c>
      <c r="AE27" s="7" t="e">
        <f>CONCATENER_MODELCENTER(#REF!,#REF!,#REF!)</f>
        <v>#VALUE!</v>
      </c>
      <c r="AF27" s="7" t="e">
        <f>CONCATENER_MODELCENTER(#REF!,#REF!,#REF!)</f>
        <v>#VALUE!</v>
      </c>
      <c r="AG27" s="7" t="e">
        <f>CONCATENER_MODELCENTER(#REF!,#REF!,#REF!)</f>
        <v>#VALUE!</v>
      </c>
      <c r="AH27" s="7" t="e">
        <f>CONCATENER_MODELCENTER(#REF!,#REF!,#REF!)</f>
        <v>#VALUE!</v>
      </c>
      <c r="AI27" s="7" t="e">
        <f>CONCATENER_MODELCENTER(#REF!,#REF!,#REF!)</f>
        <v>#VALUE!</v>
      </c>
      <c r="AJ27" s="7" t="e">
        <f>CONCATENER_MODELCENTER(#REF!,#REF!,#REF!)</f>
        <v>#VALUE!</v>
      </c>
    </row>
    <row r="28" spans="2:40" x14ac:dyDescent="0.25">
      <c r="U28" s="7"/>
      <c r="V28" s="68"/>
      <c r="Y28" t="e">
        <f>#REF!</f>
        <v>#REF!</v>
      </c>
      <c r="Z28" t="e">
        <f>#REF!</f>
        <v>#REF!</v>
      </c>
      <c r="AA28" t="e">
        <f>#REF!</f>
        <v>#REF!</v>
      </c>
      <c r="AB28" t="e">
        <f>#REF!</f>
        <v>#REF!</v>
      </c>
      <c r="AC28" t="e">
        <f>#REF!</f>
        <v>#REF!</v>
      </c>
      <c r="AD28" s="83" t="e">
        <f>CONCATENATE(IF(#REF!="oui","#",""),"variable: ",Y28," ",Z28," input ","description= """,AB28,""" units= """,AC28,"""")</f>
        <v>#REF!</v>
      </c>
      <c r="AE28" s="7" t="e">
        <f>CONCATENER_MODELCENTER(#REF!,#REF!,#REF!)</f>
        <v>#VALUE!</v>
      </c>
      <c r="AF28" s="7" t="e">
        <f>CONCATENER_MODELCENTER(#REF!,#REF!,#REF!)</f>
        <v>#VALUE!</v>
      </c>
      <c r="AG28" s="7" t="e">
        <f>CONCATENER_MODELCENTER(#REF!,#REF!,#REF!)</f>
        <v>#VALUE!</v>
      </c>
      <c r="AH28" s="7" t="e">
        <f>CONCATENER_MODELCENTER(#REF!,#REF!,#REF!)</f>
        <v>#VALUE!</v>
      </c>
      <c r="AI28" s="7" t="e">
        <f>CONCATENER_MODELCENTER(#REF!,#REF!,#REF!)</f>
        <v>#VALUE!</v>
      </c>
      <c r="AJ28" s="7" t="e">
        <f>CONCATENER_MODELCENTER(#REF!,#REF!,#REF!)</f>
        <v>#VALUE!</v>
      </c>
    </row>
    <row r="29" spans="2:40" x14ac:dyDescent="0.25">
      <c r="U29" s="7"/>
      <c r="V29" s="68"/>
      <c r="Y29" t="e">
        <f>#REF!</f>
        <v>#REF!</v>
      </c>
      <c r="Z29" t="e">
        <f>#REF!</f>
        <v>#REF!</v>
      </c>
      <c r="AA29" t="e">
        <f>#REF!</f>
        <v>#REF!</v>
      </c>
      <c r="AB29" t="e">
        <f>#REF!</f>
        <v>#REF!</v>
      </c>
      <c r="AC29" t="e">
        <f>#REF!</f>
        <v>#REF!</v>
      </c>
      <c r="AD29" s="83" t="e">
        <f>CONCATENATE(IF(#REF!="oui","#",""),"variable: ",Y29," ",Z29," input ","description= """,AB29,""" units= """,AC29,"""")</f>
        <v>#REF!</v>
      </c>
      <c r="AE29" s="7" t="e">
        <f>CONCATENER_MODELCENTER(#REF!,#REF!,#REF!)</f>
        <v>#VALUE!</v>
      </c>
      <c r="AF29" s="7" t="e">
        <f>CONCATENER_MODELCENTER(#REF!,#REF!,#REF!)</f>
        <v>#VALUE!</v>
      </c>
      <c r="AG29" s="7" t="e">
        <f>CONCATENER_MODELCENTER(#REF!,#REF!,#REF!)</f>
        <v>#VALUE!</v>
      </c>
      <c r="AH29" s="7" t="e">
        <f>CONCATENER_MODELCENTER(#REF!,#REF!,#REF!)</f>
        <v>#VALUE!</v>
      </c>
      <c r="AI29" s="7" t="e">
        <f>CONCATENER_MODELCENTER(#REF!,#REF!,#REF!)</f>
        <v>#VALUE!</v>
      </c>
      <c r="AJ29" s="7" t="e">
        <f>CONCATENER_MODELCENTER(#REF!,#REF!,#REF!)</f>
        <v>#VALUE!</v>
      </c>
    </row>
    <row r="30" spans="2:40" x14ac:dyDescent="0.25">
      <c r="U30" s="7"/>
      <c r="V30" s="68"/>
      <c r="Y30" t="e">
        <f>#REF!</f>
        <v>#REF!</v>
      </c>
      <c r="Z30" t="e">
        <f>#REF!</f>
        <v>#REF!</v>
      </c>
      <c r="AA30" t="e">
        <f>#REF!</f>
        <v>#REF!</v>
      </c>
      <c r="AB30" t="e">
        <f>#REF!</f>
        <v>#REF!</v>
      </c>
      <c r="AC30" t="e">
        <f>#REF!</f>
        <v>#REF!</v>
      </c>
      <c r="AD30" s="83" t="e">
        <f>CONCATENATE(IF(#REF!="oui","#",""),"variable: ",Y30," ",Z30," input ","description= """,AB30,""" units= """,AC30,"""")</f>
        <v>#REF!</v>
      </c>
      <c r="AE30" s="7" t="e">
        <f>CONCATENER_MODELCENTER(#REF!,#REF!,#REF!)</f>
        <v>#VALUE!</v>
      </c>
      <c r="AF30" s="7" t="e">
        <f>CONCATENER_MODELCENTER(#REF!,#REF!,#REF!)</f>
        <v>#VALUE!</v>
      </c>
      <c r="AG30" s="7" t="e">
        <f>CONCATENER_MODELCENTER(#REF!,#REF!,#REF!)</f>
        <v>#VALUE!</v>
      </c>
      <c r="AH30" s="7" t="e">
        <f>CONCATENER_MODELCENTER(#REF!,#REF!,#REF!)</f>
        <v>#VALUE!</v>
      </c>
      <c r="AI30" s="7" t="e">
        <f>CONCATENER_MODELCENTER(#REF!,#REF!,#REF!)</f>
        <v>#VALUE!</v>
      </c>
      <c r="AJ30" s="7" t="e">
        <f>CONCATENER_MODELCENTER(#REF!,#REF!,#REF!)</f>
        <v>#VALUE!</v>
      </c>
    </row>
    <row r="31" spans="2:40" x14ac:dyDescent="0.25">
      <c r="U31" s="7"/>
      <c r="V31" s="68"/>
      <c r="Y31" t="e">
        <f>#REF!</f>
        <v>#REF!</v>
      </c>
      <c r="Z31" t="e">
        <f>#REF!</f>
        <v>#REF!</v>
      </c>
      <c r="AA31" t="e">
        <f>#REF!</f>
        <v>#REF!</v>
      </c>
      <c r="AB31" t="e">
        <f>#REF!</f>
        <v>#REF!</v>
      </c>
      <c r="AC31" t="e">
        <f>#REF!</f>
        <v>#REF!</v>
      </c>
      <c r="AD31" s="83" t="e">
        <f>CONCATENATE(IF(#REF!="oui","#",""),"variable: ",Y31," ",Z31," input ","description= """,AB31,""" units= """,AC31,"""")</f>
        <v>#REF!</v>
      </c>
      <c r="AE31" s="7" t="e">
        <f>CONCATENER_MODELCENTER(#REF!,#REF!,#REF!)</f>
        <v>#VALUE!</v>
      </c>
      <c r="AF31" s="7" t="e">
        <f>CONCATENER_MODELCENTER(#REF!,#REF!,#REF!)</f>
        <v>#VALUE!</v>
      </c>
      <c r="AG31" s="7" t="e">
        <f>CONCATENER_MODELCENTER(#REF!,#REF!,#REF!)</f>
        <v>#VALUE!</v>
      </c>
      <c r="AH31" s="7" t="e">
        <f>CONCATENER_MODELCENTER(#REF!,#REF!,#REF!)</f>
        <v>#VALUE!</v>
      </c>
      <c r="AI31" s="7" t="e">
        <f>CONCATENER_MODELCENTER(#REF!,#REF!,#REF!)</f>
        <v>#VALUE!</v>
      </c>
      <c r="AJ31" s="7" t="e">
        <f>CONCATENER_MODELCENTER(#REF!,#REF!,#REF!)</f>
        <v>#VALUE!</v>
      </c>
    </row>
    <row r="32" spans="2:40" x14ac:dyDescent="0.25">
      <c r="U32" s="7"/>
      <c r="V32" s="68"/>
      <c r="Y32" t="e">
        <f>#REF!</f>
        <v>#REF!</v>
      </c>
      <c r="Z32" t="e">
        <f>#REF!</f>
        <v>#REF!</v>
      </c>
      <c r="AA32" t="e">
        <f>#REF!</f>
        <v>#REF!</v>
      </c>
      <c r="AB32" t="e">
        <f>#REF!</f>
        <v>#REF!</v>
      </c>
      <c r="AC32" t="e">
        <f>#REF!</f>
        <v>#REF!</v>
      </c>
      <c r="AD32" s="83" t="e">
        <f>CONCATENATE(IF(#REF!="oui","#",""),"variable: ",Y32," ",Z32," input ","description= """,AB32,""" units= """,AC32,"""")</f>
        <v>#REF!</v>
      </c>
      <c r="AE32" s="7" t="e">
        <f>CONCATENER_MODELCENTER(#REF!,#REF!,#REF!)</f>
        <v>#VALUE!</v>
      </c>
      <c r="AF32" s="7" t="e">
        <f>CONCATENER_MODELCENTER(#REF!,#REF!,#REF!)</f>
        <v>#VALUE!</v>
      </c>
      <c r="AG32" s="7" t="e">
        <f>CONCATENER_MODELCENTER(#REF!,#REF!,#REF!)</f>
        <v>#VALUE!</v>
      </c>
      <c r="AH32" s="7" t="e">
        <f>CONCATENER_MODELCENTER(#REF!,#REF!,#REF!)</f>
        <v>#VALUE!</v>
      </c>
      <c r="AI32" s="7" t="e">
        <f>CONCATENER_MODELCENTER(#REF!,#REF!,#REF!)</f>
        <v>#VALUE!</v>
      </c>
      <c r="AJ32" s="7" t="e">
        <f>CONCATENER_MODELCENTER(#REF!,#REF!,#REF!)</f>
        <v>#VALUE!</v>
      </c>
    </row>
    <row r="33" spans="21:36" ht="12" customHeight="1" x14ac:dyDescent="0.25">
      <c r="U33" s="7"/>
      <c r="V33" s="68"/>
      <c r="Y33" t="e">
        <f>#REF!</f>
        <v>#REF!</v>
      </c>
      <c r="Z33" t="e">
        <f>#REF!</f>
        <v>#REF!</v>
      </c>
      <c r="AA33" t="e">
        <f>#REF!</f>
        <v>#REF!</v>
      </c>
      <c r="AB33" t="e">
        <f>#REF!</f>
        <v>#REF!</v>
      </c>
      <c r="AC33" t="e">
        <f>#REF!</f>
        <v>#REF!</v>
      </c>
      <c r="AD33" s="83" t="e">
        <f>CONCATENATE(IF(#REF!="oui","#",""),"variable: ",Y33," ",Z33," input ","description= """,AB33,""" units= """,AC33,"""")</f>
        <v>#REF!</v>
      </c>
      <c r="AE33" s="7" t="e">
        <f>CONCATENER_MODELCENTER(#REF!,#REF!,#REF!)</f>
        <v>#VALUE!</v>
      </c>
      <c r="AF33" s="7" t="e">
        <f>CONCATENER_MODELCENTER(#REF!,#REF!,#REF!)</f>
        <v>#VALUE!</v>
      </c>
      <c r="AG33" s="7" t="e">
        <f>CONCATENER_MODELCENTER(#REF!,#REF!,#REF!)</f>
        <v>#VALUE!</v>
      </c>
      <c r="AH33" s="7" t="e">
        <f>CONCATENER_MODELCENTER(#REF!,#REF!,#REF!)</f>
        <v>#VALUE!</v>
      </c>
      <c r="AI33" s="7" t="e">
        <f>CONCATENER_MODELCENTER(#REF!,#REF!,#REF!)</f>
        <v>#VALUE!</v>
      </c>
      <c r="AJ33" s="7" t="e">
        <f>CONCATENER_MODELCENTER(#REF!,#REF!,#REF!)</f>
        <v>#VALUE!</v>
      </c>
    </row>
    <row r="34" spans="21:36" ht="12" customHeight="1" x14ac:dyDescent="0.25">
      <c r="U34" s="7"/>
      <c r="V34" s="68"/>
      <c r="Y34" t="e">
        <f>#REF!</f>
        <v>#REF!</v>
      </c>
      <c r="Z34" t="e">
        <f>#REF!</f>
        <v>#REF!</v>
      </c>
      <c r="AA34" t="e">
        <f>#REF!</f>
        <v>#REF!</v>
      </c>
      <c r="AB34" t="e">
        <f>#REF!</f>
        <v>#REF!</v>
      </c>
      <c r="AC34" t="e">
        <f>#REF!</f>
        <v>#REF!</v>
      </c>
      <c r="AD34" s="83" t="e">
        <f>CONCATENATE(IF(#REF!="oui","#",""),"variable: ",Y34," ",Z34," input ","description= """,AB34,""" units= """,AC34,"""")</f>
        <v>#REF!</v>
      </c>
      <c r="AE34" s="7" t="e">
        <f>CONCATENER_MODELCENTER(#REF!,#REF!,#REF!)</f>
        <v>#VALUE!</v>
      </c>
      <c r="AF34" s="7" t="e">
        <f>CONCATENER_MODELCENTER(#REF!,#REF!,#REF!)</f>
        <v>#VALUE!</v>
      </c>
      <c r="AG34" s="7" t="e">
        <f>CONCATENER_MODELCENTER(#REF!,#REF!,#REF!)</f>
        <v>#VALUE!</v>
      </c>
      <c r="AH34" s="7" t="e">
        <f>CONCATENER_MODELCENTER(#REF!,#REF!,#REF!)</f>
        <v>#VALUE!</v>
      </c>
      <c r="AI34" s="7" t="e">
        <f>CONCATENER_MODELCENTER(#REF!,#REF!,#REF!)</f>
        <v>#VALUE!</v>
      </c>
      <c r="AJ34" s="7" t="e">
        <f>CONCATENER_MODELCENTER(#REF!,#REF!,#REF!)</f>
        <v>#VALUE!</v>
      </c>
    </row>
    <row r="35" spans="21:36" ht="12" customHeight="1" x14ac:dyDescent="0.25">
      <c r="U35" s="7"/>
      <c r="V35" s="68"/>
      <c r="Y35" t="e">
        <f>#REF!</f>
        <v>#REF!</v>
      </c>
      <c r="Z35" t="e">
        <f>#REF!</f>
        <v>#REF!</v>
      </c>
      <c r="AA35" t="e">
        <f>#REF!</f>
        <v>#REF!</v>
      </c>
      <c r="AB35" t="e">
        <f>#REF!</f>
        <v>#REF!</v>
      </c>
      <c r="AC35" t="e">
        <f>#REF!</f>
        <v>#REF!</v>
      </c>
      <c r="AD35" s="83" t="e">
        <f>CONCATENATE(IF(#REF!="oui","#",""),"variable: ",Y35," ",Z35," input ","description= """,AB35,""" units= """,AC35,"""")</f>
        <v>#REF!</v>
      </c>
      <c r="AE35" s="7" t="e">
        <f>CONCATENER_MODELCENTER(#REF!,#REF!,#REF!)</f>
        <v>#VALUE!</v>
      </c>
      <c r="AF35" s="7" t="e">
        <f>CONCATENER_MODELCENTER(#REF!,#REF!,#REF!)</f>
        <v>#VALUE!</v>
      </c>
      <c r="AG35" s="7" t="e">
        <f>CONCATENER_MODELCENTER(#REF!,#REF!,#REF!)</f>
        <v>#VALUE!</v>
      </c>
      <c r="AH35" s="7" t="e">
        <f>CONCATENER_MODELCENTER(#REF!,#REF!,#REF!)</f>
        <v>#VALUE!</v>
      </c>
      <c r="AI35" s="7" t="e">
        <f>CONCATENER_MODELCENTER(#REF!,#REF!,#REF!)</f>
        <v>#VALUE!</v>
      </c>
      <c r="AJ35" s="7" t="e">
        <f>CONCATENER_MODELCENTER(#REF!,#REF!,#REF!)</f>
        <v>#VALUE!</v>
      </c>
    </row>
    <row r="36" spans="21:36" ht="12" customHeight="1" x14ac:dyDescent="0.25">
      <c r="U36" s="7"/>
      <c r="V36" s="68"/>
      <c r="Y36" t="e">
        <f>#REF!</f>
        <v>#REF!</v>
      </c>
      <c r="Z36" t="e">
        <f>#REF!</f>
        <v>#REF!</v>
      </c>
      <c r="AA36" t="e">
        <f>#REF!</f>
        <v>#REF!</v>
      </c>
      <c r="AB36" t="e">
        <f>#REF!</f>
        <v>#REF!</v>
      </c>
      <c r="AC36" t="e">
        <f>#REF!</f>
        <v>#REF!</v>
      </c>
      <c r="AD36" s="83" t="e">
        <f>CONCATENATE(IF(#REF!="oui","#",""),"variable: ",Y36," ",Z36," input ","description= """,AB36,""" units= """,AC36,"""")</f>
        <v>#REF!</v>
      </c>
      <c r="AE36" s="7" t="e">
        <f>CONCATENER_MODELCENTER(#REF!,#REF!,#REF!)</f>
        <v>#VALUE!</v>
      </c>
      <c r="AF36" s="7" t="e">
        <f>CONCATENER_MODELCENTER(#REF!,#REF!,#REF!)</f>
        <v>#VALUE!</v>
      </c>
      <c r="AG36" s="7" t="e">
        <f>CONCATENER_MODELCENTER(#REF!,#REF!,#REF!)</f>
        <v>#VALUE!</v>
      </c>
      <c r="AH36" s="7" t="e">
        <f>CONCATENER_MODELCENTER(#REF!,#REF!,#REF!)</f>
        <v>#VALUE!</v>
      </c>
      <c r="AI36" s="7" t="e">
        <f>CONCATENER_MODELCENTER(#REF!,#REF!,#REF!)</f>
        <v>#VALUE!</v>
      </c>
      <c r="AJ36" s="7" t="e">
        <f>CONCATENER_MODELCENTER(#REF!,#REF!,#REF!)</f>
        <v>#VALUE!</v>
      </c>
    </row>
    <row r="37" spans="21:36" x14ac:dyDescent="0.25">
      <c r="U37" s="7"/>
      <c r="V37" s="68"/>
      <c r="Y37" t="e">
        <f>#REF!</f>
        <v>#REF!</v>
      </c>
      <c r="Z37" t="e">
        <f>#REF!</f>
        <v>#REF!</v>
      </c>
      <c r="AA37" t="e">
        <f>#REF!</f>
        <v>#REF!</v>
      </c>
      <c r="AB37" t="e">
        <f>#REF!</f>
        <v>#REF!</v>
      </c>
      <c r="AC37" t="e">
        <f>#REF!</f>
        <v>#REF!</v>
      </c>
      <c r="AD37" s="83" t="e">
        <f>CONCATENATE(IF(#REF!="oui","#",""),"variable: ",Y37," ",Z37," input ","description= """,AB37,""" units= """,AC37,"""")</f>
        <v>#REF!</v>
      </c>
      <c r="AE37" s="7" t="e">
        <f>CONCATENER_MODELCENTER(#REF!,#REF!,#REF!)</f>
        <v>#VALUE!</v>
      </c>
      <c r="AF37" s="7" t="e">
        <f>CONCATENER_MODELCENTER(#REF!,#REF!,#REF!)</f>
        <v>#VALUE!</v>
      </c>
      <c r="AG37" s="7" t="e">
        <f>CONCATENER_MODELCENTER(#REF!,#REF!,#REF!)</f>
        <v>#VALUE!</v>
      </c>
      <c r="AH37" s="7" t="e">
        <f>CONCATENER_MODELCENTER(#REF!,#REF!,#REF!)</f>
        <v>#VALUE!</v>
      </c>
      <c r="AI37" s="7" t="e">
        <f>CONCATENER_MODELCENTER(#REF!,#REF!,#REF!)</f>
        <v>#VALUE!</v>
      </c>
      <c r="AJ37" s="7" t="e">
        <f>CONCATENER_MODELCENTER(#REF!,#REF!,#REF!)</f>
        <v>#VALUE!</v>
      </c>
    </row>
    <row r="38" spans="21:36" x14ac:dyDescent="0.25">
      <c r="U38" s="7"/>
      <c r="V38" s="68"/>
      <c r="Y38" t="e">
        <f>#REF!</f>
        <v>#REF!</v>
      </c>
      <c r="Z38" t="e">
        <f>#REF!</f>
        <v>#REF!</v>
      </c>
      <c r="AA38" t="e">
        <f>#REF!</f>
        <v>#REF!</v>
      </c>
      <c r="AB38" t="e">
        <f>#REF!</f>
        <v>#REF!</v>
      </c>
      <c r="AC38" t="e">
        <f>#REF!</f>
        <v>#REF!</v>
      </c>
      <c r="AD38" s="83" t="e">
        <f>CONCATENATE(IF(#REF!="oui","#",""),"variable: ",Y38," ",Z38," input ","description= """,AB38,""" units= """,AC38,"""")</f>
        <v>#REF!</v>
      </c>
      <c r="AE38" s="7" t="e">
        <f>CONCATENER_MODELCENTER(#REF!,#REF!,#REF!)</f>
        <v>#VALUE!</v>
      </c>
      <c r="AF38" s="7" t="e">
        <f>CONCATENER_MODELCENTER(#REF!,#REF!,#REF!)</f>
        <v>#VALUE!</v>
      </c>
      <c r="AG38" s="7" t="e">
        <f>CONCATENER_MODELCENTER(#REF!,#REF!,#REF!)</f>
        <v>#VALUE!</v>
      </c>
      <c r="AH38" s="7" t="e">
        <f>CONCATENER_MODELCENTER(#REF!,#REF!,#REF!)</f>
        <v>#VALUE!</v>
      </c>
      <c r="AI38" s="7" t="e">
        <f>CONCATENER_MODELCENTER(#REF!,#REF!,#REF!)</f>
        <v>#VALUE!</v>
      </c>
      <c r="AJ38" s="7" t="e">
        <f>CONCATENER_MODELCENTER(#REF!,#REF!,#REF!)</f>
        <v>#VALUE!</v>
      </c>
    </row>
    <row r="39" spans="21:36" x14ac:dyDescent="0.25">
      <c r="U39" s="7"/>
      <c r="V39" s="68"/>
      <c r="Y39" t="e">
        <f>#REF!</f>
        <v>#REF!</v>
      </c>
      <c r="Z39" t="e">
        <f>#REF!</f>
        <v>#REF!</v>
      </c>
      <c r="AA39" t="e">
        <f>#REF!</f>
        <v>#REF!</v>
      </c>
      <c r="AB39" t="e">
        <f>#REF!</f>
        <v>#REF!</v>
      </c>
      <c r="AC39" t="e">
        <f>#REF!</f>
        <v>#REF!</v>
      </c>
      <c r="AD39" s="83" t="e">
        <f>CONCATENATE(IF(#REF!="oui","#",""),"variable: ",Y39," ",Z39," input ","description= """,AB39,""" units= """,AC39,"""")</f>
        <v>#REF!</v>
      </c>
      <c r="AE39" s="7" t="e">
        <f>CONCATENER_MODELCENTER(#REF!,#REF!,#REF!)</f>
        <v>#VALUE!</v>
      </c>
      <c r="AF39" s="7" t="e">
        <f>CONCATENER_MODELCENTER(#REF!,#REF!,#REF!)</f>
        <v>#VALUE!</v>
      </c>
      <c r="AG39" s="7" t="e">
        <f>CONCATENER_MODELCENTER(#REF!,#REF!,#REF!)</f>
        <v>#VALUE!</v>
      </c>
      <c r="AH39" s="7" t="e">
        <f>CONCATENER_MODELCENTER(#REF!,#REF!,#REF!)</f>
        <v>#VALUE!</v>
      </c>
      <c r="AI39" s="7" t="e">
        <f>CONCATENER_MODELCENTER(#REF!,#REF!,#REF!)</f>
        <v>#VALUE!</v>
      </c>
      <c r="AJ39" s="7" t="e">
        <f>CONCATENER_MODELCENTER(#REF!,#REF!,#REF!)</f>
        <v>#VALUE!</v>
      </c>
    </row>
    <row r="40" spans="21:36" x14ac:dyDescent="0.25">
      <c r="U40" s="7"/>
      <c r="V40" s="68"/>
      <c r="Y40" t="e">
        <f>#REF!</f>
        <v>#REF!</v>
      </c>
      <c r="Z40" t="e">
        <f>#REF!</f>
        <v>#REF!</v>
      </c>
      <c r="AA40" t="e">
        <f>#REF!</f>
        <v>#REF!</v>
      </c>
      <c r="AB40" t="e">
        <f>#REF!</f>
        <v>#REF!</v>
      </c>
      <c r="AC40" t="e">
        <f>#REF!</f>
        <v>#REF!</v>
      </c>
      <c r="AD40" s="83" t="e">
        <f>CONCATENATE(IF(#REF!="oui","#",""),"variable: ",Y40," ",Z40," input ","description= """,AB40,""" units= """,AC40,"""")</f>
        <v>#REF!</v>
      </c>
      <c r="AE40" s="7" t="e">
        <f>CONCATENER_MODELCENTER(#REF!,#REF!,#REF!)</f>
        <v>#VALUE!</v>
      </c>
      <c r="AF40" s="7" t="e">
        <f>CONCATENER_MODELCENTER(#REF!,#REF!,#REF!)</f>
        <v>#VALUE!</v>
      </c>
      <c r="AG40" s="7" t="e">
        <f>CONCATENER_MODELCENTER(#REF!,#REF!,#REF!)</f>
        <v>#VALUE!</v>
      </c>
      <c r="AH40" s="7" t="e">
        <f>CONCATENER_MODELCENTER(#REF!,#REF!,#REF!)</f>
        <v>#VALUE!</v>
      </c>
      <c r="AI40" s="7" t="e">
        <f>CONCATENER_MODELCENTER(#REF!,#REF!,#REF!)</f>
        <v>#VALUE!</v>
      </c>
      <c r="AJ40" s="7" t="e">
        <f>CONCATENER_MODELCENTER(#REF!,#REF!,#REF!)</f>
        <v>#VALUE!</v>
      </c>
    </row>
    <row r="41" spans="21:36" x14ac:dyDescent="0.25">
      <c r="U41" s="7"/>
      <c r="V41" s="68"/>
      <c r="Y41" t="e">
        <f>#REF!</f>
        <v>#REF!</v>
      </c>
      <c r="Z41" t="e">
        <f>#REF!</f>
        <v>#REF!</v>
      </c>
      <c r="AA41" t="e">
        <f>#REF!</f>
        <v>#REF!</v>
      </c>
      <c r="AB41" t="e">
        <f>#REF!</f>
        <v>#REF!</v>
      </c>
      <c r="AC41" t="e">
        <f>#REF!</f>
        <v>#REF!</v>
      </c>
      <c r="AD41" s="83" t="e">
        <f>CONCATENATE(IF(#REF!="oui","#",""),"variable: ",Y41," ",Z41," input ","description= """,AB41,""" units= """,AC41,"""")</f>
        <v>#REF!</v>
      </c>
      <c r="AE41" s="7" t="e">
        <f>CONCATENER_MODELCENTER(#REF!,#REF!,#REF!)</f>
        <v>#VALUE!</v>
      </c>
      <c r="AF41" s="7" t="e">
        <f>CONCATENER_MODELCENTER(#REF!,#REF!,#REF!)</f>
        <v>#VALUE!</v>
      </c>
      <c r="AG41" s="7" t="e">
        <f>CONCATENER_MODELCENTER(#REF!,#REF!,#REF!)</f>
        <v>#VALUE!</v>
      </c>
      <c r="AH41" s="7" t="e">
        <f>CONCATENER_MODELCENTER(#REF!,#REF!,#REF!)</f>
        <v>#VALUE!</v>
      </c>
      <c r="AI41" s="7" t="e">
        <f>CONCATENER_MODELCENTER(#REF!,#REF!,#REF!)</f>
        <v>#VALUE!</v>
      </c>
      <c r="AJ41" s="7" t="e">
        <f>CONCATENER_MODELCENTER(#REF!,#REF!,#REF!)</f>
        <v>#VALUE!</v>
      </c>
    </row>
    <row r="42" spans="21:36" x14ac:dyDescent="0.25">
      <c r="U42" s="7"/>
      <c r="V42" s="68"/>
      <c r="Y42" t="e">
        <f>#REF!</f>
        <v>#REF!</v>
      </c>
      <c r="Z42" t="e">
        <f>#REF!</f>
        <v>#REF!</v>
      </c>
      <c r="AA42" t="e">
        <f>#REF!</f>
        <v>#REF!</v>
      </c>
      <c r="AB42" t="e">
        <f>#REF!</f>
        <v>#REF!</v>
      </c>
      <c r="AC42" t="e">
        <f>#REF!</f>
        <v>#REF!</v>
      </c>
      <c r="AD42" s="83" t="e">
        <f>CONCATENATE(IF(#REF!="oui","#",""),"variable: ",Y42," ",Z42," input ","description= """,AB42,""" units= """,AC42,"""")</f>
        <v>#REF!</v>
      </c>
      <c r="AE42" s="7" t="e">
        <f>CONCATENER_MODELCENTER(#REF!,#REF!,#REF!)</f>
        <v>#VALUE!</v>
      </c>
      <c r="AF42" s="7" t="e">
        <f>CONCATENER_MODELCENTER(#REF!,#REF!,#REF!)</f>
        <v>#VALUE!</v>
      </c>
      <c r="AG42" s="7" t="e">
        <f>CONCATENER_MODELCENTER(#REF!,#REF!,#REF!)</f>
        <v>#VALUE!</v>
      </c>
      <c r="AH42" s="7" t="e">
        <f>CONCATENER_MODELCENTER(#REF!,#REF!,#REF!)</f>
        <v>#VALUE!</v>
      </c>
      <c r="AI42" s="7" t="e">
        <f>CONCATENER_MODELCENTER(#REF!,#REF!,#REF!)</f>
        <v>#VALUE!</v>
      </c>
      <c r="AJ42" s="7" t="e">
        <f>CONCATENER_MODELCENTER(#REF!,#REF!,#REF!)</f>
        <v>#VALUE!</v>
      </c>
    </row>
    <row r="43" spans="21:36" x14ac:dyDescent="0.25">
      <c r="U43" s="7"/>
      <c r="V43" s="68"/>
      <c r="Y43" t="e">
        <f>#REF!</f>
        <v>#REF!</v>
      </c>
      <c r="Z43" t="e">
        <f>#REF!</f>
        <v>#REF!</v>
      </c>
      <c r="AA43" t="e">
        <f>#REF!</f>
        <v>#REF!</v>
      </c>
      <c r="AB43" t="e">
        <f>#REF!</f>
        <v>#REF!</v>
      </c>
      <c r="AC43" t="e">
        <f>#REF!</f>
        <v>#REF!</v>
      </c>
      <c r="AD43" s="83" t="e">
        <f>CONCATENATE(IF(#REF!="oui","#",""),"variable: ",Y43," ",Z43," input ","description= """,AB43,""" units= """,AC43,"""")</f>
        <v>#REF!</v>
      </c>
      <c r="AE43" s="7" t="e">
        <f>CONCATENER_MODELCENTER(#REF!,#REF!,#REF!)</f>
        <v>#VALUE!</v>
      </c>
      <c r="AF43" s="7" t="e">
        <f>CONCATENER_MODELCENTER(#REF!,#REF!,#REF!)</f>
        <v>#VALUE!</v>
      </c>
      <c r="AG43" s="7" t="e">
        <f>CONCATENER_MODELCENTER(#REF!,#REF!,#REF!)</f>
        <v>#VALUE!</v>
      </c>
      <c r="AH43" s="7" t="e">
        <f>CONCATENER_MODELCENTER(#REF!,#REF!,#REF!)</f>
        <v>#VALUE!</v>
      </c>
      <c r="AI43" s="7" t="e">
        <f>CONCATENER_MODELCENTER(#REF!,#REF!,#REF!)</f>
        <v>#VALUE!</v>
      </c>
      <c r="AJ43" s="7" t="e">
        <f>CONCATENER_MODELCENTER(#REF!,#REF!,#REF!)</f>
        <v>#VALUE!</v>
      </c>
    </row>
    <row r="44" spans="21:36" x14ac:dyDescent="0.25">
      <c r="U44" s="7"/>
      <c r="V44" s="68"/>
      <c r="Y44" t="e">
        <f>#REF!</f>
        <v>#REF!</v>
      </c>
      <c r="Z44" t="e">
        <f>#REF!</f>
        <v>#REF!</v>
      </c>
      <c r="AA44" t="e">
        <f>#REF!</f>
        <v>#REF!</v>
      </c>
      <c r="AB44" t="e">
        <f>#REF!</f>
        <v>#REF!</v>
      </c>
      <c r="AC44" t="e">
        <f>#REF!</f>
        <v>#REF!</v>
      </c>
      <c r="AD44" s="83" t="e">
        <f>CONCATENATE(IF(#REF!="oui","#",""),"variable: ",Y44," ",Z44," input ","description= """,AB44,""" units= """,AC44,"""")</f>
        <v>#REF!</v>
      </c>
      <c r="AE44" s="7" t="e">
        <f>CONCATENER_MODELCENTER(#REF!,#REF!,#REF!)</f>
        <v>#VALUE!</v>
      </c>
      <c r="AF44" s="7" t="e">
        <f>CONCATENER_MODELCENTER(#REF!,#REF!,#REF!)</f>
        <v>#VALUE!</v>
      </c>
      <c r="AG44" s="7" t="e">
        <f>CONCATENER_MODELCENTER(#REF!,#REF!,#REF!)</f>
        <v>#VALUE!</v>
      </c>
      <c r="AH44" s="7" t="e">
        <f>CONCATENER_MODELCENTER(#REF!,#REF!,#REF!)</f>
        <v>#VALUE!</v>
      </c>
      <c r="AI44" s="7" t="e">
        <f>CONCATENER_MODELCENTER(#REF!,#REF!,#REF!)</f>
        <v>#VALUE!</v>
      </c>
      <c r="AJ44" s="7" t="e">
        <f>CONCATENER_MODELCENTER(#REF!,#REF!,#REF!)</f>
        <v>#VALUE!</v>
      </c>
    </row>
    <row r="45" spans="21:36" x14ac:dyDescent="0.25">
      <c r="U45" s="7"/>
      <c r="V45" s="68"/>
      <c r="Y45" t="e">
        <f>#REF!</f>
        <v>#REF!</v>
      </c>
      <c r="Z45" t="e">
        <f>#REF!</f>
        <v>#REF!</v>
      </c>
      <c r="AA45" t="e">
        <f>#REF!</f>
        <v>#REF!</v>
      </c>
      <c r="AB45" t="e">
        <f>#REF!</f>
        <v>#REF!</v>
      </c>
      <c r="AC45" t="e">
        <f>#REF!</f>
        <v>#REF!</v>
      </c>
      <c r="AD45" s="83" t="e">
        <f>CONCATENATE(IF(#REF!="oui","#",""),"variable: ",Y45," ",Z45," input ","description= """,AB45,""" units= """,AC45,"""")</f>
        <v>#REF!</v>
      </c>
      <c r="AE45" s="7" t="e">
        <f>CONCATENER_MODELCENTER(#REF!,#REF!,#REF!)</f>
        <v>#VALUE!</v>
      </c>
      <c r="AF45" s="7" t="e">
        <f>CONCATENER_MODELCENTER(#REF!,#REF!,#REF!)</f>
        <v>#VALUE!</v>
      </c>
      <c r="AG45" s="7" t="e">
        <f>CONCATENER_MODELCENTER(#REF!,#REF!,#REF!)</f>
        <v>#VALUE!</v>
      </c>
      <c r="AH45" s="7" t="e">
        <f>CONCATENER_MODELCENTER(#REF!,#REF!,#REF!)</f>
        <v>#VALUE!</v>
      </c>
      <c r="AI45" s="7" t="e">
        <f>CONCATENER_MODELCENTER(#REF!,#REF!,#REF!)</f>
        <v>#VALUE!</v>
      </c>
      <c r="AJ45" s="7" t="e">
        <f>CONCATENER_MODELCENTER(#REF!,#REF!,#REF!)</f>
        <v>#VALUE!</v>
      </c>
    </row>
    <row r="46" spans="21:36" x14ac:dyDescent="0.25">
      <c r="U46" s="7"/>
      <c r="V46" s="68"/>
      <c r="Y46" t="e">
        <f>#REF!</f>
        <v>#REF!</v>
      </c>
      <c r="Z46" t="e">
        <f>#REF!</f>
        <v>#REF!</v>
      </c>
      <c r="AA46" t="e">
        <f>#REF!</f>
        <v>#REF!</v>
      </c>
      <c r="AB46" t="e">
        <f>#REF!</f>
        <v>#REF!</v>
      </c>
      <c r="AC46" t="e">
        <f>#REF!</f>
        <v>#REF!</v>
      </c>
      <c r="AD46" s="83" t="e">
        <f>CONCATENATE(IF(#REF!="oui","#",""),"variable: ",Y46," ",Z46," input ","description= """,AB46,""" units= """,AC46,"""")</f>
        <v>#REF!</v>
      </c>
      <c r="AE46" s="7" t="e">
        <f>CONCATENER_MODELCENTER(#REF!,#REF!,#REF!)</f>
        <v>#VALUE!</v>
      </c>
      <c r="AF46" s="7" t="e">
        <f>CONCATENER_MODELCENTER(#REF!,#REF!,#REF!)</f>
        <v>#VALUE!</v>
      </c>
      <c r="AG46" s="7" t="e">
        <f>CONCATENER_MODELCENTER(#REF!,#REF!,#REF!)</f>
        <v>#VALUE!</v>
      </c>
      <c r="AH46" s="7" t="e">
        <f>CONCATENER_MODELCENTER(#REF!,#REF!,#REF!)</f>
        <v>#VALUE!</v>
      </c>
      <c r="AI46" s="7" t="e">
        <f>CONCATENER_MODELCENTER(#REF!,#REF!,#REF!)</f>
        <v>#VALUE!</v>
      </c>
      <c r="AJ46" s="7" t="e">
        <f>CONCATENER_MODELCENTER(#REF!,#REF!,#REF!)</f>
        <v>#VALUE!</v>
      </c>
    </row>
    <row r="47" spans="21:36" x14ac:dyDescent="0.25">
      <c r="U47" s="7"/>
      <c r="V47" s="68"/>
      <c r="Y47" t="e">
        <f>#REF!</f>
        <v>#REF!</v>
      </c>
      <c r="Z47" t="e">
        <f>#REF!</f>
        <v>#REF!</v>
      </c>
      <c r="AA47" t="e">
        <f>#REF!</f>
        <v>#REF!</v>
      </c>
      <c r="AB47" t="e">
        <f>#REF!</f>
        <v>#REF!</v>
      </c>
      <c r="AC47" t="e">
        <f>#REF!</f>
        <v>#REF!</v>
      </c>
      <c r="AD47" s="83" t="e">
        <f>CONCATENATE(IF(#REF!="oui","#",""),"variable: ",Y47," ",Z47," input ","description= """,AB47,""" units= """,AC47,"""")</f>
        <v>#REF!</v>
      </c>
      <c r="AE47" s="7" t="e">
        <f>CONCATENER_MODELCENTER(#REF!,#REF!,#REF!)</f>
        <v>#VALUE!</v>
      </c>
      <c r="AF47" s="7" t="e">
        <f>CONCATENER_MODELCENTER(#REF!,#REF!,#REF!)</f>
        <v>#VALUE!</v>
      </c>
      <c r="AG47" s="7" t="e">
        <f>CONCATENER_MODELCENTER(#REF!,#REF!,#REF!)</f>
        <v>#VALUE!</v>
      </c>
      <c r="AH47" s="7" t="e">
        <f>CONCATENER_MODELCENTER(#REF!,#REF!,#REF!)</f>
        <v>#VALUE!</v>
      </c>
      <c r="AI47" s="7" t="e">
        <f>CONCATENER_MODELCENTER(#REF!,#REF!,#REF!)</f>
        <v>#VALUE!</v>
      </c>
      <c r="AJ47" s="7" t="e">
        <f>CONCATENER_MODELCENTER(#REF!,#REF!,#REF!)</f>
        <v>#VALUE!</v>
      </c>
    </row>
    <row r="48" spans="21:36" x14ac:dyDescent="0.25">
      <c r="U48" s="7"/>
      <c r="V48" s="68"/>
      <c r="Y48" t="e">
        <f>#REF!</f>
        <v>#REF!</v>
      </c>
      <c r="Z48" t="e">
        <f>#REF!</f>
        <v>#REF!</v>
      </c>
      <c r="AA48" t="e">
        <f>#REF!</f>
        <v>#REF!</v>
      </c>
      <c r="AB48" t="e">
        <f>#REF!</f>
        <v>#REF!</v>
      </c>
      <c r="AC48" t="e">
        <f>#REF!</f>
        <v>#REF!</v>
      </c>
      <c r="AD48" s="83" t="e">
        <f>CONCATENATE(IF(#REF!="oui","#",""),"variable: ",Y48," ",Z48," input ","description= """,AB48,""" units= """,AC48,"""")</f>
        <v>#REF!</v>
      </c>
      <c r="AE48" s="7" t="e">
        <f>CONCATENER_MODELCENTER(#REF!,#REF!,#REF!)</f>
        <v>#VALUE!</v>
      </c>
      <c r="AF48" s="7" t="e">
        <f>CONCATENER_MODELCENTER(#REF!,#REF!,#REF!)</f>
        <v>#VALUE!</v>
      </c>
      <c r="AG48" s="7" t="e">
        <f>CONCATENER_MODELCENTER(#REF!,#REF!,#REF!)</f>
        <v>#VALUE!</v>
      </c>
      <c r="AH48" s="7" t="e">
        <f>CONCATENER_MODELCENTER(#REF!,#REF!,#REF!)</f>
        <v>#VALUE!</v>
      </c>
      <c r="AI48" s="7" t="e">
        <f>CONCATENER_MODELCENTER(#REF!,#REF!,#REF!)</f>
        <v>#VALUE!</v>
      </c>
      <c r="AJ48" s="7" t="e">
        <f>CONCATENER_MODELCENTER(#REF!,#REF!,#REF!)</f>
        <v>#VALUE!</v>
      </c>
    </row>
    <row r="49" spans="21:36" x14ac:dyDescent="0.25">
      <c r="U49" s="7"/>
      <c r="V49" s="68"/>
      <c r="Y49" t="e">
        <f>#REF!</f>
        <v>#REF!</v>
      </c>
      <c r="Z49" t="e">
        <f>#REF!</f>
        <v>#REF!</v>
      </c>
      <c r="AA49" t="e">
        <f>#REF!</f>
        <v>#REF!</v>
      </c>
      <c r="AB49" t="e">
        <f>#REF!</f>
        <v>#REF!</v>
      </c>
      <c r="AC49" t="e">
        <f>#REF!</f>
        <v>#REF!</v>
      </c>
      <c r="AD49" s="83" t="e">
        <f>CONCATENATE(IF(#REF!="oui","#",""),"variable: ",Y49," ",Z49," input ","description= """,AB49,""" units= """,AC49,"""")</f>
        <v>#REF!</v>
      </c>
      <c r="AE49" s="7" t="e">
        <f>CONCATENER_MODELCENTER(#REF!,#REF!,#REF!)</f>
        <v>#VALUE!</v>
      </c>
      <c r="AF49" s="7" t="e">
        <f>CONCATENER_MODELCENTER(#REF!,#REF!,#REF!)</f>
        <v>#VALUE!</v>
      </c>
      <c r="AG49" s="7" t="e">
        <f>CONCATENER_MODELCENTER(#REF!,#REF!,#REF!)</f>
        <v>#VALUE!</v>
      </c>
      <c r="AH49" s="7" t="e">
        <f>CONCATENER_MODELCENTER(#REF!,#REF!,#REF!)</f>
        <v>#VALUE!</v>
      </c>
      <c r="AI49" s="7" t="e">
        <f>CONCATENER_MODELCENTER(#REF!,#REF!,#REF!)</f>
        <v>#VALUE!</v>
      </c>
      <c r="AJ49" s="7" t="e">
        <f>CONCATENER_MODELCENTER(#REF!,#REF!,#REF!)</f>
        <v>#VALUE!</v>
      </c>
    </row>
    <row r="50" spans="21:36" x14ac:dyDescent="0.25">
      <c r="U50" s="7"/>
      <c r="V50" s="68"/>
      <c r="Y50" t="e">
        <f>#REF!</f>
        <v>#REF!</v>
      </c>
      <c r="Z50" t="e">
        <f>#REF!</f>
        <v>#REF!</v>
      </c>
      <c r="AA50" t="e">
        <f>#REF!</f>
        <v>#REF!</v>
      </c>
      <c r="AB50" t="e">
        <f>#REF!</f>
        <v>#REF!</v>
      </c>
      <c r="AC50" t="e">
        <f>#REF!</f>
        <v>#REF!</v>
      </c>
      <c r="AD50" s="83" t="e">
        <f>CONCATENATE(IF(#REF!="oui","#",""),"variable: ",Y50," ",Z50," input ","description= """,AB50,""" units= """,AC50,"""")</f>
        <v>#REF!</v>
      </c>
      <c r="AE50" s="7" t="e">
        <f>CONCATENER_MODELCENTER(#REF!,#REF!,#REF!)</f>
        <v>#VALUE!</v>
      </c>
      <c r="AF50" s="7" t="e">
        <f>CONCATENER_MODELCENTER(#REF!,#REF!,#REF!)</f>
        <v>#VALUE!</v>
      </c>
      <c r="AG50" s="7" t="e">
        <f>CONCATENER_MODELCENTER(#REF!,#REF!,#REF!)</f>
        <v>#VALUE!</v>
      </c>
      <c r="AH50" s="7" t="e">
        <f>CONCATENER_MODELCENTER(#REF!,#REF!,#REF!)</f>
        <v>#VALUE!</v>
      </c>
      <c r="AI50" s="7" t="e">
        <f>CONCATENER_MODELCENTER(#REF!,#REF!,#REF!)</f>
        <v>#VALUE!</v>
      </c>
      <c r="AJ50" s="7" t="e">
        <f>CONCATENER_MODELCENTER(#REF!,#REF!,#REF!)</f>
        <v>#VALUE!</v>
      </c>
    </row>
    <row r="51" spans="21:36" x14ac:dyDescent="0.25">
      <c r="U51" s="7"/>
      <c r="V51" s="68"/>
      <c r="Y51" t="e">
        <f>#REF!</f>
        <v>#REF!</v>
      </c>
      <c r="Z51" t="e">
        <f>#REF!</f>
        <v>#REF!</v>
      </c>
      <c r="AA51" t="e">
        <f>#REF!</f>
        <v>#REF!</v>
      </c>
      <c r="AB51" t="e">
        <f>#REF!</f>
        <v>#REF!</v>
      </c>
      <c r="AC51" t="e">
        <f>#REF!</f>
        <v>#REF!</v>
      </c>
      <c r="AD51" s="83" t="e">
        <f>CONCATENATE(IF(#REF!="oui","#",""),"variable: ",Y51," ",Z51," input ","description= """,AB51,""" units= """,AC51,"""")</f>
        <v>#REF!</v>
      </c>
      <c r="AE51" s="7" t="e">
        <f>CONCATENER_MODELCENTER(#REF!,#REF!,#REF!)</f>
        <v>#VALUE!</v>
      </c>
      <c r="AF51" s="7" t="e">
        <f>CONCATENER_MODELCENTER(#REF!,#REF!,#REF!)</f>
        <v>#VALUE!</v>
      </c>
      <c r="AG51" s="7" t="e">
        <f>CONCATENER_MODELCENTER(#REF!,#REF!,#REF!)</f>
        <v>#VALUE!</v>
      </c>
      <c r="AH51" s="7" t="e">
        <f>CONCATENER_MODELCENTER(#REF!,#REF!,#REF!)</f>
        <v>#VALUE!</v>
      </c>
      <c r="AI51" s="7" t="e">
        <f>CONCATENER_MODELCENTER(#REF!,#REF!,#REF!)</f>
        <v>#VALUE!</v>
      </c>
      <c r="AJ51" s="7" t="e">
        <f>CONCATENER_MODELCENTER(#REF!,#REF!,#REF!)</f>
        <v>#VALUE!</v>
      </c>
    </row>
    <row r="52" spans="21:36" x14ac:dyDescent="0.25">
      <c r="U52" s="7"/>
      <c r="V52" s="68"/>
      <c r="Y52" t="e">
        <f>#REF!</f>
        <v>#REF!</v>
      </c>
      <c r="Z52" t="e">
        <f>#REF!</f>
        <v>#REF!</v>
      </c>
      <c r="AA52" t="e">
        <f>#REF!</f>
        <v>#REF!</v>
      </c>
      <c r="AB52" t="e">
        <f>#REF!</f>
        <v>#REF!</v>
      </c>
      <c r="AC52" t="e">
        <f>#REF!</f>
        <v>#REF!</v>
      </c>
      <c r="AD52" s="83" t="e">
        <f>CONCATENATE(IF(#REF!="oui","#",""),"variable: ",Y52," ",Z52," input ","description= """,AB52,""" units= """,AC52,"""")</f>
        <v>#REF!</v>
      </c>
      <c r="AE52" s="7" t="e">
        <f>CONCATENER_MODELCENTER(#REF!,#REF!,#REF!)</f>
        <v>#VALUE!</v>
      </c>
      <c r="AF52" s="7" t="e">
        <f>CONCATENER_MODELCENTER(#REF!,#REF!,#REF!)</f>
        <v>#VALUE!</v>
      </c>
      <c r="AG52" s="7" t="e">
        <f>CONCATENER_MODELCENTER(#REF!,#REF!,#REF!)</f>
        <v>#VALUE!</v>
      </c>
      <c r="AH52" s="7" t="e">
        <f>CONCATENER_MODELCENTER(#REF!,#REF!,#REF!)</f>
        <v>#VALUE!</v>
      </c>
      <c r="AI52" s="7" t="e">
        <f>CONCATENER_MODELCENTER(#REF!,#REF!,#REF!)</f>
        <v>#VALUE!</v>
      </c>
      <c r="AJ52" s="7" t="e">
        <f>CONCATENER_MODELCENTER(#REF!,#REF!,#REF!)</f>
        <v>#VALUE!</v>
      </c>
    </row>
    <row r="53" spans="21:36" x14ac:dyDescent="0.25">
      <c r="U53" s="7"/>
      <c r="V53" s="68"/>
      <c r="Y53" t="e">
        <f>#REF!</f>
        <v>#REF!</v>
      </c>
      <c r="Z53" t="e">
        <f>#REF!</f>
        <v>#REF!</v>
      </c>
      <c r="AA53" t="e">
        <f>#REF!</f>
        <v>#REF!</v>
      </c>
      <c r="AB53" t="e">
        <f>#REF!</f>
        <v>#REF!</v>
      </c>
      <c r="AC53" t="e">
        <f>#REF!</f>
        <v>#REF!</v>
      </c>
      <c r="AD53" s="83" t="e">
        <f>CONCATENATE(IF(#REF!="oui","#",""),"variable: ",Y53," ",Z53," input ","description= """,AB53,""" units= """,AC53,"""")</f>
        <v>#REF!</v>
      </c>
      <c r="AE53" s="7" t="e">
        <f>CONCATENER_MODELCENTER(#REF!,#REF!,#REF!)</f>
        <v>#VALUE!</v>
      </c>
      <c r="AF53" s="7" t="e">
        <f>CONCATENER_MODELCENTER(#REF!,#REF!,#REF!)</f>
        <v>#VALUE!</v>
      </c>
      <c r="AG53" s="7" t="e">
        <f>CONCATENER_MODELCENTER(#REF!,#REF!,#REF!)</f>
        <v>#VALUE!</v>
      </c>
      <c r="AH53" s="7" t="e">
        <f>CONCATENER_MODELCENTER(#REF!,#REF!,#REF!)</f>
        <v>#VALUE!</v>
      </c>
      <c r="AI53" s="7" t="e">
        <f>CONCATENER_MODELCENTER(#REF!,#REF!,#REF!)</f>
        <v>#VALUE!</v>
      </c>
      <c r="AJ53" s="7" t="e">
        <f>CONCATENER_MODELCENTER(#REF!,#REF!,#REF!)</f>
        <v>#VALUE!</v>
      </c>
    </row>
    <row r="54" spans="21:36" x14ac:dyDescent="0.25">
      <c r="U54" s="7"/>
      <c r="V54" s="68"/>
      <c r="Y54" t="e">
        <f>#REF!</f>
        <v>#REF!</v>
      </c>
      <c r="Z54" t="e">
        <f>#REF!</f>
        <v>#REF!</v>
      </c>
      <c r="AA54" t="e">
        <f>#REF!</f>
        <v>#REF!</v>
      </c>
      <c r="AB54" t="e">
        <f>#REF!</f>
        <v>#REF!</v>
      </c>
      <c r="AC54" t="e">
        <f>#REF!</f>
        <v>#REF!</v>
      </c>
      <c r="AD54" s="83" t="e">
        <f>CONCATENATE(IF(#REF!="oui","#",""),"variable: ",Y54," ",Z54," input ","description= """,AB54,""" units= """,AC54,"""")</f>
        <v>#REF!</v>
      </c>
      <c r="AE54" s="7" t="e">
        <f>CONCATENER_MODELCENTER(#REF!,#REF!,#REF!)</f>
        <v>#VALUE!</v>
      </c>
      <c r="AF54" s="7" t="e">
        <f>CONCATENER_MODELCENTER(#REF!,#REF!,#REF!)</f>
        <v>#VALUE!</v>
      </c>
      <c r="AG54" s="7" t="e">
        <f>CONCATENER_MODELCENTER(#REF!,#REF!,#REF!)</f>
        <v>#VALUE!</v>
      </c>
      <c r="AH54" s="7" t="e">
        <f>CONCATENER_MODELCENTER(#REF!,#REF!,#REF!)</f>
        <v>#VALUE!</v>
      </c>
      <c r="AI54" s="7" t="e">
        <f>CONCATENER_MODELCENTER(#REF!,#REF!,#REF!)</f>
        <v>#VALUE!</v>
      </c>
      <c r="AJ54" s="7" t="e">
        <f>CONCATENER_MODELCENTER(#REF!,#REF!,#REF!)</f>
        <v>#VALUE!</v>
      </c>
    </row>
    <row r="55" spans="21:36" x14ac:dyDescent="0.25">
      <c r="U55" s="7"/>
      <c r="V55" s="68"/>
      <c r="Y55" t="e">
        <f>#REF!</f>
        <v>#REF!</v>
      </c>
      <c r="Z55" t="e">
        <f>#REF!</f>
        <v>#REF!</v>
      </c>
      <c r="AA55" t="e">
        <f>#REF!</f>
        <v>#REF!</v>
      </c>
      <c r="AB55" t="e">
        <f>#REF!</f>
        <v>#REF!</v>
      </c>
      <c r="AC55" t="e">
        <f>#REF!</f>
        <v>#REF!</v>
      </c>
      <c r="AD55" s="83" t="e">
        <f>CONCATENATE(IF(#REF!="oui","#",""),"variable: ",Y55," ",Z55," input ","description= """,AB55,""" units= """,AC55,"""")</f>
        <v>#REF!</v>
      </c>
      <c r="AE55" s="7" t="e">
        <f>CONCATENER_MODELCENTER(#REF!,#REF!,#REF!)</f>
        <v>#VALUE!</v>
      </c>
      <c r="AF55" s="7" t="e">
        <f>CONCATENER_MODELCENTER(#REF!,#REF!,#REF!)</f>
        <v>#VALUE!</v>
      </c>
      <c r="AG55" s="7" t="e">
        <f>CONCATENER_MODELCENTER(#REF!,#REF!,#REF!)</f>
        <v>#VALUE!</v>
      </c>
      <c r="AH55" s="7" t="e">
        <f>CONCATENER_MODELCENTER(#REF!,#REF!,#REF!)</f>
        <v>#VALUE!</v>
      </c>
      <c r="AI55" s="7" t="e">
        <f>CONCATENER_MODELCENTER(#REF!,#REF!,#REF!)</f>
        <v>#VALUE!</v>
      </c>
      <c r="AJ55" s="7" t="e">
        <f>CONCATENER_MODELCENTER(#REF!,#REF!,#REF!)</f>
        <v>#VALUE!</v>
      </c>
    </row>
    <row r="56" spans="21:36" x14ac:dyDescent="0.25">
      <c r="U56" s="7"/>
      <c r="V56" s="68"/>
      <c r="Y56" t="e">
        <f>#REF!</f>
        <v>#REF!</v>
      </c>
      <c r="Z56" t="e">
        <f>#REF!</f>
        <v>#REF!</v>
      </c>
      <c r="AA56" t="e">
        <f>#REF!</f>
        <v>#REF!</v>
      </c>
      <c r="AB56" t="e">
        <f>#REF!</f>
        <v>#REF!</v>
      </c>
      <c r="AC56" t="e">
        <f>#REF!</f>
        <v>#REF!</v>
      </c>
      <c r="AD56" s="83" t="e">
        <f>CONCATENATE(IF(#REF!="oui","#",""),"variable: ",Y56," ",Z56," input ","description= """,AB56,""" units= """,AC56,"""")</f>
        <v>#REF!</v>
      </c>
      <c r="AE56" s="7" t="e">
        <f>CONCATENER_MODELCENTER(#REF!,#REF!,#REF!)</f>
        <v>#VALUE!</v>
      </c>
      <c r="AF56" s="7" t="e">
        <f>CONCATENER_MODELCENTER(#REF!,#REF!,#REF!)</f>
        <v>#VALUE!</v>
      </c>
      <c r="AG56" s="7" t="e">
        <f>CONCATENER_MODELCENTER(#REF!,#REF!,#REF!)</f>
        <v>#VALUE!</v>
      </c>
      <c r="AH56" s="7" t="e">
        <f>CONCATENER_MODELCENTER(#REF!,#REF!,#REF!)</f>
        <v>#VALUE!</v>
      </c>
      <c r="AI56" s="7" t="e">
        <f>CONCATENER_MODELCENTER(#REF!,#REF!,#REF!)</f>
        <v>#VALUE!</v>
      </c>
      <c r="AJ56" s="7" t="e">
        <f>CONCATENER_MODELCENTER(#REF!,#REF!,#REF!)</f>
        <v>#VALUE!</v>
      </c>
    </row>
    <row r="57" spans="21:36" x14ac:dyDescent="0.25">
      <c r="U57" s="7"/>
      <c r="V57" s="68"/>
      <c r="Y57" t="e">
        <f>#REF!</f>
        <v>#REF!</v>
      </c>
      <c r="Z57" t="e">
        <f>#REF!</f>
        <v>#REF!</v>
      </c>
      <c r="AA57" t="e">
        <f>#REF!</f>
        <v>#REF!</v>
      </c>
      <c r="AB57" t="e">
        <f>#REF!</f>
        <v>#REF!</v>
      </c>
      <c r="AC57" t="e">
        <f>#REF!</f>
        <v>#REF!</v>
      </c>
      <c r="AD57" s="83" t="e">
        <f>CONCATENATE(IF(#REF!="oui","#",""),"variable: ",Y57," ",Z57," input ","description= """,AB57,""" units= """,AC57,"""")</f>
        <v>#REF!</v>
      </c>
      <c r="AE57" s="7" t="e">
        <f>CONCATENER_MODELCENTER(#REF!,#REF!,#REF!)</f>
        <v>#VALUE!</v>
      </c>
      <c r="AF57" s="7" t="e">
        <f>CONCATENER_MODELCENTER(#REF!,#REF!,#REF!)</f>
        <v>#VALUE!</v>
      </c>
      <c r="AG57" s="7" t="e">
        <f>CONCATENER_MODELCENTER(#REF!,#REF!,#REF!)</f>
        <v>#VALUE!</v>
      </c>
      <c r="AH57" s="7" t="e">
        <f>CONCATENER_MODELCENTER(#REF!,#REF!,#REF!)</f>
        <v>#VALUE!</v>
      </c>
      <c r="AI57" s="7" t="e">
        <f>CONCATENER_MODELCENTER(#REF!,#REF!,#REF!)</f>
        <v>#VALUE!</v>
      </c>
      <c r="AJ57" s="7" t="e">
        <f>CONCATENER_MODELCENTER(#REF!,#REF!,#REF!)</f>
        <v>#VALUE!</v>
      </c>
    </row>
    <row r="58" spans="21:36" x14ac:dyDescent="0.25">
      <c r="U58" s="7"/>
      <c r="V58" s="68"/>
      <c r="Y58" t="e">
        <f>#REF!</f>
        <v>#REF!</v>
      </c>
      <c r="Z58" t="e">
        <f>#REF!</f>
        <v>#REF!</v>
      </c>
      <c r="AA58" t="e">
        <f>#REF!</f>
        <v>#REF!</v>
      </c>
      <c r="AB58" t="e">
        <f>#REF!</f>
        <v>#REF!</v>
      </c>
      <c r="AC58" t="e">
        <f>#REF!</f>
        <v>#REF!</v>
      </c>
      <c r="AD58" s="83" t="e">
        <f>CONCATENATE(IF(#REF!="oui","#",""),"variable: ",Y58," ",Z58," input ","description= """,AB58,""" units= """,AC58,"""")</f>
        <v>#REF!</v>
      </c>
      <c r="AE58" s="7" t="e">
        <f>CONCATENER_MODELCENTER(#REF!,#REF!,#REF!)</f>
        <v>#VALUE!</v>
      </c>
      <c r="AF58" s="7" t="e">
        <f>CONCATENER_MODELCENTER(#REF!,#REF!,#REF!)</f>
        <v>#VALUE!</v>
      </c>
      <c r="AG58" s="7" t="e">
        <f>CONCATENER_MODELCENTER(#REF!,#REF!,#REF!)</f>
        <v>#VALUE!</v>
      </c>
      <c r="AH58" s="7" t="e">
        <f>CONCATENER_MODELCENTER(#REF!,#REF!,#REF!)</f>
        <v>#VALUE!</v>
      </c>
      <c r="AI58" s="7" t="e">
        <f>CONCATENER_MODELCENTER(#REF!,#REF!,#REF!)</f>
        <v>#VALUE!</v>
      </c>
      <c r="AJ58" s="7" t="e">
        <f>CONCATENER_MODELCENTER(#REF!,#REF!,#REF!)</f>
        <v>#VALUE!</v>
      </c>
    </row>
    <row r="59" spans="21:36" x14ac:dyDescent="0.25">
      <c r="U59" s="7"/>
      <c r="V59" s="68"/>
      <c r="Y59" t="e">
        <f>#REF!</f>
        <v>#REF!</v>
      </c>
      <c r="Z59" t="e">
        <f>#REF!</f>
        <v>#REF!</v>
      </c>
      <c r="AA59" t="e">
        <f>#REF!</f>
        <v>#REF!</v>
      </c>
      <c r="AB59" t="e">
        <f>#REF!</f>
        <v>#REF!</v>
      </c>
      <c r="AC59" t="e">
        <f>#REF!</f>
        <v>#REF!</v>
      </c>
      <c r="AD59" s="83" t="e">
        <f>CONCATENATE(IF(#REF!="oui","#",""),"variable: ",Y59," ",Z59," input ","description= """,AB59,""" units= """,AC59,"""")</f>
        <v>#REF!</v>
      </c>
      <c r="AE59" s="7" t="e">
        <f>CONCATENER_MODELCENTER(#REF!,#REF!,#REF!)</f>
        <v>#VALUE!</v>
      </c>
      <c r="AF59" s="7" t="e">
        <f>CONCATENER_MODELCENTER(#REF!,#REF!,#REF!)</f>
        <v>#VALUE!</v>
      </c>
      <c r="AG59" s="7" t="e">
        <f>CONCATENER_MODELCENTER(#REF!,#REF!,#REF!)</f>
        <v>#VALUE!</v>
      </c>
      <c r="AH59" s="7" t="e">
        <f>CONCATENER_MODELCENTER(#REF!,#REF!,#REF!)</f>
        <v>#VALUE!</v>
      </c>
      <c r="AI59" s="7" t="e">
        <f>CONCATENER_MODELCENTER(#REF!,#REF!,#REF!)</f>
        <v>#VALUE!</v>
      </c>
      <c r="AJ59" s="7" t="e">
        <f>CONCATENER_MODELCENTER(#REF!,#REF!,#REF!)</f>
        <v>#VALUE!</v>
      </c>
    </row>
    <row r="60" spans="21:36" x14ac:dyDescent="0.25">
      <c r="U60" s="7"/>
      <c r="V60" s="68"/>
      <c r="Y60" t="e">
        <f>#REF!</f>
        <v>#REF!</v>
      </c>
      <c r="Z60" t="e">
        <f>#REF!</f>
        <v>#REF!</v>
      </c>
      <c r="AA60" t="e">
        <f>#REF!</f>
        <v>#REF!</v>
      </c>
      <c r="AB60" t="e">
        <f>#REF!</f>
        <v>#REF!</v>
      </c>
      <c r="AC60" t="e">
        <f>#REF!</f>
        <v>#REF!</v>
      </c>
      <c r="AD60" s="83" t="e">
        <f>CONCATENATE(IF(#REF!="oui","#",""),"variable: ",Y60," ",Z60," input ","description= """,AB60,""" units= """,AC60,"""")</f>
        <v>#REF!</v>
      </c>
      <c r="AE60" s="7" t="e">
        <f>CONCATENER_MODELCENTER(#REF!,#REF!,#REF!)</f>
        <v>#VALUE!</v>
      </c>
      <c r="AF60" s="7" t="e">
        <f>CONCATENER_MODELCENTER(#REF!,#REF!,#REF!)</f>
        <v>#VALUE!</v>
      </c>
      <c r="AG60" s="7" t="e">
        <f>CONCATENER_MODELCENTER(#REF!,#REF!,#REF!)</f>
        <v>#VALUE!</v>
      </c>
      <c r="AH60" s="7" t="e">
        <f>CONCATENER_MODELCENTER(#REF!,#REF!,#REF!)</f>
        <v>#VALUE!</v>
      </c>
      <c r="AI60" s="7" t="e">
        <f>CONCATENER_MODELCENTER(#REF!,#REF!,#REF!)</f>
        <v>#VALUE!</v>
      </c>
      <c r="AJ60" s="7" t="e">
        <f>CONCATENER_MODELCENTER(#REF!,#REF!,#REF!)</f>
        <v>#VALUE!</v>
      </c>
    </row>
    <row r="61" spans="21:36" x14ac:dyDescent="0.25">
      <c r="U61" s="7"/>
      <c r="V61" s="68"/>
      <c r="Y61" t="e">
        <f>#REF!</f>
        <v>#REF!</v>
      </c>
      <c r="Z61" t="e">
        <f>#REF!</f>
        <v>#REF!</v>
      </c>
      <c r="AA61" t="e">
        <f>#REF!</f>
        <v>#REF!</v>
      </c>
      <c r="AB61" t="e">
        <f>#REF!</f>
        <v>#REF!</v>
      </c>
      <c r="AC61" t="e">
        <f>#REF!</f>
        <v>#REF!</v>
      </c>
      <c r="AD61" s="83" t="e">
        <f>CONCATENATE(IF(#REF!="oui","#",""),"variable: ",Y61," ",Z61," input ","description= """,AB61,""" units= """,AC61,"""")</f>
        <v>#REF!</v>
      </c>
      <c r="AE61" s="7" t="e">
        <f>CONCATENER_MODELCENTER(#REF!,#REF!,#REF!)</f>
        <v>#VALUE!</v>
      </c>
      <c r="AF61" s="7" t="e">
        <f>CONCATENER_MODELCENTER(#REF!,#REF!,#REF!)</f>
        <v>#VALUE!</v>
      </c>
      <c r="AG61" s="7" t="e">
        <f>CONCATENER_MODELCENTER(#REF!,#REF!,#REF!)</f>
        <v>#VALUE!</v>
      </c>
      <c r="AH61" s="7" t="e">
        <f>CONCATENER_MODELCENTER(#REF!,#REF!,#REF!)</f>
        <v>#VALUE!</v>
      </c>
      <c r="AI61" s="7" t="e">
        <f>CONCATENER_MODELCENTER(#REF!,#REF!,#REF!)</f>
        <v>#VALUE!</v>
      </c>
      <c r="AJ61" s="7" t="e">
        <f>CONCATENER_MODELCENTER(#REF!,#REF!,#REF!)</f>
        <v>#VALUE!</v>
      </c>
    </row>
    <row r="62" spans="21:36" x14ac:dyDescent="0.25">
      <c r="U62" s="7"/>
      <c r="V62" s="68"/>
      <c r="Y62" t="e">
        <f>#REF!</f>
        <v>#REF!</v>
      </c>
      <c r="Z62" t="e">
        <f>#REF!</f>
        <v>#REF!</v>
      </c>
      <c r="AA62" t="e">
        <f>#REF!</f>
        <v>#REF!</v>
      </c>
      <c r="AB62" t="e">
        <f>#REF!</f>
        <v>#REF!</v>
      </c>
      <c r="AC62" t="e">
        <f>#REF!</f>
        <v>#REF!</v>
      </c>
      <c r="AD62" s="83" t="e">
        <f>CONCATENATE(IF(#REF!="oui","#",""),"variable: ",Y62," ",Z62," input ","description= """,AB62,""" units= """,AC62,"""")</f>
        <v>#REF!</v>
      </c>
      <c r="AE62" s="7" t="e">
        <f>CONCATENER_MODELCENTER(#REF!,#REF!,#REF!)</f>
        <v>#VALUE!</v>
      </c>
      <c r="AF62" s="7" t="e">
        <f>CONCATENER_MODELCENTER(#REF!,#REF!,#REF!)</f>
        <v>#VALUE!</v>
      </c>
      <c r="AG62" s="7" t="e">
        <f>CONCATENER_MODELCENTER(#REF!,#REF!,#REF!)</f>
        <v>#VALUE!</v>
      </c>
      <c r="AH62" s="7" t="e">
        <f>CONCATENER_MODELCENTER(#REF!,#REF!,#REF!)</f>
        <v>#VALUE!</v>
      </c>
      <c r="AI62" s="7" t="e">
        <f>CONCATENER_MODELCENTER(#REF!,#REF!,#REF!)</f>
        <v>#VALUE!</v>
      </c>
      <c r="AJ62" s="7" t="e">
        <f>CONCATENER_MODELCENTER(#REF!,#REF!,#REF!)</f>
        <v>#VALUE!</v>
      </c>
    </row>
    <row r="63" spans="21:36" x14ac:dyDescent="0.25">
      <c r="U63" s="7"/>
      <c r="V63" s="68"/>
      <c r="Y63" t="e">
        <f>#REF!</f>
        <v>#REF!</v>
      </c>
      <c r="Z63" t="e">
        <f>#REF!</f>
        <v>#REF!</v>
      </c>
      <c r="AA63" t="e">
        <f>#REF!</f>
        <v>#REF!</v>
      </c>
      <c r="AB63" t="e">
        <f>#REF!</f>
        <v>#REF!</v>
      </c>
      <c r="AC63" t="e">
        <f>#REF!</f>
        <v>#REF!</v>
      </c>
      <c r="AD63" s="83" t="e">
        <f>CONCATENATE(IF(#REF!="oui","#",""),"variable: ",Y63," ",Z63," input ","description= """,AB63,""" units= """,AC63,"""")</f>
        <v>#REF!</v>
      </c>
      <c r="AE63" s="7" t="e">
        <f>CONCATENER_MODELCENTER(#REF!,#REF!,#REF!)</f>
        <v>#VALUE!</v>
      </c>
      <c r="AF63" s="7" t="e">
        <f>CONCATENER_MODELCENTER(#REF!,#REF!,#REF!)</f>
        <v>#VALUE!</v>
      </c>
      <c r="AG63" s="7" t="e">
        <f>CONCATENER_MODELCENTER(#REF!,#REF!,#REF!)</f>
        <v>#VALUE!</v>
      </c>
      <c r="AH63" s="7" t="e">
        <f>CONCATENER_MODELCENTER(#REF!,#REF!,#REF!)</f>
        <v>#VALUE!</v>
      </c>
      <c r="AI63" s="7" t="e">
        <f>CONCATENER_MODELCENTER(#REF!,#REF!,#REF!)</f>
        <v>#VALUE!</v>
      </c>
      <c r="AJ63" s="7" t="e">
        <f>CONCATENER_MODELCENTER(#REF!,#REF!,#REF!)</f>
        <v>#VALUE!</v>
      </c>
    </row>
    <row r="64" spans="21:36" ht="13.2" customHeight="1" x14ac:dyDescent="0.25">
      <c r="U64" s="7"/>
      <c r="V64" s="68"/>
      <c r="Y64" t="e">
        <f>#REF!</f>
        <v>#REF!</v>
      </c>
      <c r="Z64" t="e">
        <f>#REF!</f>
        <v>#REF!</v>
      </c>
      <c r="AA64" t="e">
        <f>#REF!</f>
        <v>#REF!</v>
      </c>
      <c r="AB64" t="e">
        <f>#REF!</f>
        <v>#REF!</v>
      </c>
      <c r="AC64" t="e">
        <f>#REF!</f>
        <v>#REF!</v>
      </c>
      <c r="AD64" s="83" t="e">
        <f>CONCATENATE(IF(#REF!="oui","#",""),"variable: ",Y64," ",Z64," input ","description= """,AB64,""" units= """,AC64,"""")</f>
        <v>#REF!</v>
      </c>
      <c r="AE64" s="7" t="e">
        <f>CONCATENER_MODELCENTER(#REF!,#REF!,#REF!)</f>
        <v>#VALUE!</v>
      </c>
      <c r="AF64" s="7" t="e">
        <f>CONCATENER_MODELCENTER(#REF!,#REF!,#REF!)</f>
        <v>#VALUE!</v>
      </c>
      <c r="AG64" s="7" t="e">
        <f>CONCATENER_MODELCENTER(#REF!,#REF!,#REF!)</f>
        <v>#VALUE!</v>
      </c>
      <c r="AH64" s="7" t="e">
        <f>CONCATENER_MODELCENTER(#REF!,#REF!,#REF!)</f>
        <v>#VALUE!</v>
      </c>
      <c r="AI64" s="7" t="e">
        <f>CONCATENER_MODELCENTER(#REF!,#REF!,#REF!)</f>
        <v>#VALUE!</v>
      </c>
      <c r="AJ64" s="7" t="e">
        <f>CONCATENER_MODELCENTER(#REF!,#REF!,#REF!)</f>
        <v>#VALUE!</v>
      </c>
    </row>
    <row r="65" spans="21:36" x14ac:dyDescent="0.25">
      <c r="U65" s="7"/>
      <c r="V65" s="68"/>
      <c r="Y65" t="e">
        <f>#REF!</f>
        <v>#REF!</v>
      </c>
      <c r="Z65" t="e">
        <f>#REF!</f>
        <v>#REF!</v>
      </c>
      <c r="AA65" t="e">
        <f>#REF!</f>
        <v>#REF!</v>
      </c>
      <c r="AB65" t="e">
        <f>#REF!</f>
        <v>#REF!</v>
      </c>
      <c r="AC65" t="e">
        <f>#REF!</f>
        <v>#REF!</v>
      </c>
      <c r="AD65" s="83" t="e">
        <f>CONCATENATE(IF(#REF!="oui","#",""),"variable: ",Y65," ",Z65," input ","description= """,AB65,""" units= """,AC65,"""")</f>
        <v>#REF!</v>
      </c>
      <c r="AE65" s="7" t="e">
        <f>CONCATENER_MODELCENTER(#REF!,#REF!,#REF!)</f>
        <v>#VALUE!</v>
      </c>
      <c r="AF65" s="7" t="e">
        <f>CONCATENER_MODELCENTER(#REF!,#REF!,#REF!)</f>
        <v>#VALUE!</v>
      </c>
      <c r="AG65" s="7" t="e">
        <f>CONCATENER_MODELCENTER(#REF!,#REF!,#REF!)</f>
        <v>#VALUE!</v>
      </c>
      <c r="AH65" s="7" t="e">
        <f>CONCATENER_MODELCENTER(#REF!,#REF!,#REF!)</f>
        <v>#VALUE!</v>
      </c>
      <c r="AI65" s="7" t="e">
        <f>CONCATENER_MODELCENTER(#REF!,#REF!,#REF!)</f>
        <v>#VALUE!</v>
      </c>
      <c r="AJ65" s="7" t="e">
        <f>CONCATENER_MODELCENTER(#REF!,#REF!,#REF!)</f>
        <v>#VALUE!</v>
      </c>
    </row>
    <row r="66" spans="21:36" x14ac:dyDescent="0.25">
      <c r="U66" s="7"/>
      <c r="V66" s="68"/>
      <c r="Y66" t="e">
        <f>#REF!</f>
        <v>#REF!</v>
      </c>
      <c r="Z66" t="e">
        <f>#REF!</f>
        <v>#REF!</v>
      </c>
      <c r="AA66" t="e">
        <f>#REF!</f>
        <v>#REF!</v>
      </c>
      <c r="AB66" t="e">
        <f>#REF!</f>
        <v>#REF!</v>
      </c>
      <c r="AC66" t="e">
        <f>#REF!</f>
        <v>#REF!</v>
      </c>
      <c r="AD66" s="83" t="e">
        <f>CONCATENATE(IF(#REF!="oui","#",""),"variable: ",Y66," ",Z66," input ","description= """,AB66,""" units= """,AC66,"""")</f>
        <v>#REF!</v>
      </c>
      <c r="AE66" s="7" t="e">
        <f>CONCATENER_MODELCENTER(#REF!,#REF!,#REF!)</f>
        <v>#VALUE!</v>
      </c>
      <c r="AF66" s="7" t="e">
        <f>CONCATENER_MODELCENTER(#REF!,#REF!,#REF!)</f>
        <v>#VALUE!</v>
      </c>
      <c r="AG66" s="7" t="e">
        <f>CONCATENER_MODELCENTER(#REF!,#REF!,#REF!)</f>
        <v>#VALUE!</v>
      </c>
      <c r="AH66" s="7" t="e">
        <f>CONCATENER_MODELCENTER(#REF!,#REF!,#REF!)</f>
        <v>#VALUE!</v>
      </c>
      <c r="AI66" s="7" t="e">
        <f>CONCATENER_MODELCENTER(#REF!,#REF!,#REF!)</f>
        <v>#VALUE!</v>
      </c>
      <c r="AJ66" s="7" t="e">
        <f>CONCATENER_MODELCENTER(#REF!,#REF!,#REF!)</f>
        <v>#VALUE!</v>
      </c>
    </row>
    <row r="67" spans="21:36" x14ac:dyDescent="0.25">
      <c r="U67" s="7"/>
      <c r="V67" s="68"/>
      <c r="Y67" t="e">
        <f>#REF!</f>
        <v>#REF!</v>
      </c>
      <c r="Z67" t="e">
        <f>#REF!</f>
        <v>#REF!</v>
      </c>
      <c r="AA67" t="e">
        <f>#REF!</f>
        <v>#REF!</v>
      </c>
      <c r="AB67" t="e">
        <f>#REF!</f>
        <v>#REF!</v>
      </c>
      <c r="AC67" t="e">
        <f>#REF!</f>
        <v>#REF!</v>
      </c>
      <c r="AD67" s="83" t="e">
        <f>CONCATENATE(IF(#REF!="oui","#",""),"variable: ",Y67," ",Z67," input ","description= """,AB67,""" units= """,AC67,"""")</f>
        <v>#REF!</v>
      </c>
      <c r="AE67" s="7" t="e">
        <f>CONCATENER_MODELCENTER(#REF!,#REF!,#REF!)</f>
        <v>#VALUE!</v>
      </c>
      <c r="AF67" s="7" t="e">
        <f>CONCATENER_MODELCENTER(#REF!,#REF!,#REF!)</f>
        <v>#VALUE!</v>
      </c>
      <c r="AG67" s="7" t="e">
        <f>CONCATENER_MODELCENTER(#REF!,#REF!,#REF!)</f>
        <v>#VALUE!</v>
      </c>
      <c r="AH67" s="7" t="e">
        <f>CONCATENER_MODELCENTER(#REF!,#REF!,#REF!)</f>
        <v>#VALUE!</v>
      </c>
      <c r="AI67" s="7" t="e">
        <f>CONCATENER_MODELCENTER(#REF!,#REF!,#REF!)</f>
        <v>#VALUE!</v>
      </c>
      <c r="AJ67" s="7" t="e">
        <f>CONCATENER_MODELCENTER(#REF!,#REF!,#REF!)</f>
        <v>#VALUE!</v>
      </c>
    </row>
    <row r="68" spans="21:36" x14ac:dyDescent="0.25">
      <c r="U68" s="7"/>
      <c r="V68" s="68"/>
      <c r="Y68" t="e">
        <f>#REF!</f>
        <v>#REF!</v>
      </c>
      <c r="Z68" t="e">
        <f>#REF!</f>
        <v>#REF!</v>
      </c>
      <c r="AA68" t="e">
        <f>#REF!</f>
        <v>#REF!</v>
      </c>
      <c r="AB68" t="e">
        <f>#REF!</f>
        <v>#REF!</v>
      </c>
      <c r="AC68" t="e">
        <f>#REF!</f>
        <v>#REF!</v>
      </c>
      <c r="AD68" s="83" t="e">
        <f>CONCATENATE(IF(#REF!="oui","#",""),"variable: ",Y68," ",Z68," input ","description= """,AB68,""" units= """,AC68,"""")</f>
        <v>#REF!</v>
      </c>
      <c r="AE68" s="7" t="e">
        <f>CONCATENER_MODELCENTER(#REF!,#REF!,#REF!)</f>
        <v>#VALUE!</v>
      </c>
      <c r="AF68" s="7" t="e">
        <f>CONCATENER_MODELCENTER(#REF!,#REF!,#REF!)</f>
        <v>#VALUE!</v>
      </c>
      <c r="AG68" s="7" t="e">
        <f>CONCATENER_MODELCENTER(#REF!,#REF!,#REF!)</f>
        <v>#VALUE!</v>
      </c>
      <c r="AH68" s="7" t="e">
        <f>CONCATENER_MODELCENTER(#REF!,#REF!,#REF!)</f>
        <v>#VALUE!</v>
      </c>
      <c r="AI68" s="7" t="e">
        <f>CONCATENER_MODELCENTER(#REF!,#REF!,#REF!)</f>
        <v>#VALUE!</v>
      </c>
      <c r="AJ68" s="7" t="e">
        <f>CONCATENER_MODELCENTER(#REF!,#REF!,#REF!)</f>
        <v>#VALUE!</v>
      </c>
    </row>
    <row r="69" spans="21:36" x14ac:dyDescent="0.25">
      <c r="U69" s="7"/>
      <c r="V69" s="68"/>
      <c r="Y69" t="e">
        <f>#REF!</f>
        <v>#REF!</v>
      </c>
      <c r="Z69" t="e">
        <f>#REF!</f>
        <v>#REF!</v>
      </c>
      <c r="AA69" t="e">
        <f>#REF!</f>
        <v>#REF!</v>
      </c>
      <c r="AB69" t="e">
        <f>#REF!</f>
        <v>#REF!</v>
      </c>
      <c r="AC69" t="e">
        <f>#REF!</f>
        <v>#REF!</v>
      </c>
      <c r="AD69" s="83" t="e">
        <f>CONCATENATE(IF(#REF!="oui","#",""),"variable: ",Y69," ",Z69," input ","description= """,AB69,""" units= """,AC69,"""")</f>
        <v>#REF!</v>
      </c>
      <c r="AE69" s="7" t="e">
        <f>CONCATENER_MODELCENTER(#REF!,#REF!,#REF!)</f>
        <v>#VALUE!</v>
      </c>
      <c r="AF69" s="7" t="e">
        <f>CONCATENER_MODELCENTER(#REF!,#REF!,#REF!)</f>
        <v>#VALUE!</v>
      </c>
      <c r="AG69" s="7" t="e">
        <f>CONCATENER_MODELCENTER(#REF!,#REF!,#REF!)</f>
        <v>#VALUE!</v>
      </c>
      <c r="AH69" s="7" t="e">
        <f>CONCATENER_MODELCENTER(#REF!,#REF!,#REF!)</f>
        <v>#VALUE!</v>
      </c>
      <c r="AI69" s="7" t="e">
        <f>CONCATENER_MODELCENTER(#REF!,#REF!,#REF!)</f>
        <v>#VALUE!</v>
      </c>
      <c r="AJ69" s="7" t="e">
        <f>CONCATENER_MODELCENTER(#REF!,#REF!,#REF!)</f>
        <v>#VALUE!</v>
      </c>
    </row>
    <row r="70" spans="21:36" x14ac:dyDescent="0.25">
      <c r="U70" s="7"/>
      <c r="V70" s="68"/>
      <c r="Y70" t="e">
        <f>#REF!</f>
        <v>#REF!</v>
      </c>
      <c r="Z70" t="e">
        <f>#REF!</f>
        <v>#REF!</v>
      </c>
      <c r="AA70" t="e">
        <f>#REF!</f>
        <v>#REF!</v>
      </c>
      <c r="AB70" t="e">
        <f>#REF!</f>
        <v>#REF!</v>
      </c>
      <c r="AC70" t="e">
        <f>#REF!</f>
        <v>#REF!</v>
      </c>
      <c r="AD70" s="83" t="e">
        <f>CONCATENATE(IF(#REF!="oui","#",""),"variable: ",Y70," ",Z70," input ","description= """,AB70,""" units= """,AC70,"""")</f>
        <v>#REF!</v>
      </c>
      <c r="AE70" s="7" t="e">
        <f>CONCATENER_MODELCENTER(#REF!,#REF!,#REF!)</f>
        <v>#VALUE!</v>
      </c>
      <c r="AF70" s="7" t="e">
        <f>CONCATENER_MODELCENTER(#REF!,#REF!,#REF!)</f>
        <v>#VALUE!</v>
      </c>
      <c r="AG70" s="7" t="e">
        <f>CONCATENER_MODELCENTER(#REF!,#REF!,#REF!)</f>
        <v>#VALUE!</v>
      </c>
      <c r="AH70" s="7" t="e">
        <f>CONCATENER_MODELCENTER(#REF!,#REF!,#REF!)</f>
        <v>#VALUE!</v>
      </c>
      <c r="AI70" s="7" t="e">
        <f>CONCATENER_MODELCENTER(#REF!,#REF!,#REF!)</f>
        <v>#VALUE!</v>
      </c>
      <c r="AJ70" s="7" t="e">
        <f>CONCATENER_MODELCENTER(#REF!,#REF!,#REF!)</f>
        <v>#VALUE!</v>
      </c>
    </row>
    <row r="71" spans="21:36" x14ac:dyDescent="0.25">
      <c r="U71" s="7"/>
      <c r="V71" s="68"/>
      <c r="Y71" t="e">
        <f>#REF!</f>
        <v>#REF!</v>
      </c>
      <c r="Z71" t="e">
        <f>#REF!</f>
        <v>#REF!</v>
      </c>
      <c r="AA71" t="e">
        <f>#REF!</f>
        <v>#REF!</v>
      </c>
      <c r="AB71" t="e">
        <f>#REF!</f>
        <v>#REF!</v>
      </c>
      <c r="AC71" t="e">
        <f>#REF!</f>
        <v>#REF!</v>
      </c>
      <c r="AD71" s="83" t="e">
        <f>CONCATENATE(IF(#REF!="oui","#",""),"variable: ",Y71," ",Z71," input ","description= """,AB71,""" units= """,AC71,"""")</f>
        <v>#REF!</v>
      </c>
      <c r="AE71" s="7" t="e">
        <f>CONCATENER_MODELCENTER(#REF!,#REF!,#REF!)</f>
        <v>#VALUE!</v>
      </c>
      <c r="AF71" s="7" t="e">
        <f>CONCATENER_MODELCENTER(#REF!,#REF!,#REF!)</f>
        <v>#VALUE!</v>
      </c>
      <c r="AG71" s="7" t="e">
        <f>CONCATENER_MODELCENTER(#REF!,#REF!,#REF!)</f>
        <v>#VALUE!</v>
      </c>
      <c r="AH71" s="7" t="e">
        <f>CONCATENER_MODELCENTER(#REF!,#REF!,#REF!)</f>
        <v>#VALUE!</v>
      </c>
      <c r="AI71" s="7" t="e">
        <f>CONCATENER_MODELCENTER(#REF!,#REF!,#REF!)</f>
        <v>#VALUE!</v>
      </c>
      <c r="AJ71" s="7" t="e">
        <f>CONCATENER_MODELCENTER(#REF!,#REF!,#REF!)</f>
        <v>#VALUE!</v>
      </c>
    </row>
    <row r="72" spans="21:36" x14ac:dyDescent="0.25">
      <c r="U72" s="7"/>
      <c r="V72" s="68"/>
      <c r="Y72" t="e">
        <f>#REF!</f>
        <v>#REF!</v>
      </c>
      <c r="Z72" t="e">
        <f>#REF!</f>
        <v>#REF!</v>
      </c>
      <c r="AA72" t="e">
        <f>#REF!</f>
        <v>#REF!</v>
      </c>
      <c r="AB72" t="e">
        <f>#REF!</f>
        <v>#REF!</v>
      </c>
      <c r="AC72" t="e">
        <f>#REF!</f>
        <v>#REF!</v>
      </c>
      <c r="AD72" s="83" t="e">
        <f>CONCATENATE(IF(#REF!="oui","#",""),"variable: ",Y72," ",Z72," input ","description= """,AB72,""" units= """,AC72,"""")</f>
        <v>#REF!</v>
      </c>
      <c r="AE72" s="7" t="e">
        <f>CONCATENER_MODELCENTER(#REF!,#REF!,#REF!)</f>
        <v>#VALUE!</v>
      </c>
      <c r="AF72" s="7" t="e">
        <f>CONCATENER_MODELCENTER(#REF!,#REF!,#REF!)</f>
        <v>#VALUE!</v>
      </c>
      <c r="AG72" s="7" t="e">
        <f>CONCATENER_MODELCENTER(#REF!,#REF!,#REF!)</f>
        <v>#VALUE!</v>
      </c>
      <c r="AH72" s="7" t="e">
        <f>CONCATENER_MODELCENTER(#REF!,#REF!,#REF!)</f>
        <v>#VALUE!</v>
      </c>
      <c r="AI72" s="7" t="e">
        <f>CONCATENER_MODELCENTER(#REF!,#REF!,#REF!)</f>
        <v>#VALUE!</v>
      </c>
      <c r="AJ72" s="7" t="e">
        <f>CONCATENER_MODELCENTER(#REF!,#REF!,#REF!)</f>
        <v>#VALUE!</v>
      </c>
    </row>
    <row r="73" spans="21:36" x14ac:dyDescent="0.25">
      <c r="U73" s="7"/>
      <c r="V73" s="68"/>
      <c r="Y73" t="e">
        <f>#REF!</f>
        <v>#REF!</v>
      </c>
      <c r="Z73" t="e">
        <f>#REF!</f>
        <v>#REF!</v>
      </c>
      <c r="AA73" t="e">
        <f>#REF!</f>
        <v>#REF!</v>
      </c>
      <c r="AB73" t="e">
        <f>#REF!</f>
        <v>#REF!</v>
      </c>
      <c r="AC73" t="e">
        <f>#REF!</f>
        <v>#REF!</v>
      </c>
      <c r="AD73" s="83" t="e">
        <f>CONCATENATE(IF(#REF!="oui","#",""),"variable: ",Y73," ",Z73," input ","description= """,AB73,""" units= """,AC73,"""")</f>
        <v>#REF!</v>
      </c>
      <c r="AE73" s="7" t="e">
        <f>CONCATENER_MODELCENTER(#REF!,#REF!,#REF!)</f>
        <v>#VALUE!</v>
      </c>
      <c r="AF73" s="7" t="e">
        <f>CONCATENER_MODELCENTER(#REF!,#REF!,#REF!)</f>
        <v>#VALUE!</v>
      </c>
      <c r="AG73" s="7" t="e">
        <f>CONCATENER_MODELCENTER(#REF!,#REF!,#REF!)</f>
        <v>#VALUE!</v>
      </c>
      <c r="AH73" s="7" t="e">
        <f>CONCATENER_MODELCENTER(#REF!,#REF!,#REF!)</f>
        <v>#VALUE!</v>
      </c>
      <c r="AI73" s="7" t="e">
        <f>CONCATENER_MODELCENTER(#REF!,#REF!,#REF!)</f>
        <v>#VALUE!</v>
      </c>
      <c r="AJ73" s="7" t="e">
        <f>CONCATENER_MODELCENTER(#REF!,#REF!,#REF!)</f>
        <v>#VALUE!</v>
      </c>
    </row>
    <row r="74" spans="21:36" ht="12.75" customHeight="1" x14ac:dyDescent="0.25">
      <c r="U74" s="7"/>
      <c r="V74" s="68"/>
      <c r="Y74" t="e">
        <f>#REF!</f>
        <v>#REF!</v>
      </c>
      <c r="Z74" t="e">
        <f>#REF!</f>
        <v>#REF!</v>
      </c>
      <c r="AA74" t="e">
        <f>#REF!</f>
        <v>#REF!</v>
      </c>
      <c r="AB74" t="e">
        <f>#REF!</f>
        <v>#REF!</v>
      </c>
      <c r="AC74" t="e">
        <f>#REF!</f>
        <v>#REF!</v>
      </c>
      <c r="AD74" s="83" t="e">
        <f>CONCATENATE(IF(#REF!="oui","#",""),"variable: ",Y74," ",Z74," input ","description= """,AB74,""" units= """,AC74,"""")</f>
        <v>#REF!</v>
      </c>
      <c r="AE74" s="7" t="e">
        <f>CONCATENER_MODELCENTER(#REF!,#REF!,#REF!)</f>
        <v>#VALUE!</v>
      </c>
      <c r="AF74" s="7" t="e">
        <f>CONCATENER_MODELCENTER(#REF!,#REF!,#REF!)</f>
        <v>#VALUE!</v>
      </c>
      <c r="AG74" s="7" t="e">
        <f>CONCATENER_MODELCENTER(#REF!,#REF!,#REF!)</f>
        <v>#VALUE!</v>
      </c>
      <c r="AH74" s="7" t="e">
        <f>CONCATENER_MODELCENTER(#REF!,#REF!,#REF!)</f>
        <v>#VALUE!</v>
      </c>
      <c r="AI74" s="7" t="e">
        <f>CONCATENER_MODELCENTER(#REF!,#REF!,#REF!)</f>
        <v>#VALUE!</v>
      </c>
      <c r="AJ74" s="7" t="e">
        <f>CONCATENER_MODELCENTER(#REF!,#REF!,#REF!)</f>
        <v>#VALUE!</v>
      </c>
    </row>
    <row r="75" spans="21:36" x14ac:dyDescent="0.25">
      <c r="U75" s="7"/>
      <c r="V75" s="68"/>
      <c r="Y75" t="e">
        <f>#REF!</f>
        <v>#REF!</v>
      </c>
      <c r="Z75" t="e">
        <f>#REF!</f>
        <v>#REF!</v>
      </c>
      <c r="AA75" t="e">
        <f>#REF!</f>
        <v>#REF!</v>
      </c>
      <c r="AB75" t="e">
        <f>#REF!</f>
        <v>#REF!</v>
      </c>
      <c r="AC75" t="e">
        <f>#REF!</f>
        <v>#REF!</v>
      </c>
      <c r="AD75" s="83" t="e">
        <f>CONCATENATE(IF(#REF!="oui","#",""),"variable: ",Y75," ",Z75," input ","description= """,AB75,""" units= """,AC75,"""")</f>
        <v>#REF!</v>
      </c>
      <c r="AE75" s="7" t="e">
        <f>CONCATENER_MODELCENTER(#REF!,#REF!,#REF!)</f>
        <v>#VALUE!</v>
      </c>
      <c r="AF75" s="7" t="e">
        <f>CONCATENER_MODELCENTER(#REF!,#REF!,#REF!)</f>
        <v>#VALUE!</v>
      </c>
      <c r="AG75" s="7" t="e">
        <f>CONCATENER_MODELCENTER(#REF!,#REF!,#REF!)</f>
        <v>#VALUE!</v>
      </c>
      <c r="AH75" s="7" t="e">
        <f>CONCATENER_MODELCENTER(#REF!,#REF!,#REF!)</f>
        <v>#VALUE!</v>
      </c>
      <c r="AI75" s="7" t="e">
        <f>CONCATENER_MODELCENTER(#REF!,#REF!,#REF!)</f>
        <v>#VALUE!</v>
      </c>
      <c r="AJ75" s="7" t="e">
        <f>CONCATENER_MODELCENTER(#REF!,#REF!,#REF!)</f>
        <v>#VALUE!</v>
      </c>
    </row>
    <row r="76" spans="21:36" x14ac:dyDescent="0.25">
      <c r="U76" s="7"/>
      <c r="V76" s="68"/>
      <c r="Y76" t="e">
        <f>#REF!</f>
        <v>#REF!</v>
      </c>
      <c r="Z76" t="e">
        <f>#REF!</f>
        <v>#REF!</v>
      </c>
      <c r="AA76" t="e">
        <f>#REF!</f>
        <v>#REF!</v>
      </c>
      <c r="AB76" t="e">
        <f>#REF!</f>
        <v>#REF!</v>
      </c>
      <c r="AC76" t="e">
        <f>#REF!</f>
        <v>#REF!</v>
      </c>
      <c r="AD76" s="83" t="e">
        <f>CONCATENATE(IF(#REF!="oui","#",""),"variable: ",Y76," ",Z76," input ","description= """,AB76,""" units= """,AC76,"""")</f>
        <v>#REF!</v>
      </c>
      <c r="AE76" s="7" t="e">
        <f>CONCATENER_MODELCENTER(#REF!,#REF!,#REF!)</f>
        <v>#VALUE!</v>
      </c>
      <c r="AF76" s="7" t="e">
        <f>CONCATENER_MODELCENTER(#REF!,#REF!,#REF!)</f>
        <v>#VALUE!</v>
      </c>
      <c r="AG76" s="7" t="e">
        <f>CONCATENER_MODELCENTER(#REF!,#REF!,#REF!)</f>
        <v>#VALUE!</v>
      </c>
      <c r="AH76" s="7" t="e">
        <f>CONCATENER_MODELCENTER(#REF!,#REF!,#REF!)</f>
        <v>#VALUE!</v>
      </c>
      <c r="AI76" s="7" t="e">
        <f>CONCATENER_MODELCENTER(#REF!,#REF!,#REF!)</f>
        <v>#VALUE!</v>
      </c>
      <c r="AJ76" s="7" t="e">
        <f>CONCATENER_MODELCENTER(#REF!,#REF!,#REF!)</f>
        <v>#VALUE!</v>
      </c>
    </row>
    <row r="77" spans="21:36" x14ac:dyDescent="0.25">
      <c r="U77" s="7"/>
      <c r="V77" s="68"/>
      <c r="Y77" t="e">
        <f>#REF!</f>
        <v>#REF!</v>
      </c>
      <c r="Z77" t="e">
        <f>#REF!</f>
        <v>#REF!</v>
      </c>
      <c r="AA77" t="e">
        <f>#REF!</f>
        <v>#REF!</v>
      </c>
      <c r="AB77" t="e">
        <f>#REF!</f>
        <v>#REF!</v>
      </c>
      <c r="AC77" t="e">
        <f>#REF!</f>
        <v>#REF!</v>
      </c>
      <c r="AD77" s="83" t="e">
        <f>CONCATENATE(IF(#REF!="oui","#",""),"variable: ",Y77," ",Z77," input ","description= """,AB77,""" units= """,AC77,"""")</f>
        <v>#REF!</v>
      </c>
      <c r="AE77" s="7" t="e">
        <f>CONCATENER_MODELCENTER(#REF!,#REF!,#REF!)</f>
        <v>#VALUE!</v>
      </c>
      <c r="AF77" s="7" t="e">
        <f>CONCATENER_MODELCENTER(#REF!,#REF!,#REF!)</f>
        <v>#VALUE!</v>
      </c>
      <c r="AG77" s="7" t="e">
        <f>CONCATENER_MODELCENTER(#REF!,#REF!,#REF!)</f>
        <v>#VALUE!</v>
      </c>
      <c r="AH77" s="7" t="e">
        <f>CONCATENER_MODELCENTER(#REF!,#REF!,#REF!)</f>
        <v>#VALUE!</v>
      </c>
      <c r="AI77" s="7" t="e">
        <f>CONCATENER_MODELCENTER(#REF!,#REF!,#REF!)</f>
        <v>#VALUE!</v>
      </c>
      <c r="AJ77" s="7" t="e">
        <f>CONCATENER_MODELCENTER(#REF!,#REF!,#REF!)</f>
        <v>#VALUE!</v>
      </c>
    </row>
    <row r="78" spans="21:36" x14ac:dyDescent="0.25">
      <c r="U78" s="7"/>
      <c r="V78" s="68"/>
      <c r="Y78" t="e">
        <f>#REF!</f>
        <v>#REF!</v>
      </c>
      <c r="Z78" t="e">
        <f>#REF!</f>
        <v>#REF!</v>
      </c>
      <c r="AA78" t="e">
        <f>#REF!</f>
        <v>#REF!</v>
      </c>
      <c r="AB78" t="e">
        <f>#REF!</f>
        <v>#REF!</v>
      </c>
      <c r="AC78" t="e">
        <f>#REF!</f>
        <v>#REF!</v>
      </c>
      <c r="AD78" s="83" t="e">
        <f>CONCATENATE(IF(#REF!="oui","#",""),"variable: ",Y78," ",Z78," input ","description= """,AB78,""" units= """,AC78,"""")</f>
        <v>#REF!</v>
      </c>
      <c r="AE78" s="7" t="e">
        <f>CONCATENER_MODELCENTER(#REF!,#REF!,#REF!)</f>
        <v>#VALUE!</v>
      </c>
      <c r="AF78" s="7" t="e">
        <f>CONCATENER_MODELCENTER(#REF!,#REF!,#REF!)</f>
        <v>#VALUE!</v>
      </c>
      <c r="AG78" s="7" t="e">
        <f>CONCATENER_MODELCENTER(#REF!,#REF!,#REF!)</f>
        <v>#VALUE!</v>
      </c>
      <c r="AH78" s="7" t="e">
        <f>CONCATENER_MODELCENTER(#REF!,#REF!,#REF!)</f>
        <v>#VALUE!</v>
      </c>
      <c r="AI78" s="7" t="e">
        <f>CONCATENER_MODELCENTER(#REF!,#REF!,#REF!)</f>
        <v>#VALUE!</v>
      </c>
      <c r="AJ78" s="7" t="e">
        <f>CONCATENER_MODELCENTER(#REF!,#REF!,#REF!)</f>
        <v>#VALUE!</v>
      </c>
    </row>
    <row r="79" spans="21:36" x14ac:dyDescent="0.25">
      <c r="U79" s="7"/>
      <c r="V79" s="68"/>
      <c r="Y79" t="e">
        <f>#REF!</f>
        <v>#REF!</v>
      </c>
      <c r="Z79" t="e">
        <f>#REF!</f>
        <v>#REF!</v>
      </c>
      <c r="AA79" t="e">
        <f>#REF!</f>
        <v>#REF!</v>
      </c>
      <c r="AB79" t="e">
        <f>#REF!</f>
        <v>#REF!</v>
      </c>
      <c r="AC79" t="e">
        <f>#REF!</f>
        <v>#REF!</v>
      </c>
      <c r="AD79" s="83" t="e">
        <f>CONCATENATE(IF(#REF!="oui","#",""),"variable: ",Y79," ",Z79," input ","description= """,AB79,""" units= """,AC79,"""")</f>
        <v>#REF!</v>
      </c>
      <c r="AE79" s="7" t="e">
        <f>CONCATENER_MODELCENTER(#REF!,#REF!,#REF!)</f>
        <v>#VALUE!</v>
      </c>
      <c r="AF79" s="7" t="e">
        <f>CONCATENER_MODELCENTER(#REF!,#REF!,#REF!)</f>
        <v>#VALUE!</v>
      </c>
      <c r="AG79" s="7" t="e">
        <f>CONCATENER_MODELCENTER(#REF!,#REF!,#REF!)</f>
        <v>#VALUE!</v>
      </c>
      <c r="AH79" s="7" t="e">
        <f>CONCATENER_MODELCENTER(#REF!,#REF!,#REF!)</f>
        <v>#VALUE!</v>
      </c>
      <c r="AI79" s="7" t="e">
        <f>CONCATENER_MODELCENTER(#REF!,#REF!,#REF!)</f>
        <v>#VALUE!</v>
      </c>
      <c r="AJ79" s="7" t="e">
        <f>CONCATENER_MODELCENTER(#REF!,#REF!,#REF!)</f>
        <v>#VALUE!</v>
      </c>
    </row>
    <row r="80" spans="21:36" x14ac:dyDescent="0.25">
      <c r="U80" s="7"/>
      <c r="V80" s="68"/>
      <c r="Y80" t="e">
        <f>#REF!</f>
        <v>#REF!</v>
      </c>
      <c r="Z80" t="e">
        <f>#REF!</f>
        <v>#REF!</v>
      </c>
      <c r="AA80" t="e">
        <f>#REF!</f>
        <v>#REF!</v>
      </c>
      <c r="AB80" t="e">
        <f>#REF!</f>
        <v>#REF!</v>
      </c>
      <c r="AC80" t="e">
        <f>#REF!</f>
        <v>#REF!</v>
      </c>
      <c r="AD80" s="83" t="e">
        <f>CONCATENATE(IF(#REF!="oui","#",""),"variable: ",Y80," ",Z80," input ","description= """,AB80,""" units= """,AC80,"""")</f>
        <v>#REF!</v>
      </c>
      <c r="AE80" s="7" t="e">
        <f>CONCATENER_MODELCENTER(#REF!,#REF!,#REF!)</f>
        <v>#VALUE!</v>
      </c>
      <c r="AF80" s="7" t="e">
        <f>CONCATENER_MODELCENTER(#REF!,#REF!,#REF!)</f>
        <v>#VALUE!</v>
      </c>
      <c r="AG80" s="7" t="e">
        <f>CONCATENER_MODELCENTER(#REF!,#REF!,#REF!)</f>
        <v>#VALUE!</v>
      </c>
      <c r="AH80" s="7" t="e">
        <f>CONCATENER_MODELCENTER(#REF!,#REF!,#REF!)</f>
        <v>#VALUE!</v>
      </c>
      <c r="AI80" s="7" t="e">
        <f>CONCATENER_MODELCENTER(#REF!,#REF!,#REF!)</f>
        <v>#VALUE!</v>
      </c>
      <c r="AJ80" s="7" t="e">
        <f>CONCATENER_MODELCENTER(#REF!,#REF!,#REF!)</f>
        <v>#VALUE!</v>
      </c>
    </row>
    <row r="81" spans="21:36" x14ac:dyDescent="0.25">
      <c r="U81" s="7"/>
      <c r="V81" s="68"/>
      <c r="Y81" t="e">
        <f>#REF!</f>
        <v>#REF!</v>
      </c>
      <c r="Z81" t="e">
        <f>#REF!</f>
        <v>#REF!</v>
      </c>
      <c r="AA81" t="e">
        <f>#REF!</f>
        <v>#REF!</v>
      </c>
      <c r="AB81" t="e">
        <f>#REF!</f>
        <v>#REF!</v>
      </c>
      <c r="AC81" t="e">
        <f>#REF!</f>
        <v>#REF!</v>
      </c>
      <c r="AD81" s="83" t="e">
        <f>CONCATENATE(IF(#REF!="oui","#",""),"variable: ",Y81," ",Z81," input ","description= """,AB81,""" units= """,AC81,"""")</f>
        <v>#REF!</v>
      </c>
      <c r="AE81" s="7" t="e">
        <f>CONCATENER_MODELCENTER(#REF!,#REF!,#REF!)</f>
        <v>#VALUE!</v>
      </c>
      <c r="AF81" s="7" t="e">
        <f>CONCATENER_MODELCENTER(#REF!,#REF!,#REF!)</f>
        <v>#VALUE!</v>
      </c>
      <c r="AG81" s="7" t="e">
        <f>CONCATENER_MODELCENTER(#REF!,#REF!,#REF!)</f>
        <v>#VALUE!</v>
      </c>
      <c r="AH81" s="7" t="e">
        <f>CONCATENER_MODELCENTER(#REF!,#REF!,#REF!)</f>
        <v>#VALUE!</v>
      </c>
      <c r="AI81" s="7" t="e">
        <f>CONCATENER_MODELCENTER(#REF!,#REF!,#REF!)</f>
        <v>#VALUE!</v>
      </c>
      <c r="AJ81" s="7" t="e">
        <f>CONCATENER_MODELCENTER(#REF!,#REF!,#REF!)</f>
        <v>#VALUE!</v>
      </c>
    </row>
    <row r="82" spans="21:36" x14ac:dyDescent="0.25">
      <c r="U82" s="7"/>
      <c r="V82" s="68"/>
      <c r="Y82" t="e">
        <f>#REF!</f>
        <v>#REF!</v>
      </c>
      <c r="Z82" t="e">
        <f>#REF!</f>
        <v>#REF!</v>
      </c>
      <c r="AA82" t="e">
        <f>#REF!</f>
        <v>#REF!</v>
      </c>
      <c r="AB82" t="e">
        <f>#REF!</f>
        <v>#REF!</v>
      </c>
      <c r="AC82" t="e">
        <f>#REF!</f>
        <v>#REF!</v>
      </c>
      <c r="AD82" s="83" t="e">
        <f>CONCATENATE(IF(#REF!="oui","#",""),"variable: ",Y82," ",Z82," input ","description= """,AB82,""" units= """,AC82,"""")</f>
        <v>#REF!</v>
      </c>
      <c r="AE82" s="7" t="e">
        <f>CONCATENER_MODELCENTER(#REF!,#REF!,#REF!)</f>
        <v>#VALUE!</v>
      </c>
      <c r="AF82" s="7" t="e">
        <f>CONCATENER_MODELCENTER(#REF!,#REF!,#REF!)</f>
        <v>#VALUE!</v>
      </c>
      <c r="AG82" s="7" t="e">
        <f>CONCATENER_MODELCENTER(#REF!,#REF!,#REF!)</f>
        <v>#VALUE!</v>
      </c>
      <c r="AH82" s="7" t="e">
        <f>CONCATENER_MODELCENTER(#REF!,#REF!,#REF!)</f>
        <v>#VALUE!</v>
      </c>
      <c r="AI82" s="7" t="e">
        <f>CONCATENER_MODELCENTER(#REF!,#REF!,#REF!)</f>
        <v>#VALUE!</v>
      </c>
      <c r="AJ82" s="7" t="e">
        <f>CONCATENER_MODELCENTER(#REF!,#REF!,#REF!)</f>
        <v>#VALUE!</v>
      </c>
    </row>
    <row r="83" spans="21:36" x14ac:dyDescent="0.25">
      <c r="U83" s="7"/>
      <c r="V83" s="68"/>
      <c r="Y83" t="e">
        <f>#REF!</f>
        <v>#REF!</v>
      </c>
      <c r="Z83" t="e">
        <f>#REF!</f>
        <v>#REF!</v>
      </c>
      <c r="AA83" t="e">
        <f>#REF!</f>
        <v>#REF!</v>
      </c>
      <c r="AB83" t="e">
        <f>#REF!</f>
        <v>#REF!</v>
      </c>
      <c r="AC83" t="e">
        <f>#REF!</f>
        <v>#REF!</v>
      </c>
      <c r="AD83" s="83" t="e">
        <f>CONCATENATE(IF(#REF!="oui","#",""),"variable: ",Y83," ",Z83," input ","description= """,AB83,""" units= """,AC83,"""")</f>
        <v>#REF!</v>
      </c>
      <c r="AE83" s="7" t="e">
        <f>CONCATENER_MODELCENTER(#REF!,#REF!,#REF!)</f>
        <v>#VALUE!</v>
      </c>
      <c r="AF83" s="7" t="e">
        <f>CONCATENER_MODELCENTER(#REF!,#REF!,#REF!)</f>
        <v>#VALUE!</v>
      </c>
      <c r="AG83" s="7" t="e">
        <f>CONCATENER_MODELCENTER(#REF!,#REF!,#REF!)</f>
        <v>#VALUE!</v>
      </c>
      <c r="AH83" s="7" t="e">
        <f>CONCATENER_MODELCENTER(#REF!,#REF!,#REF!)</f>
        <v>#VALUE!</v>
      </c>
      <c r="AI83" s="7" t="e">
        <f>CONCATENER_MODELCENTER(#REF!,#REF!,#REF!)</f>
        <v>#VALUE!</v>
      </c>
      <c r="AJ83" s="7" t="e">
        <f>CONCATENER_MODELCENTER(#REF!,#REF!,#REF!)</f>
        <v>#VALUE!</v>
      </c>
    </row>
    <row r="84" spans="21:36" x14ac:dyDescent="0.25">
      <c r="U84" s="7"/>
      <c r="V84" s="68"/>
      <c r="Y84" t="e">
        <f>#REF!</f>
        <v>#REF!</v>
      </c>
      <c r="Z84" t="e">
        <f>#REF!</f>
        <v>#REF!</v>
      </c>
      <c r="AA84" t="e">
        <f>#REF!</f>
        <v>#REF!</v>
      </c>
      <c r="AB84" t="e">
        <f>#REF!</f>
        <v>#REF!</v>
      </c>
      <c r="AC84" t="e">
        <f>#REF!</f>
        <v>#REF!</v>
      </c>
      <c r="AD84" s="83" t="e">
        <f>CONCATENATE(IF(#REF!="oui","#",""),"variable: ",Y84," ",Z84," input ","description= """,AB84,""" units= """,AC84,"""")</f>
        <v>#REF!</v>
      </c>
      <c r="AE84" s="7" t="e">
        <f>CONCATENER_MODELCENTER(#REF!,#REF!,#REF!)</f>
        <v>#VALUE!</v>
      </c>
      <c r="AF84" s="7" t="e">
        <f>CONCATENER_MODELCENTER(#REF!,#REF!,#REF!)</f>
        <v>#VALUE!</v>
      </c>
      <c r="AG84" s="7" t="e">
        <f>CONCATENER_MODELCENTER(#REF!,#REF!,#REF!)</f>
        <v>#VALUE!</v>
      </c>
      <c r="AH84" s="7" t="e">
        <f>CONCATENER_MODELCENTER(#REF!,#REF!,#REF!)</f>
        <v>#VALUE!</v>
      </c>
      <c r="AI84" s="7" t="e">
        <f>CONCATENER_MODELCENTER(#REF!,#REF!,#REF!)</f>
        <v>#VALUE!</v>
      </c>
      <c r="AJ84" s="7" t="e">
        <f>CONCATENER_MODELCENTER(#REF!,#REF!,#REF!)</f>
        <v>#VALUE!</v>
      </c>
    </row>
    <row r="85" spans="21:36" x14ac:dyDescent="0.25">
      <c r="U85" s="7"/>
      <c r="V85" s="68"/>
      <c r="Y85" t="e">
        <f>#REF!</f>
        <v>#REF!</v>
      </c>
      <c r="Z85" t="e">
        <f>#REF!</f>
        <v>#REF!</v>
      </c>
      <c r="AA85" t="e">
        <f>#REF!</f>
        <v>#REF!</v>
      </c>
      <c r="AB85" t="e">
        <f>#REF!</f>
        <v>#REF!</v>
      </c>
      <c r="AC85" t="e">
        <f>#REF!</f>
        <v>#REF!</v>
      </c>
      <c r="AD85" s="83" t="e">
        <f>CONCATENATE(IF(#REF!="oui","#",""),"variable: ",Y85," ",Z85," input ","description= """,AB85,""" units= """,AC85,"""")</f>
        <v>#REF!</v>
      </c>
      <c r="AE85" s="7" t="e">
        <f>CONCATENER_MODELCENTER(#REF!,#REF!,#REF!)</f>
        <v>#VALUE!</v>
      </c>
      <c r="AF85" s="7" t="e">
        <f>CONCATENER_MODELCENTER(#REF!,#REF!,#REF!)</f>
        <v>#VALUE!</v>
      </c>
      <c r="AG85" s="7" t="e">
        <f>CONCATENER_MODELCENTER(#REF!,#REF!,#REF!)</f>
        <v>#VALUE!</v>
      </c>
      <c r="AH85" s="7" t="e">
        <f>CONCATENER_MODELCENTER(#REF!,#REF!,#REF!)</f>
        <v>#VALUE!</v>
      </c>
      <c r="AI85" s="7" t="e">
        <f>CONCATENER_MODELCENTER(#REF!,#REF!,#REF!)</f>
        <v>#VALUE!</v>
      </c>
      <c r="AJ85" s="7" t="e">
        <f>CONCATENER_MODELCENTER(#REF!,#REF!,#REF!)</f>
        <v>#VALUE!</v>
      </c>
    </row>
    <row r="86" spans="21:36" x14ac:dyDescent="0.25">
      <c r="U86" s="7"/>
      <c r="V86" s="68"/>
      <c r="Y86" t="e">
        <f>#REF!</f>
        <v>#REF!</v>
      </c>
      <c r="Z86" t="e">
        <f>#REF!</f>
        <v>#REF!</v>
      </c>
      <c r="AA86" t="e">
        <f>#REF!</f>
        <v>#REF!</v>
      </c>
      <c r="AB86" t="e">
        <f>#REF!</f>
        <v>#REF!</v>
      </c>
      <c r="AC86" t="e">
        <f>#REF!</f>
        <v>#REF!</v>
      </c>
      <c r="AD86" s="83" t="e">
        <f>CONCATENATE(IF(#REF!="oui","#",""),"variable: ",Y86," ",Z86," input ","description= """,AB86,""" units= """,AC86,"""")</f>
        <v>#REF!</v>
      </c>
      <c r="AE86" s="7" t="e">
        <f>CONCATENER_MODELCENTER(#REF!,#REF!,#REF!)</f>
        <v>#VALUE!</v>
      </c>
      <c r="AF86" s="7" t="e">
        <f>CONCATENER_MODELCENTER(#REF!,#REF!,#REF!)</f>
        <v>#VALUE!</v>
      </c>
      <c r="AG86" s="7" t="e">
        <f>CONCATENER_MODELCENTER(#REF!,#REF!,#REF!)</f>
        <v>#VALUE!</v>
      </c>
      <c r="AH86" s="7" t="e">
        <f>CONCATENER_MODELCENTER(#REF!,#REF!,#REF!)</f>
        <v>#VALUE!</v>
      </c>
      <c r="AI86" s="7" t="e">
        <f>CONCATENER_MODELCENTER(#REF!,#REF!,#REF!)</f>
        <v>#VALUE!</v>
      </c>
      <c r="AJ86" s="7" t="e">
        <f>CONCATENER_MODELCENTER(#REF!,#REF!,#REF!)</f>
        <v>#VALUE!</v>
      </c>
    </row>
    <row r="87" spans="21:36" x14ac:dyDescent="0.25">
      <c r="U87" s="7"/>
      <c r="V87" s="68"/>
      <c r="Y87" t="e">
        <f>#REF!</f>
        <v>#REF!</v>
      </c>
      <c r="Z87" t="e">
        <f>#REF!</f>
        <v>#REF!</v>
      </c>
      <c r="AA87" t="e">
        <f>#REF!</f>
        <v>#REF!</v>
      </c>
      <c r="AB87" t="e">
        <f>#REF!</f>
        <v>#REF!</v>
      </c>
      <c r="AC87" t="e">
        <f>#REF!</f>
        <v>#REF!</v>
      </c>
      <c r="AD87" s="83" t="e">
        <f>CONCATENATE(IF(#REF!="oui","#",""),"variable: ",Y87," ",Z87," input ","description= """,AB87,""" units= """,AC87,"""")</f>
        <v>#REF!</v>
      </c>
      <c r="AE87" s="7" t="e">
        <f>CONCATENER_MODELCENTER(#REF!,#REF!,#REF!)</f>
        <v>#VALUE!</v>
      </c>
      <c r="AF87" s="7" t="e">
        <f>CONCATENER_MODELCENTER(#REF!,#REF!,#REF!)</f>
        <v>#VALUE!</v>
      </c>
      <c r="AG87" s="7" t="e">
        <f>CONCATENER_MODELCENTER(#REF!,#REF!,#REF!)</f>
        <v>#VALUE!</v>
      </c>
      <c r="AH87" s="7" t="e">
        <f>CONCATENER_MODELCENTER(#REF!,#REF!,#REF!)</f>
        <v>#VALUE!</v>
      </c>
      <c r="AI87" s="7" t="e">
        <f>CONCATENER_MODELCENTER(#REF!,#REF!,#REF!)</f>
        <v>#VALUE!</v>
      </c>
      <c r="AJ87" s="7" t="e">
        <f>CONCATENER_MODELCENTER(#REF!,#REF!,#REF!)</f>
        <v>#VALUE!</v>
      </c>
    </row>
    <row r="88" spans="21:36" x14ac:dyDescent="0.25">
      <c r="U88" s="7"/>
      <c r="V88" s="68"/>
      <c r="Y88" t="e">
        <f>#REF!</f>
        <v>#REF!</v>
      </c>
      <c r="Z88" t="e">
        <f>#REF!</f>
        <v>#REF!</v>
      </c>
      <c r="AA88" t="e">
        <f>#REF!</f>
        <v>#REF!</v>
      </c>
      <c r="AB88" t="e">
        <f>#REF!</f>
        <v>#REF!</v>
      </c>
      <c r="AC88" t="e">
        <f>#REF!</f>
        <v>#REF!</v>
      </c>
      <c r="AD88" s="83" t="e">
        <f>CONCATENATE(IF(#REF!="oui","#",""),"variable: ",Y88," ",Z88," input ","description= """,AB88,""" units= """,AC88,"""")</f>
        <v>#REF!</v>
      </c>
      <c r="AE88" s="7" t="e">
        <f>CONCATENER_MODELCENTER(#REF!,#REF!,#REF!)</f>
        <v>#VALUE!</v>
      </c>
      <c r="AF88" s="7" t="e">
        <f>CONCATENER_MODELCENTER(#REF!,#REF!,#REF!)</f>
        <v>#VALUE!</v>
      </c>
      <c r="AG88" s="7" t="e">
        <f>CONCATENER_MODELCENTER(#REF!,#REF!,#REF!)</f>
        <v>#VALUE!</v>
      </c>
      <c r="AH88" s="7" t="e">
        <f>CONCATENER_MODELCENTER(#REF!,#REF!,#REF!)</f>
        <v>#VALUE!</v>
      </c>
      <c r="AI88" s="7" t="e">
        <f>CONCATENER_MODELCENTER(#REF!,#REF!,#REF!)</f>
        <v>#VALUE!</v>
      </c>
      <c r="AJ88" s="7" t="e">
        <f>CONCATENER_MODELCENTER(#REF!,#REF!,#REF!)</f>
        <v>#VALUE!</v>
      </c>
    </row>
    <row r="89" spans="21:36" x14ac:dyDescent="0.25">
      <c r="U89" s="7"/>
      <c r="V89" s="68"/>
      <c r="Y89" t="e">
        <f>#REF!</f>
        <v>#REF!</v>
      </c>
      <c r="Z89" t="e">
        <f>#REF!</f>
        <v>#REF!</v>
      </c>
      <c r="AA89" t="e">
        <f>#REF!</f>
        <v>#REF!</v>
      </c>
      <c r="AB89" t="e">
        <f>#REF!</f>
        <v>#REF!</v>
      </c>
      <c r="AC89" t="e">
        <f>#REF!</f>
        <v>#REF!</v>
      </c>
      <c r="AD89" s="83" t="e">
        <f>CONCATENATE(IF(#REF!="oui","#",""),"variable: ",Y89," ",Z89," input ","description= """,AB89,""" units= """,AC89,"""")</f>
        <v>#REF!</v>
      </c>
      <c r="AE89" s="7" t="e">
        <f>CONCATENER_MODELCENTER(#REF!,#REF!,#REF!)</f>
        <v>#VALUE!</v>
      </c>
      <c r="AF89" s="7" t="e">
        <f>CONCATENER_MODELCENTER(#REF!,#REF!,#REF!)</f>
        <v>#VALUE!</v>
      </c>
      <c r="AG89" s="7" t="e">
        <f>CONCATENER_MODELCENTER(#REF!,#REF!,#REF!)</f>
        <v>#VALUE!</v>
      </c>
      <c r="AH89" s="7" t="e">
        <f>CONCATENER_MODELCENTER(#REF!,#REF!,#REF!)</f>
        <v>#VALUE!</v>
      </c>
      <c r="AI89" s="7" t="e">
        <f>CONCATENER_MODELCENTER(#REF!,#REF!,#REF!)</f>
        <v>#VALUE!</v>
      </c>
      <c r="AJ89" s="7" t="e">
        <f>CONCATENER_MODELCENTER(#REF!,#REF!,#REF!)</f>
        <v>#VALUE!</v>
      </c>
    </row>
    <row r="90" spans="21:36" x14ac:dyDescent="0.25">
      <c r="U90" s="7"/>
      <c r="V90" s="68"/>
      <c r="Y90" t="e">
        <f>#REF!</f>
        <v>#REF!</v>
      </c>
      <c r="Z90" t="e">
        <f>#REF!</f>
        <v>#REF!</v>
      </c>
      <c r="AA90" t="e">
        <f>#REF!</f>
        <v>#REF!</v>
      </c>
      <c r="AB90" t="e">
        <f>#REF!</f>
        <v>#REF!</v>
      </c>
      <c r="AC90" t="e">
        <f>#REF!</f>
        <v>#REF!</v>
      </c>
      <c r="AD90" s="83" t="e">
        <f>CONCATENATE(IF(#REF!="oui","#",""),"variable: ",Y90," ",Z90," input ","description= """,AB90,""" units= """,AC90,"""")</f>
        <v>#REF!</v>
      </c>
      <c r="AE90" s="7" t="e">
        <f>CONCATENER_MODELCENTER(#REF!,#REF!,#REF!)</f>
        <v>#VALUE!</v>
      </c>
      <c r="AF90" s="7" t="e">
        <f>CONCATENER_MODELCENTER(#REF!,#REF!,#REF!)</f>
        <v>#VALUE!</v>
      </c>
      <c r="AG90" s="7" t="e">
        <f>CONCATENER_MODELCENTER(#REF!,#REF!,#REF!)</f>
        <v>#VALUE!</v>
      </c>
      <c r="AH90" s="7" t="e">
        <f>CONCATENER_MODELCENTER(#REF!,#REF!,#REF!)</f>
        <v>#VALUE!</v>
      </c>
      <c r="AI90" s="7" t="e">
        <f>CONCATENER_MODELCENTER(#REF!,#REF!,#REF!)</f>
        <v>#VALUE!</v>
      </c>
      <c r="AJ90" s="7" t="e">
        <f>CONCATENER_MODELCENTER(#REF!,#REF!,#REF!)</f>
        <v>#VALUE!</v>
      </c>
    </row>
    <row r="91" spans="21:36" x14ac:dyDescent="0.25">
      <c r="U91" s="7"/>
      <c r="V91" s="68"/>
      <c r="Y91" t="e">
        <f>#REF!</f>
        <v>#REF!</v>
      </c>
      <c r="Z91" t="e">
        <f>#REF!</f>
        <v>#REF!</v>
      </c>
      <c r="AA91" t="e">
        <f>#REF!</f>
        <v>#REF!</v>
      </c>
      <c r="AB91" t="e">
        <f>#REF!</f>
        <v>#REF!</v>
      </c>
      <c r="AC91" t="e">
        <f>#REF!</f>
        <v>#REF!</v>
      </c>
      <c r="AD91" s="83" t="e">
        <f>CONCATENATE(IF(#REF!="oui","#",""),"variable: ",Y91," ",Z91," input ","description= """,AB91,""" units= """,AC91,"""")</f>
        <v>#REF!</v>
      </c>
      <c r="AE91" s="7" t="e">
        <f>CONCATENER_MODELCENTER(#REF!,#REF!,#REF!)</f>
        <v>#VALUE!</v>
      </c>
      <c r="AF91" s="7" t="e">
        <f>CONCATENER_MODELCENTER(#REF!,#REF!,#REF!)</f>
        <v>#VALUE!</v>
      </c>
      <c r="AG91" s="7" t="e">
        <f>CONCATENER_MODELCENTER(#REF!,#REF!,#REF!)</f>
        <v>#VALUE!</v>
      </c>
      <c r="AH91" s="7" t="e">
        <f>CONCATENER_MODELCENTER(#REF!,#REF!,#REF!)</f>
        <v>#VALUE!</v>
      </c>
      <c r="AI91" s="7" t="e">
        <f>CONCATENER_MODELCENTER(#REF!,#REF!,#REF!)</f>
        <v>#VALUE!</v>
      </c>
      <c r="AJ91" s="7" t="e">
        <f>CONCATENER_MODELCENTER(#REF!,#REF!,#REF!)</f>
        <v>#VALUE!</v>
      </c>
    </row>
    <row r="92" spans="21:36" x14ac:dyDescent="0.25">
      <c r="U92" s="7"/>
      <c r="V92" s="68"/>
      <c r="Y92" t="e">
        <f>#REF!</f>
        <v>#REF!</v>
      </c>
      <c r="Z92" t="e">
        <f>#REF!</f>
        <v>#REF!</v>
      </c>
      <c r="AA92" t="e">
        <f>#REF!</f>
        <v>#REF!</v>
      </c>
      <c r="AB92" t="e">
        <f>#REF!</f>
        <v>#REF!</v>
      </c>
      <c r="AC92" t="e">
        <f>#REF!</f>
        <v>#REF!</v>
      </c>
      <c r="AD92" s="83" t="e">
        <f>CONCATENATE(IF(#REF!="oui","#",""),"variable: ",Y92," ",Z92," input ","description= """,AB92,""" units= """,AC92,"""")</f>
        <v>#REF!</v>
      </c>
      <c r="AE92" s="7" t="e">
        <f>CONCATENER_MODELCENTER(#REF!,#REF!,#REF!)</f>
        <v>#VALUE!</v>
      </c>
      <c r="AF92" s="7" t="e">
        <f>CONCATENER_MODELCENTER(#REF!,#REF!,#REF!)</f>
        <v>#VALUE!</v>
      </c>
      <c r="AG92" s="7" t="e">
        <f>CONCATENER_MODELCENTER(#REF!,#REF!,#REF!)</f>
        <v>#VALUE!</v>
      </c>
      <c r="AH92" s="7" t="e">
        <f>CONCATENER_MODELCENTER(#REF!,#REF!,#REF!)</f>
        <v>#VALUE!</v>
      </c>
      <c r="AI92" s="7" t="e">
        <f>CONCATENER_MODELCENTER(#REF!,#REF!,#REF!)</f>
        <v>#VALUE!</v>
      </c>
      <c r="AJ92" s="7" t="e">
        <f>CONCATENER_MODELCENTER(#REF!,#REF!,#REF!)</f>
        <v>#VALUE!</v>
      </c>
    </row>
    <row r="93" spans="21:36" ht="13.2" customHeight="1" x14ac:dyDescent="0.25">
      <c r="U93" s="7"/>
      <c r="V93" s="68"/>
      <c r="Y93" t="e">
        <f>#REF!</f>
        <v>#REF!</v>
      </c>
      <c r="Z93" t="e">
        <f>#REF!</f>
        <v>#REF!</v>
      </c>
      <c r="AA93" t="e">
        <f>#REF!</f>
        <v>#REF!</v>
      </c>
      <c r="AB93" t="e">
        <f>#REF!</f>
        <v>#REF!</v>
      </c>
      <c r="AC93" t="e">
        <f>#REF!</f>
        <v>#REF!</v>
      </c>
      <c r="AD93" s="83" t="e">
        <f>CONCATENATE(IF(#REF!="oui","#",""),"variable: ",Y93," ",Z93," input ","description= """,AB93,""" units= """,AC93,"""")</f>
        <v>#REF!</v>
      </c>
      <c r="AE93" s="7" t="e">
        <f>CONCATENER_MODELCENTER(#REF!,#REF!,#REF!)</f>
        <v>#VALUE!</v>
      </c>
      <c r="AF93" s="7" t="e">
        <f>CONCATENER_MODELCENTER(#REF!,#REF!,#REF!)</f>
        <v>#VALUE!</v>
      </c>
      <c r="AG93" s="7" t="e">
        <f>CONCATENER_MODELCENTER(#REF!,#REF!,#REF!)</f>
        <v>#VALUE!</v>
      </c>
      <c r="AH93" s="7" t="e">
        <f>CONCATENER_MODELCENTER(#REF!,#REF!,#REF!)</f>
        <v>#VALUE!</v>
      </c>
      <c r="AI93" s="7" t="e">
        <f>CONCATENER_MODELCENTER(#REF!,#REF!,#REF!)</f>
        <v>#VALUE!</v>
      </c>
      <c r="AJ93" s="7" t="e">
        <f>CONCATENER_MODELCENTER(#REF!,#REF!,#REF!)</f>
        <v>#VALUE!</v>
      </c>
    </row>
    <row r="94" spans="21:36" x14ac:dyDescent="0.25">
      <c r="U94" s="7"/>
      <c r="V94" s="68"/>
      <c r="Y94" t="e">
        <f>#REF!</f>
        <v>#REF!</v>
      </c>
      <c r="Z94" t="e">
        <f>#REF!</f>
        <v>#REF!</v>
      </c>
      <c r="AA94" t="e">
        <f>#REF!</f>
        <v>#REF!</v>
      </c>
      <c r="AB94" t="e">
        <f>#REF!</f>
        <v>#REF!</v>
      </c>
      <c r="AC94" t="e">
        <f>#REF!</f>
        <v>#REF!</v>
      </c>
      <c r="AD94" s="83" t="e">
        <f>CONCATENATE(IF(#REF!="oui","#",""),"variable: ",Y94," ",Z94," input ","description= """,AB94,""" units= """,AC94,"""")</f>
        <v>#REF!</v>
      </c>
      <c r="AE94" s="7" t="e">
        <f>CONCATENER_MODELCENTER(#REF!,#REF!,#REF!)</f>
        <v>#VALUE!</v>
      </c>
      <c r="AF94" s="7" t="e">
        <f>CONCATENER_MODELCENTER(#REF!,#REF!,#REF!)</f>
        <v>#VALUE!</v>
      </c>
      <c r="AG94" s="7" t="e">
        <f>CONCATENER_MODELCENTER(#REF!,#REF!,#REF!)</f>
        <v>#VALUE!</v>
      </c>
      <c r="AH94" s="7" t="e">
        <f>CONCATENER_MODELCENTER(#REF!,#REF!,#REF!)</f>
        <v>#VALUE!</v>
      </c>
      <c r="AI94" s="7" t="e">
        <f>CONCATENER_MODELCENTER(#REF!,#REF!,#REF!)</f>
        <v>#VALUE!</v>
      </c>
      <c r="AJ94" s="7" t="e">
        <f>CONCATENER_MODELCENTER(#REF!,#REF!,#REF!)</f>
        <v>#VALUE!</v>
      </c>
    </row>
    <row r="95" spans="21:36" x14ac:dyDescent="0.25">
      <c r="U95" s="7"/>
      <c r="V95" s="68"/>
      <c r="Y95" t="e">
        <f>#REF!</f>
        <v>#REF!</v>
      </c>
      <c r="Z95" t="e">
        <f>#REF!</f>
        <v>#REF!</v>
      </c>
      <c r="AA95" t="e">
        <f>#REF!</f>
        <v>#REF!</v>
      </c>
      <c r="AB95" t="e">
        <f>#REF!</f>
        <v>#REF!</v>
      </c>
      <c r="AC95" t="e">
        <f>#REF!</f>
        <v>#REF!</v>
      </c>
      <c r="AD95" s="83" t="e">
        <f>CONCATENATE(IF(#REF!="oui","#",""),"variable: ",Y95," ",Z95," input ","description= """,AB95,""" units= """,AC95,"""")</f>
        <v>#REF!</v>
      </c>
      <c r="AE95" s="7" t="e">
        <f>CONCATENER_MODELCENTER(#REF!,#REF!,#REF!)</f>
        <v>#VALUE!</v>
      </c>
      <c r="AF95" s="7" t="e">
        <f>CONCATENER_MODELCENTER(#REF!,#REF!,#REF!)</f>
        <v>#VALUE!</v>
      </c>
      <c r="AG95" s="7" t="e">
        <f>CONCATENER_MODELCENTER(#REF!,#REF!,#REF!)</f>
        <v>#VALUE!</v>
      </c>
      <c r="AH95" s="7" t="e">
        <f>CONCATENER_MODELCENTER(#REF!,#REF!,#REF!)</f>
        <v>#VALUE!</v>
      </c>
      <c r="AI95" s="7" t="e">
        <f>CONCATENER_MODELCENTER(#REF!,#REF!,#REF!)</f>
        <v>#VALUE!</v>
      </c>
      <c r="AJ95" s="7" t="e">
        <f>CONCATENER_MODELCENTER(#REF!,#REF!,#REF!)</f>
        <v>#VALUE!</v>
      </c>
    </row>
    <row r="96" spans="21:36" x14ac:dyDescent="0.25">
      <c r="U96" s="7"/>
      <c r="V96" s="68"/>
      <c r="Y96" t="e">
        <f>#REF!</f>
        <v>#REF!</v>
      </c>
      <c r="Z96" t="e">
        <f>#REF!</f>
        <v>#REF!</v>
      </c>
      <c r="AA96" t="e">
        <f>#REF!</f>
        <v>#REF!</v>
      </c>
      <c r="AB96" t="e">
        <f>#REF!</f>
        <v>#REF!</v>
      </c>
      <c r="AC96" t="e">
        <f>#REF!</f>
        <v>#REF!</v>
      </c>
      <c r="AD96" s="83" t="e">
        <f>CONCATENATE(IF(#REF!="oui","#",""),"variable: ",Y96," ",Z96," input ","description= """,AB96,""" units= """,AC96,"""")</f>
        <v>#REF!</v>
      </c>
      <c r="AE96" s="7" t="e">
        <f>CONCATENER_MODELCENTER(#REF!,#REF!,#REF!)</f>
        <v>#VALUE!</v>
      </c>
      <c r="AF96" s="7" t="e">
        <f>CONCATENER_MODELCENTER(#REF!,#REF!,#REF!)</f>
        <v>#VALUE!</v>
      </c>
      <c r="AG96" s="7" t="e">
        <f>CONCATENER_MODELCENTER(#REF!,#REF!,#REF!)</f>
        <v>#VALUE!</v>
      </c>
      <c r="AH96" s="7" t="e">
        <f>CONCATENER_MODELCENTER(#REF!,#REF!,#REF!)</f>
        <v>#VALUE!</v>
      </c>
      <c r="AI96" s="7" t="e">
        <f>CONCATENER_MODELCENTER(#REF!,#REF!,#REF!)</f>
        <v>#VALUE!</v>
      </c>
      <c r="AJ96" s="7" t="e">
        <f>CONCATENER_MODELCENTER(#REF!,#REF!,#REF!)</f>
        <v>#VALUE!</v>
      </c>
    </row>
    <row r="97" spans="21:36" ht="13.2" customHeight="1" x14ac:dyDescent="0.25">
      <c r="U97" s="7"/>
      <c r="V97" s="68"/>
      <c r="Y97" t="e">
        <f>#REF!</f>
        <v>#REF!</v>
      </c>
      <c r="Z97" t="e">
        <f>#REF!</f>
        <v>#REF!</v>
      </c>
      <c r="AA97" t="e">
        <f>#REF!</f>
        <v>#REF!</v>
      </c>
      <c r="AB97" t="e">
        <f>#REF!</f>
        <v>#REF!</v>
      </c>
      <c r="AC97" t="e">
        <f>#REF!</f>
        <v>#REF!</v>
      </c>
      <c r="AD97" s="83" t="e">
        <f>CONCATENATE(IF(#REF!="oui","#",""),"variable: ",Y97," ",Z97," input ","description= """,AB97,""" units= """,AC97,"""")</f>
        <v>#REF!</v>
      </c>
      <c r="AE97" s="7" t="e">
        <f>CONCATENER_MODELCENTER(#REF!,#REF!,#REF!)</f>
        <v>#VALUE!</v>
      </c>
      <c r="AF97" s="7" t="e">
        <f>CONCATENER_MODELCENTER(#REF!,#REF!,#REF!)</f>
        <v>#VALUE!</v>
      </c>
      <c r="AG97" s="7" t="e">
        <f>CONCATENER_MODELCENTER(#REF!,#REF!,#REF!)</f>
        <v>#VALUE!</v>
      </c>
      <c r="AH97" s="7" t="e">
        <f>CONCATENER_MODELCENTER(#REF!,#REF!,#REF!)</f>
        <v>#VALUE!</v>
      </c>
      <c r="AI97" s="7" t="e">
        <f>CONCATENER_MODELCENTER(#REF!,#REF!,#REF!)</f>
        <v>#VALUE!</v>
      </c>
      <c r="AJ97" s="7" t="e">
        <f>CONCATENER_MODELCENTER(#REF!,#REF!,#REF!)</f>
        <v>#VALUE!</v>
      </c>
    </row>
    <row r="98" spans="21:36" x14ac:dyDescent="0.25">
      <c r="U98" s="7"/>
      <c r="V98" s="68"/>
      <c r="Y98" t="e">
        <f>#REF!</f>
        <v>#REF!</v>
      </c>
      <c r="Z98" t="e">
        <f>#REF!</f>
        <v>#REF!</v>
      </c>
      <c r="AA98" t="e">
        <f>#REF!</f>
        <v>#REF!</v>
      </c>
      <c r="AB98" t="e">
        <f>#REF!</f>
        <v>#REF!</v>
      </c>
      <c r="AC98" t="e">
        <f>#REF!</f>
        <v>#REF!</v>
      </c>
      <c r="AD98" s="83" t="e">
        <f>CONCATENATE(IF(#REF!="oui","#",""),"variable: ",Y98," ",Z98," input ","description= """,AB98,""" units= """,AC98,"""")</f>
        <v>#REF!</v>
      </c>
      <c r="AE98" s="7" t="e">
        <f>CONCATENER_MODELCENTER(#REF!,#REF!,#REF!)</f>
        <v>#VALUE!</v>
      </c>
      <c r="AF98" s="7" t="e">
        <f>CONCATENER_MODELCENTER(#REF!,#REF!,#REF!)</f>
        <v>#VALUE!</v>
      </c>
      <c r="AG98" s="7" t="e">
        <f>CONCATENER_MODELCENTER(#REF!,#REF!,#REF!)</f>
        <v>#VALUE!</v>
      </c>
      <c r="AH98" s="7" t="e">
        <f>CONCATENER_MODELCENTER(#REF!,#REF!,#REF!)</f>
        <v>#VALUE!</v>
      </c>
      <c r="AI98" s="7" t="e">
        <f>CONCATENER_MODELCENTER(#REF!,#REF!,#REF!)</f>
        <v>#VALUE!</v>
      </c>
      <c r="AJ98" s="7" t="e">
        <f>CONCATENER_MODELCENTER(#REF!,#REF!,#REF!)</f>
        <v>#VALUE!</v>
      </c>
    </row>
    <row r="99" spans="21:36" x14ac:dyDescent="0.25">
      <c r="U99" s="7"/>
      <c r="V99" s="68"/>
      <c r="Y99" t="e">
        <f>#REF!</f>
        <v>#REF!</v>
      </c>
      <c r="Z99" t="e">
        <f>#REF!</f>
        <v>#REF!</v>
      </c>
      <c r="AA99" t="e">
        <f>#REF!</f>
        <v>#REF!</v>
      </c>
      <c r="AB99" t="e">
        <f>#REF!</f>
        <v>#REF!</v>
      </c>
      <c r="AC99" t="e">
        <f>#REF!</f>
        <v>#REF!</v>
      </c>
      <c r="AD99" s="83" t="e">
        <f>CONCATENATE(IF(#REF!="oui","#",""),"variable: ",Y99," ",Z99," input ","description= """,AB99,""" units= """,AC99,"""")</f>
        <v>#REF!</v>
      </c>
      <c r="AE99" s="7" t="e">
        <f>CONCATENER_MODELCENTER(#REF!,#REF!,#REF!)</f>
        <v>#VALUE!</v>
      </c>
      <c r="AF99" s="7" t="e">
        <f>CONCATENER_MODELCENTER(#REF!,#REF!,#REF!)</f>
        <v>#VALUE!</v>
      </c>
      <c r="AG99" s="7" t="e">
        <f>CONCATENER_MODELCENTER(#REF!,#REF!,#REF!)</f>
        <v>#VALUE!</v>
      </c>
      <c r="AH99" s="7" t="e">
        <f>CONCATENER_MODELCENTER(#REF!,#REF!,#REF!)</f>
        <v>#VALUE!</v>
      </c>
      <c r="AI99" s="7" t="e">
        <f>CONCATENER_MODELCENTER(#REF!,#REF!,#REF!)</f>
        <v>#VALUE!</v>
      </c>
      <c r="AJ99" s="7" t="e">
        <f>CONCATENER_MODELCENTER(#REF!,#REF!,#REF!)</f>
        <v>#VALUE!</v>
      </c>
    </row>
    <row r="100" spans="21:36" x14ac:dyDescent="0.25">
      <c r="U100" s="7"/>
      <c r="V100" s="68"/>
      <c r="Y100" t="e">
        <f>#REF!</f>
        <v>#REF!</v>
      </c>
      <c r="Z100" t="e">
        <f>#REF!</f>
        <v>#REF!</v>
      </c>
      <c r="AA100" t="e">
        <f>#REF!</f>
        <v>#REF!</v>
      </c>
      <c r="AB100" t="e">
        <f>#REF!</f>
        <v>#REF!</v>
      </c>
      <c r="AC100" t="e">
        <f>#REF!</f>
        <v>#REF!</v>
      </c>
      <c r="AD100" s="83" t="e">
        <f>CONCATENATE(IF(#REF!="oui","#",""),"variable: ",Y100," ",Z100," input ","description= """,AB100,""" units= """,AC100,"""")</f>
        <v>#REF!</v>
      </c>
      <c r="AE100" s="7" t="e">
        <f>CONCATENER_MODELCENTER(#REF!,#REF!,#REF!)</f>
        <v>#VALUE!</v>
      </c>
      <c r="AF100" s="7" t="e">
        <f>CONCATENER_MODELCENTER(#REF!,#REF!,#REF!)</f>
        <v>#VALUE!</v>
      </c>
      <c r="AG100" s="7" t="e">
        <f>CONCATENER_MODELCENTER(#REF!,#REF!,#REF!)</f>
        <v>#VALUE!</v>
      </c>
      <c r="AH100" s="7" t="e">
        <f>CONCATENER_MODELCENTER(#REF!,#REF!,#REF!)</f>
        <v>#VALUE!</v>
      </c>
      <c r="AI100" s="7" t="e">
        <f>CONCATENER_MODELCENTER(#REF!,#REF!,#REF!)</f>
        <v>#VALUE!</v>
      </c>
      <c r="AJ100" s="7" t="e">
        <f>CONCATENER_MODELCENTER(#REF!,#REF!,#REF!)</f>
        <v>#VALUE!</v>
      </c>
    </row>
    <row r="101" spans="21:36" x14ac:dyDescent="0.25">
      <c r="U101" s="7"/>
      <c r="V101" s="68"/>
      <c r="Y101" t="e">
        <f>#REF!</f>
        <v>#REF!</v>
      </c>
      <c r="Z101" t="e">
        <f>#REF!</f>
        <v>#REF!</v>
      </c>
      <c r="AA101" t="e">
        <f>#REF!</f>
        <v>#REF!</v>
      </c>
      <c r="AB101" t="e">
        <f>#REF!</f>
        <v>#REF!</v>
      </c>
      <c r="AC101" t="e">
        <f>#REF!</f>
        <v>#REF!</v>
      </c>
      <c r="AD101" s="83" t="e">
        <f>CONCATENATE(IF(#REF!="oui","#",""),"variable: ",Y101," ",Z101," input ","description= """,AB101,""" units= """,AC101,"""")</f>
        <v>#REF!</v>
      </c>
      <c r="AE101" s="7" t="e">
        <f>CONCATENER_MODELCENTER(#REF!,#REF!,#REF!)</f>
        <v>#VALUE!</v>
      </c>
      <c r="AF101" s="7" t="e">
        <f>CONCATENER_MODELCENTER(#REF!,#REF!,#REF!)</f>
        <v>#VALUE!</v>
      </c>
      <c r="AG101" s="7" t="e">
        <f>CONCATENER_MODELCENTER(#REF!,#REF!,#REF!)</f>
        <v>#VALUE!</v>
      </c>
      <c r="AH101" s="7" t="e">
        <f>CONCATENER_MODELCENTER(#REF!,#REF!,#REF!)</f>
        <v>#VALUE!</v>
      </c>
      <c r="AI101" s="7" t="e">
        <f>CONCATENER_MODELCENTER(#REF!,#REF!,#REF!)</f>
        <v>#VALUE!</v>
      </c>
      <c r="AJ101" s="7" t="e">
        <f>CONCATENER_MODELCENTER(#REF!,#REF!,#REF!)</f>
        <v>#VALUE!</v>
      </c>
    </row>
    <row r="102" spans="21:36" x14ac:dyDescent="0.25">
      <c r="U102" s="7"/>
      <c r="V102" s="68"/>
      <c r="Y102" t="e">
        <f>#REF!</f>
        <v>#REF!</v>
      </c>
      <c r="Z102" t="e">
        <f>#REF!</f>
        <v>#REF!</v>
      </c>
      <c r="AA102" t="e">
        <f>#REF!</f>
        <v>#REF!</v>
      </c>
      <c r="AB102" t="e">
        <f>#REF!</f>
        <v>#REF!</v>
      </c>
      <c r="AC102" t="e">
        <f>#REF!</f>
        <v>#REF!</v>
      </c>
      <c r="AD102" s="83" t="e">
        <f>CONCATENATE(IF(#REF!="oui","#",""),"variable: ",Y102," ",Z102," input ","description= """,AB102,""" units= """,AC102,"""")</f>
        <v>#REF!</v>
      </c>
      <c r="AE102" s="7" t="e">
        <f>CONCATENER_MODELCENTER(#REF!,#REF!,#REF!)</f>
        <v>#VALUE!</v>
      </c>
      <c r="AF102" s="7" t="e">
        <f>CONCATENER_MODELCENTER(#REF!,#REF!,#REF!)</f>
        <v>#VALUE!</v>
      </c>
      <c r="AG102" s="7" t="e">
        <f>CONCATENER_MODELCENTER(#REF!,#REF!,#REF!)</f>
        <v>#VALUE!</v>
      </c>
      <c r="AH102" s="7" t="e">
        <f>CONCATENER_MODELCENTER(#REF!,#REF!,#REF!)</f>
        <v>#VALUE!</v>
      </c>
      <c r="AI102" s="7" t="e">
        <f>CONCATENER_MODELCENTER(#REF!,#REF!,#REF!)</f>
        <v>#VALUE!</v>
      </c>
      <c r="AJ102" s="7" t="e">
        <f>CONCATENER_MODELCENTER(#REF!,#REF!,#REF!)</f>
        <v>#VALUE!</v>
      </c>
    </row>
    <row r="103" spans="21:36" x14ac:dyDescent="0.25">
      <c r="U103" s="7"/>
      <c r="V103" s="68"/>
      <c r="Y103" t="e">
        <f>#REF!</f>
        <v>#REF!</v>
      </c>
      <c r="Z103" t="e">
        <f>#REF!</f>
        <v>#REF!</v>
      </c>
      <c r="AA103" t="e">
        <f>#REF!</f>
        <v>#REF!</v>
      </c>
      <c r="AB103" t="e">
        <f>#REF!</f>
        <v>#REF!</v>
      </c>
      <c r="AC103" t="e">
        <f>#REF!</f>
        <v>#REF!</v>
      </c>
      <c r="AD103" s="83" t="e">
        <f>CONCATENATE(IF(#REF!="oui","#",""),"variable: ",Y103," ",Z103," input ","description= """,AB103,""" units= """,AC103,"""")</f>
        <v>#REF!</v>
      </c>
      <c r="AE103" s="7" t="e">
        <f>CONCATENER_MODELCENTER(#REF!,#REF!,#REF!)</f>
        <v>#VALUE!</v>
      </c>
      <c r="AF103" s="7" t="e">
        <f>CONCATENER_MODELCENTER(#REF!,#REF!,#REF!)</f>
        <v>#VALUE!</v>
      </c>
      <c r="AG103" s="7" t="e">
        <f>CONCATENER_MODELCENTER(#REF!,#REF!,#REF!)</f>
        <v>#VALUE!</v>
      </c>
      <c r="AH103" s="7" t="e">
        <f>CONCATENER_MODELCENTER(#REF!,#REF!,#REF!)</f>
        <v>#VALUE!</v>
      </c>
      <c r="AI103" s="7" t="e">
        <f>CONCATENER_MODELCENTER(#REF!,#REF!,#REF!)</f>
        <v>#VALUE!</v>
      </c>
      <c r="AJ103" s="7" t="e">
        <f>CONCATENER_MODELCENTER(#REF!,#REF!,#REF!)</f>
        <v>#VALUE!</v>
      </c>
    </row>
    <row r="104" spans="21:36" x14ac:dyDescent="0.25">
      <c r="U104" s="7"/>
      <c r="V104" s="68"/>
      <c r="Y104" t="e">
        <f>#REF!</f>
        <v>#REF!</v>
      </c>
      <c r="Z104" t="e">
        <f>#REF!</f>
        <v>#REF!</v>
      </c>
      <c r="AA104" t="e">
        <f>#REF!</f>
        <v>#REF!</v>
      </c>
      <c r="AB104" t="e">
        <f>#REF!</f>
        <v>#REF!</v>
      </c>
      <c r="AC104" t="e">
        <f>#REF!</f>
        <v>#REF!</v>
      </c>
      <c r="AD104" s="83" t="e">
        <f>CONCATENATE(IF(#REF!="oui","#",""),"variable: ",Y104," ",Z104," input ","description= """,AB104,""" units= """,AC104,"""")</f>
        <v>#REF!</v>
      </c>
      <c r="AE104" s="7" t="e">
        <f>CONCATENER_MODELCENTER(#REF!,#REF!,#REF!)</f>
        <v>#VALUE!</v>
      </c>
      <c r="AF104" s="7" t="e">
        <f>CONCATENER_MODELCENTER(#REF!,#REF!,#REF!)</f>
        <v>#VALUE!</v>
      </c>
      <c r="AG104" s="7" t="e">
        <f>CONCATENER_MODELCENTER(#REF!,#REF!,#REF!)</f>
        <v>#VALUE!</v>
      </c>
      <c r="AH104" s="7" t="e">
        <f>CONCATENER_MODELCENTER(#REF!,#REF!,#REF!)</f>
        <v>#VALUE!</v>
      </c>
      <c r="AI104" s="7" t="e">
        <f>CONCATENER_MODELCENTER(#REF!,#REF!,#REF!)</f>
        <v>#VALUE!</v>
      </c>
      <c r="AJ104" s="7" t="e">
        <f>CONCATENER_MODELCENTER(#REF!,#REF!,#REF!)</f>
        <v>#VALUE!</v>
      </c>
    </row>
    <row r="105" spans="21:36" x14ac:dyDescent="0.25">
      <c r="U105" s="7"/>
      <c r="V105" s="68"/>
      <c r="Y105" t="e">
        <f>#REF!</f>
        <v>#REF!</v>
      </c>
      <c r="Z105" t="e">
        <f>#REF!</f>
        <v>#REF!</v>
      </c>
      <c r="AA105" t="e">
        <f>#REF!</f>
        <v>#REF!</v>
      </c>
      <c r="AB105" t="e">
        <f>#REF!</f>
        <v>#REF!</v>
      </c>
      <c r="AC105" t="e">
        <f>#REF!</f>
        <v>#REF!</v>
      </c>
      <c r="AD105" s="83" t="e">
        <f>CONCATENATE(IF(#REF!="oui","#",""),"variable: ",Y105," ",Z105," input ","description= """,AB105,""" units= """,AC105,"""")</f>
        <v>#REF!</v>
      </c>
      <c r="AE105" s="7" t="e">
        <f>CONCATENER_MODELCENTER(#REF!,#REF!,#REF!)</f>
        <v>#VALUE!</v>
      </c>
      <c r="AF105" s="7" t="e">
        <f>CONCATENER_MODELCENTER(#REF!,#REF!,#REF!)</f>
        <v>#VALUE!</v>
      </c>
      <c r="AG105" s="7" t="e">
        <f>CONCATENER_MODELCENTER(#REF!,#REF!,#REF!)</f>
        <v>#VALUE!</v>
      </c>
      <c r="AH105" s="7" t="e">
        <f>CONCATENER_MODELCENTER(#REF!,#REF!,#REF!)</f>
        <v>#VALUE!</v>
      </c>
      <c r="AI105" s="7" t="e">
        <f>CONCATENER_MODELCENTER(#REF!,#REF!,#REF!)</f>
        <v>#VALUE!</v>
      </c>
      <c r="AJ105" s="7" t="e">
        <f>CONCATENER_MODELCENTER(#REF!,#REF!,#REF!)</f>
        <v>#VALUE!</v>
      </c>
    </row>
    <row r="106" spans="21:36" x14ac:dyDescent="0.25">
      <c r="U106" s="7"/>
      <c r="V106" s="68"/>
      <c r="Y106" t="str">
        <f>Q20</f>
        <v>flight_qualities_point</v>
      </c>
      <c r="Z106" t="str">
        <f>I20</f>
        <v>double[]</v>
      </c>
      <c r="AA106" t="str">
        <f>H20</f>
        <v>table</v>
      </c>
      <c r="AB106" t="str">
        <f>E20</f>
        <v>Points de vol pour l'analyse des QdV</v>
      </c>
      <c r="AC106" t="str">
        <f>J20</f>
        <v>(-)</v>
      </c>
      <c r="AD106" s="83" t="str">
        <f>CONCATENATE(IF(S20="oui","#",""),"variable: ",Y106," ",Z106," input ","description= """,AB106,""" units= """,AC106,"""")</f>
        <v>variable: flight_qualities_point double[] input description= "Points de vol pour l'analyse des QdV" units= "(-)"</v>
      </c>
      <c r="AE106" s="7" t="str">
        <f>CONCATENER_MODELCENTER(K20,$F20,$G20)</f>
        <v>X5.Control.flight_points</v>
      </c>
      <c r="AF106" s="7" t="str">
        <f>CONCATENER_MODELCENTER(L20,$F20,$G20)</f>
        <v/>
      </c>
      <c r="AG106" s="7" t="str">
        <f>CONCATENER_MODELCENTER(M20,$F20,$G20)</f>
        <v/>
      </c>
      <c r="AH106" s="7" t="str">
        <f>CONCATENER_MODELCENTER(N20,$F20,$G20)</f>
        <v/>
      </c>
      <c r="AI106" s="7" t="str">
        <f>CONCATENER_MODELCENTER(O20,$F20,$G20)</f>
        <v/>
      </c>
      <c r="AJ106" s="7" t="str">
        <f>CONCATENER_MODELCENTER(P20,$F20,$G20)</f>
        <v/>
      </c>
    </row>
    <row r="107" spans="21:36" x14ac:dyDescent="0.25">
      <c r="U107" s="7"/>
      <c r="V107" s="68"/>
      <c r="Y107" t="str">
        <f>Q21</f>
        <v>nb_rctrl_surface</v>
      </c>
      <c r="Z107" t="str">
        <f>I21</f>
        <v>integer</v>
      </c>
      <c r="AA107" t="str">
        <f>H21</f>
        <v>scalaire</v>
      </c>
      <c r="AB107" t="str">
        <f>E21</f>
        <v>Nombre de gouvernes</v>
      </c>
      <c r="AC107" t="str">
        <f>J21</f>
        <v>(-)</v>
      </c>
      <c r="AD107" s="83" t="str">
        <f>CONCATENATE(IF(S21="oui","#",""),"variable: ",Y107," ",Z107," input ","description= """,AB107,""" units= """,AC107,"""")</f>
        <v>variable: nb_rctrl_surface integer input description= "Nombre de gouvernes" units= "(-)"</v>
      </c>
      <c r="AE107" s="7" t="str">
        <f>CONCATENER_MODELCENTER(K21,$F21,$G21)</f>
        <v>X0.Control.ctrl_surfaces</v>
      </c>
      <c r="AF107" s="7" t="str">
        <f>CONCATENER_MODELCENTER(L21,$F21,$G21)</f>
        <v>Y02.Control.ctrl_surfaces</v>
      </c>
      <c r="AG107" s="7" t="str">
        <f>CONCATENER_MODELCENTER(M21,$F21,$G21)</f>
        <v>Y03.Control.ctrl_surfaces</v>
      </c>
      <c r="AH107" s="7" t="str">
        <f>CONCATENER_MODELCENTER(N21,$F21,$G21)</f>
        <v/>
      </c>
      <c r="AI107" s="7" t="str">
        <f>CONCATENER_MODELCENTER(O21,$F21,$G21)</f>
        <v/>
      </c>
      <c r="AJ107" s="7" t="str">
        <f>CONCATENER_MODELCENTER(P21,$F21,$G21)</f>
        <v/>
      </c>
    </row>
    <row r="108" spans="21:36" x14ac:dyDescent="0.25">
      <c r="U108" s="7"/>
      <c r="V108" s="68"/>
      <c r="Y108" t="str">
        <f>Q22</f>
        <v>ctrl_surface_chord</v>
      </c>
      <c r="Z108" t="str">
        <f>I22</f>
        <v>double[]</v>
      </c>
      <c r="AA108" t="str">
        <f>H22</f>
        <v>table</v>
      </c>
      <c r="AB108" t="str">
        <f>E22</f>
        <v>Corde des gouvernes</v>
      </c>
      <c r="AC108" t="str">
        <f>J22</f>
        <v>m</v>
      </c>
      <c r="AD108" s="83" t="str">
        <f>CONCATENATE(IF(S22="oui","#",""),"variable: ",Y108," ",Z108," input ","description= """,AB108,""" units= """,AC108,"""")</f>
        <v>variable: ctrl_surface_chord double[] input description= "Corde des gouvernes" units= "m"</v>
      </c>
      <c r="AE108" s="7" t="str">
        <f>CONCATENER_MODELCENTER(K22,$F22,$G22)</f>
        <v>X0.Control.ctrl_surfaces</v>
      </c>
      <c r="AF108" s="7" t="str">
        <f>CONCATENER_MODELCENTER(L22,$F22,$G22)</f>
        <v>Y02.Control.ctrl_surfaces</v>
      </c>
      <c r="AG108" s="7" t="str">
        <f>CONCATENER_MODELCENTER(M22,$F22,$G22)</f>
        <v>Y03.Control.ctrl_surfaces</v>
      </c>
      <c r="AH108" s="7" t="str">
        <f>CONCATENER_MODELCENTER(N22,$F22,$G22)</f>
        <v/>
      </c>
      <c r="AI108" s="7" t="str">
        <f>CONCATENER_MODELCENTER(O22,$F22,$G22)</f>
        <v/>
      </c>
      <c r="AJ108" s="7" t="str">
        <f>CONCATENER_MODELCENTER(P22,$F22,$G22)</f>
        <v/>
      </c>
    </row>
    <row r="109" spans="21:36" x14ac:dyDescent="0.25">
      <c r="U109" s="7"/>
      <c r="V109" s="68"/>
      <c r="Y109" t="e">
        <f>#REF!</f>
        <v>#REF!</v>
      </c>
      <c r="Z109" t="e">
        <f>#REF!</f>
        <v>#REF!</v>
      </c>
      <c r="AA109" t="e">
        <f>#REF!</f>
        <v>#REF!</v>
      </c>
      <c r="AB109" t="e">
        <f>#REF!</f>
        <v>#REF!</v>
      </c>
      <c r="AC109" t="e">
        <f>#REF!</f>
        <v>#REF!</v>
      </c>
      <c r="AD109" s="83" t="e">
        <f>CONCATENATE(IF(#REF!="oui","#",""),"variable: ",Y109," ",Z109," input ","description= """,AB109,""" units= """,AC109,"""")</f>
        <v>#REF!</v>
      </c>
      <c r="AE109" s="7" t="e">
        <f>CONCATENER_MODELCENTER(#REF!,#REF!,#REF!)</f>
        <v>#VALUE!</v>
      </c>
      <c r="AF109" s="7" t="e">
        <f>CONCATENER_MODELCENTER(#REF!,#REF!,#REF!)</f>
        <v>#VALUE!</v>
      </c>
      <c r="AG109" s="7" t="e">
        <f>CONCATENER_MODELCENTER(#REF!,#REF!,#REF!)</f>
        <v>#VALUE!</v>
      </c>
      <c r="AH109" s="7" t="e">
        <f>CONCATENER_MODELCENTER(#REF!,#REF!,#REF!)</f>
        <v>#VALUE!</v>
      </c>
      <c r="AI109" s="7" t="e">
        <f>CONCATENER_MODELCENTER(#REF!,#REF!,#REF!)</f>
        <v>#VALUE!</v>
      </c>
      <c r="AJ109" s="7" t="e">
        <f>CONCATENER_MODELCENTER(#REF!,#REF!,#REF!)</f>
        <v>#VALUE!</v>
      </c>
    </row>
    <row r="110" spans="21:36" x14ac:dyDescent="0.25">
      <c r="U110" s="7"/>
      <c r="V110" s="68"/>
      <c r="Y110" t="e">
        <f>#REF!</f>
        <v>#REF!</v>
      </c>
      <c r="Z110" t="e">
        <f>#REF!</f>
        <v>#REF!</v>
      </c>
      <c r="AA110" t="e">
        <f>#REF!</f>
        <v>#REF!</v>
      </c>
      <c r="AB110" t="e">
        <f>#REF!</f>
        <v>#REF!</v>
      </c>
      <c r="AC110" t="e">
        <f>#REF!</f>
        <v>#REF!</v>
      </c>
      <c r="AD110" s="83" t="e">
        <f>CONCATENATE(IF(#REF!="oui","#",""),"variable: ",Y110," ",Z110," input ","description= """,AB110,""" units= """,AC110,"""")</f>
        <v>#REF!</v>
      </c>
      <c r="AE110" s="7" t="e">
        <f>CONCATENER_MODELCENTER(#REF!,#REF!,#REF!)</f>
        <v>#VALUE!</v>
      </c>
      <c r="AF110" s="7" t="e">
        <f>CONCATENER_MODELCENTER(#REF!,#REF!,#REF!)</f>
        <v>#VALUE!</v>
      </c>
      <c r="AG110" s="7" t="e">
        <f>CONCATENER_MODELCENTER(#REF!,#REF!,#REF!)</f>
        <v>#VALUE!</v>
      </c>
      <c r="AH110" s="7" t="e">
        <f>CONCATENER_MODELCENTER(#REF!,#REF!,#REF!)</f>
        <v>#VALUE!</v>
      </c>
      <c r="AI110" s="7" t="e">
        <f>CONCATENER_MODELCENTER(#REF!,#REF!,#REF!)</f>
        <v>#VALUE!</v>
      </c>
      <c r="AJ110" s="7" t="e">
        <f>CONCATENER_MODELCENTER(#REF!,#REF!,#REF!)</f>
        <v>#VALUE!</v>
      </c>
    </row>
    <row r="111" spans="21:36" x14ac:dyDescent="0.25">
      <c r="U111" s="7"/>
      <c r="V111" s="68"/>
      <c r="Y111" t="e">
        <f>#REF!</f>
        <v>#REF!</v>
      </c>
      <c r="Z111" t="e">
        <f>#REF!</f>
        <v>#REF!</v>
      </c>
      <c r="AA111" t="e">
        <f>#REF!</f>
        <v>#REF!</v>
      </c>
      <c r="AB111" t="e">
        <f>#REF!</f>
        <v>#REF!</v>
      </c>
      <c r="AC111" t="e">
        <f>#REF!</f>
        <v>#REF!</v>
      </c>
      <c r="AD111" s="83" t="e">
        <f>CONCATENATE(IF(#REF!="oui","#",""),"variable: ",Y111," ",Z111," input ","description= """,AB111,""" units= """,AC111,"""")</f>
        <v>#REF!</v>
      </c>
      <c r="AE111" s="7" t="e">
        <f>CONCATENER_MODELCENTER(#REF!,#REF!,#REF!)</f>
        <v>#VALUE!</v>
      </c>
      <c r="AF111" s="7" t="e">
        <f>CONCATENER_MODELCENTER(#REF!,#REF!,#REF!)</f>
        <v>#VALUE!</v>
      </c>
      <c r="AG111" s="7" t="e">
        <f>CONCATENER_MODELCENTER(#REF!,#REF!,#REF!)</f>
        <v>#VALUE!</v>
      </c>
      <c r="AH111" s="7" t="e">
        <f>CONCATENER_MODELCENTER(#REF!,#REF!,#REF!)</f>
        <v>#VALUE!</v>
      </c>
      <c r="AI111" s="7" t="e">
        <f>CONCATENER_MODELCENTER(#REF!,#REF!,#REF!)</f>
        <v>#VALUE!</v>
      </c>
      <c r="AJ111" s="7" t="e">
        <f>CONCATENER_MODELCENTER(#REF!,#REF!,#REF!)</f>
        <v>#VALUE!</v>
      </c>
    </row>
    <row r="112" spans="21:36" x14ac:dyDescent="0.25">
      <c r="U112" s="7"/>
      <c r="V112" s="68"/>
      <c r="Y112" t="e">
        <f>#REF!</f>
        <v>#REF!</v>
      </c>
      <c r="Z112" t="e">
        <f>#REF!</f>
        <v>#REF!</v>
      </c>
      <c r="AA112" t="e">
        <f>#REF!</f>
        <v>#REF!</v>
      </c>
      <c r="AB112" t="e">
        <f>#REF!</f>
        <v>#REF!</v>
      </c>
      <c r="AC112" t="e">
        <f>#REF!</f>
        <v>#REF!</v>
      </c>
      <c r="AD112" s="83" t="e">
        <f>CONCATENATE(IF(#REF!="oui","#",""),"variable: ",Y112," ",Z112," input ","description= """,AB112,""" units= """,AC112,"""")</f>
        <v>#REF!</v>
      </c>
      <c r="AE112" s="7" t="e">
        <f>CONCATENER_MODELCENTER(#REF!,#REF!,#REF!)</f>
        <v>#VALUE!</v>
      </c>
      <c r="AF112" s="7" t="e">
        <f>CONCATENER_MODELCENTER(#REF!,#REF!,#REF!)</f>
        <v>#VALUE!</v>
      </c>
      <c r="AG112" s="7" t="e">
        <f>CONCATENER_MODELCENTER(#REF!,#REF!,#REF!)</f>
        <v>#VALUE!</v>
      </c>
      <c r="AH112" s="7" t="e">
        <f>CONCATENER_MODELCENTER(#REF!,#REF!,#REF!)</f>
        <v>#VALUE!</v>
      </c>
      <c r="AI112" s="7" t="e">
        <f>CONCATENER_MODELCENTER(#REF!,#REF!,#REF!)</f>
        <v>#VALUE!</v>
      </c>
      <c r="AJ112" s="7" t="e">
        <f>CONCATENER_MODELCENTER(#REF!,#REF!,#REF!)</f>
        <v>#VALUE!</v>
      </c>
    </row>
    <row r="113" spans="21:36" x14ac:dyDescent="0.25">
      <c r="U113" s="7"/>
      <c r="V113" s="68"/>
      <c r="Y113" t="e">
        <f>#REF!</f>
        <v>#REF!</v>
      </c>
      <c r="Z113" t="e">
        <f>#REF!</f>
        <v>#REF!</v>
      </c>
      <c r="AA113" t="e">
        <f>#REF!</f>
        <v>#REF!</v>
      </c>
      <c r="AB113" t="e">
        <f>#REF!</f>
        <v>#REF!</v>
      </c>
      <c r="AC113" t="e">
        <f>#REF!</f>
        <v>#REF!</v>
      </c>
      <c r="AD113" s="83" t="e">
        <f>CONCATENATE(IF(#REF!="oui","#",""),"variable: ",Y113," ",Z113," input ","description= """,AB113,""" units= """,AC113,"""")</f>
        <v>#REF!</v>
      </c>
      <c r="AE113" s="7" t="e">
        <f>CONCATENER_MODELCENTER(#REF!,#REF!,#REF!)</f>
        <v>#VALUE!</v>
      </c>
      <c r="AF113" s="7" t="e">
        <f>CONCATENER_MODELCENTER(#REF!,#REF!,#REF!)</f>
        <v>#VALUE!</v>
      </c>
      <c r="AG113" s="7" t="e">
        <f>CONCATENER_MODELCENTER(#REF!,#REF!,#REF!)</f>
        <v>#VALUE!</v>
      </c>
      <c r="AH113" s="7" t="e">
        <f>CONCATENER_MODELCENTER(#REF!,#REF!,#REF!)</f>
        <v>#VALUE!</v>
      </c>
      <c r="AI113" s="7" t="e">
        <f>CONCATENER_MODELCENTER(#REF!,#REF!,#REF!)</f>
        <v>#VALUE!</v>
      </c>
      <c r="AJ113" s="7" t="e">
        <f>CONCATENER_MODELCENTER(#REF!,#REF!,#REF!)</f>
        <v>#VALUE!</v>
      </c>
    </row>
    <row r="114" spans="21:36" x14ac:dyDescent="0.25">
      <c r="U114" s="7"/>
      <c r="V114" s="68"/>
      <c r="Y114" t="str">
        <f>Q23</f>
        <v>lambda_table</v>
      </c>
      <c r="Z114" t="str">
        <f>I23</f>
        <v>double[]</v>
      </c>
      <c r="AA114" t="str">
        <f>H23</f>
        <v>table</v>
      </c>
      <c r="AB114" t="str">
        <f>E23</f>
        <v>Valeurs propres des modes avion</v>
      </c>
      <c r="AC114" t="str">
        <f>J23</f>
        <v>(-)</v>
      </c>
      <c r="AD114" s="83" t="str">
        <f>CONCATENATE(IF(S23="oui","#",""),"variable: ",Y114," ",Z114," input ","description= """,AB114,""" units= """,AC114,"""")</f>
        <v>variable: lambda_table double[] input description= "Valeurs propres des modes avion" units= "(-)"</v>
      </c>
      <c r="AE114" s="7" t="str">
        <f>CONCATENER_MODELCENTER(K23,$F23,$G23)</f>
        <v>Y5x.Control.modes</v>
      </c>
      <c r="AF114" s="7" t="str">
        <f>CONCATENER_MODELCENTER(L23,$F23,$G23)</f>
        <v/>
      </c>
      <c r="AG114" s="7" t="str">
        <f>CONCATENER_MODELCENTER(M23,$F23,$G23)</f>
        <v/>
      </c>
      <c r="AH114" s="7" t="str">
        <f>CONCATENER_MODELCENTER(N23,$F23,$G23)</f>
        <v/>
      </c>
      <c r="AI114" s="7" t="str">
        <f>CONCATENER_MODELCENTER(O23,$F23,$G23)</f>
        <v/>
      </c>
      <c r="AJ114" s="7" t="str">
        <f>CONCATENER_MODELCENTER(P23,$F23,$G23)</f>
        <v/>
      </c>
    </row>
    <row r="120" spans="21:36" x14ac:dyDescent="0.25">
      <c r="U120" s="7"/>
      <c r="V120" s="68"/>
      <c r="AD120" s="70" t="e">
        <f>CONCATENATE("variable: ",#REF!," ",#REF!," input","description=""",#REF!,""" units=""",#REF!,"""")</f>
        <v>#REF!</v>
      </c>
    </row>
  </sheetData>
  <autoFilter ref="B15:S23"/>
  <dataConsolidate/>
  <mergeCells count="6">
    <mergeCell ref="V3:V19"/>
    <mergeCell ref="B2:T2"/>
    <mergeCell ref="B3:T3"/>
    <mergeCell ref="E8:E12"/>
    <mergeCell ref="E6:E7"/>
    <mergeCell ref="B6:C7"/>
  </mergeCells>
  <phoneticPr fontId="0" type="noConversion"/>
  <dataValidations count="1">
    <dataValidation type="list" allowBlank="1" showInputMessage="1" showErrorMessage="1" sqref="G16:G23">
      <formula1>sousGroupesDisponibles</formula1>
    </dataValidation>
  </dataValidations>
  <pageMargins left="0.78740157480314965" right="0.78740157480314965" top="0.98425196850393704" bottom="0.98425196850393704" header="0.51181102362204722" footer="0.51181102362204722"/>
  <pageSetup scale="16" fitToHeight="4"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6" r:id="rId4" name="Button 14">
              <controlPr defaultSize="0" print="0" autoFill="0" autoPict="0" macro="[0]!writeInputsOuputsWrapper">
                <anchor moveWithCells="1">
                  <from>
                    <xdr:col>5</xdr:col>
                    <xdr:colOff>129540</xdr:colOff>
                    <xdr:row>5</xdr:row>
                    <xdr:rowOff>7620</xdr:rowOff>
                  </from>
                  <to>
                    <xdr:col>6</xdr:col>
                    <xdr:colOff>396240</xdr:colOff>
                    <xdr:row>7</xdr:row>
                    <xdr:rowOff>22860</xdr:rowOff>
                  </to>
                </anchor>
              </controlPr>
            </control>
          </mc:Choice>
        </mc:AlternateContent>
        <mc:AlternateContent xmlns:mc="http://schemas.openxmlformats.org/markup-compatibility/2006">
          <mc:Choice Requires="x14">
            <control shapeId="3089" r:id="rId5" name="Button 17">
              <controlPr defaultSize="0" print="0" autoFill="0" autoPict="0" macro="[0]!writeStateVector">
                <anchor moveWithCells="1">
                  <from>
                    <xdr:col>6</xdr:col>
                    <xdr:colOff>480060</xdr:colOff>
                    <xdr:row>5</xdr:row>
                    <xdr:rowOff>7620</xdr:rowOff>
                  </from>
                  <to>
                    <xdr:col>8</xdr:col>
                    <xdr:colOff>281940</xdr:colOff>
                    <xdr:row>7</xdr:row>
                    <xdr:rowOff>22860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E138"/>
  <sheetViews>
    <sheetView topLeftCell="A136" workbookViewId="0">
      <selection activeCell="F152" sqref="F152"/>
    </sheetView>
  </sheetViews>
  <sheetFormatPr baseColWidth="10" defaultColWidth="11.44140625" defaultRowHeight="13.2" x14ac:dyDescent="0.25"/>
  <cols>
    <col min="1" max="1" width="36.44140625" bestFit="1" customWidth="1"/>
    <col min="2" max="2" width="7.5546875" bestFit="1" customWidth="1"/>
    <col min="3" max="3" width="10.88671875" bestFit="1" customWidth="1"/>
    <col min="4" max="4" width="76.6640625" bestFit="1" customWidth="1"/>
  </cols>
  <sheetData>
    <row r="1" spans="1:5" ht="19.5" customHeight="1" x14ac:dyDescent="0.25">
      <c r="A1" s="117" t="s">
        <v>552</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569</v>
      </c>
      <c r="B10" s="89"/>
      <c r="C10" s="89"/>
      <c r="D10" s="89"/>
      <c r="E10" s="89"/>
    </row>
    <row r="11" spans="1:5" ht="13.8" thickTop="1" x14ac:dyDescent="0.25">
      <c r="A11" t="s">
        <v>140</v>
      </c>
      <c r="B11" t="s">
        <v>13</v>
      </c>
      <c r="C11" t="s">
        <v>299</v>
      </c>
      <c r="D11" t="s">
        <v>141</v>
      </c>
      <c r="E11" t="s">
        <v>12</v>
      </c>
    </row>
    <row r="12" spans="1:5" x14ac:dyDescent="0.25">
      <c r="A12" t="s">
        <v>112</v>
      </c>
      <c r="B12" t="s">
        <v>13</v>
      </c>
      <c r="C12" t="s">
        <v>299</v>
      </c>
      <c r="D12" t="s">
        <v>113</v>
      </c>
      <c r="E12" t="s">
        <v>46</v>
      </c>
    </row>
    <row r="13" spans="1:5" x14ac:dyDescent="0.25">
      <c r="A13" t="s">
        <v>114</v>
      </c>
      <c r="B13" t="s">
        <v>13</v>
      </c>
      <c r="C13" t="s">
        <v>299</v>
      </c>
      <c r="D13" t="s">
        <v>115</v>
      </c>
      <c r="E13" t="s">
        <v>46</v>
      </c>
    </row>
    <row r="14" spans="1:5" x14ac:dyDescent="0.25">
      <c r="A14" t="s">
        <v>116</v>
      </c>
      <c r="B14" t="s">
        <v>13</v>
      </c>
      <c r="C14" t="s">
        <v>299</v>
      </c>
      <c r="D14" t="s">
        <v>117</v>
      </c>
      <c r="E14" t="s">
        <v>39</v>
      </c>
    </row>
    <row r="15" spans="1:5" x14ac:dyDescent="0.25">
      <c r="A15" t="s">
        <v>485</v>
      </c>
      <c r="B15" t="s">
        <v>13</v>
      </c>
      <c r="C15" t="s">
        <v>299</v>
      </c>
      <c r="D15" t="s">
        <v>457</v>
      </c>
      <c r="E15" t="s">
        <v>39</v>
      </c>
    </row>
    <row r="16" spans="1:5" x14ac:dyDescent="0.25">
      <c r="A16" t="s">
        <v>118</v>
      </c>
      <c r="B16" t="s">
        <v>13</v>
      </c>
      <c r="C16" t="s">
        <v>299</v>
      </c>
      <c r="D16" t="s">
        <v>119</v>
      </c>
      <c r="E16" t="s">
        <v>39</v>
      </c>
    </row>
    <row r="17" spans="1:5" x14ac:dyDescent="0.25">
      <c r="A17" t="s">
        <v>120</v>
      </c>
      <c r="B17" t="s">
        <v>13</v>
      </c>
      <c r="C17" t="s">
        <v>299</v>
      </c>
      <c r="D17" t="s">
        <v>121</v>
      </c>
      <c r="E17" t="s">
        <v>39</v>
      </c>
    </row>
    <row r="18" spans="1:5" x14ac:dyDescent="0.25">
      <c r="A18" t="s">
        <v>486</v>
      </c>
      <c r="B18" t="s">
        <v>13</v>
      </c>
      <c r="C18" t="s">
        <v>299</v>
      </c>
      <c r="D18" t="s">
        <v>458</v>
      </c>
      <c r="E18" t="s">
        <v>39</v>
      </c>
    </row>
    <row r="19" spans="1:5" x14ac:dyDescent="0.25">
      <c r="A19" t="s">
        <v>122</v>
      </c>
      <c r="B19" t="s">
        <v>13</v>
      </c>
      <c r="C19" t="s">
        <v>299</v>
      </c>
      <c r="D19" t="s">
        <v>68</v>
      </c>
      <c r="E19" t="s">
        <v>46</v>
      </c>
    </row>
    <row r="20" spans="1:5" x14ac:dyDescent="0.25">
      <c r="A20" t="s">
        <v>489</v>
      </c>
      <c r="B20" t="s">
        <v>13</v>
      </c>
      <c r="C20" t="s">
        <v>299</v>
      </c>
      <c r="D20" t="s">
        <v>461</v>
      </c>
      <c r="E20" t="s">
        <v>46</v>
      </c>
    </row>
    <row r="21" spans="1:5" x14ac:dyDescent="0.25">
      <c r="A21" t="s">
        <v>123</v>
      </c>
      <c r="B21" t="s">
        <v>13</v>
      </c>
      <c r="C21" t="s">
        <v>299</v>
      </c>
      <c r="D21" t="s">
        <v>69</v>
      </c>
      <c r="E21" t="s">
        <v>46</v>
      </c>
    </row>
    <row r="22" spans="1:5" x14ac:dyDescent="0.25">
      <c r="A22" t="s">
        <v>124</v>
      </c>
      <c r="B22" t="s">
        <v>13</v>
      </c>
      <c r="C22" t="s">
        <v>299</v>
      </c>
      <c r="D22" t="s">
        <v>126</v>
      </c>
      <c r="E22" t="s">
        <v>46</v>
      </c>
    </row>
    <row r="23" spans="1:5" x14ac:dyDescent="0.25">
      <c r="A23" t="s">
        <v>490</v>
      </c>
      <c r="B23" t="s">
        <v>13</v>
      </c>
      <c r="C23" t="s">
        <v>299</v>
      </c>
      <c r="D23" t="s">
        <v>462</v>
      </c>
      <c r="E23" t="s">
        <v>46</v>
      </c>
    </row>
    <row r="24" spans="1:5" x14ac:dyDescent="0.25">
      <c r="A24" t="s">
        <v>125</v>
      </c>
      <c r="B24" t="s">
        <v>13</v>
      </c>
      <c r="C24" t="s">
        <v>299</v>
      </c>
      <c r="D24" t="s">
        <v>127</v>
      </c>
      <c r="E24" t="s">
        <v>46</v>
      </c>
    </row>
    <row r="25" spans="1:5" x14ac:dyDescent="0.25">
      <c r="A25" t="s">
        <v>528</v>
      </c>
      <c r="B25" t="s">
        <v>13</v>
      </c>
      <c r="C25" t="s">
        <v>299</v>
      </c>
      <c r="D25" t="s">
        <v>306</v>
      </c>
      <c r="E25" t="s">
        <v>46</v>
      </c>
    </row>
    <row r="26" spans="1:5" x14ac:dyDescent="0.25">
      <c r="A26" t="s">
        <v>529</v>
      </c>
      <c r="B26" t="s">
        <v>13</v>
      </c>
      <c r="C26" t="s">
        <v>299</v>
      </c>
      <c r="D26" t="s">
        <v>307</v>
      </c>
      <c r="E26" t="s">
        <v>46</v>
      </c>
    </row>
    <row r="27" spans="1:5" x14ac:dyDescent="0.25">
      <c r="A27" t="s">
        <v>10</v>
      </c>
      <c r="B27" t="s">
        <v>13</v>
      </c>
      <c r="C27" t="s">
        <v>299</v>
      </c>
      <c r="D27" t="s">
        <v>318</v>
      </c>
      <c r="E27" t="s">
        <v>12</v>
      </c>
    </row>
    <row r="28" spans="1:5" x14ac:dyDescent="0.25">
      <c r="A28" t="s">
        <v>494</v>
      </c>
      <c r="B28" t="s">
        <v>13</v>
      </c>
      <c r="C28" t="s">
        <v>299</v>
      </c>
      <c r="D28" t="s">
        <v>466</v>
      </c>
      <c r="E28" t="s">
        <v>12</v>
      </c>
    </row>
    <row r="29" spans="1:5" x14ac:dyDescent="0.25">
      <c r="A29" t="s">
        <v>415</v>
      </c>
      <c r="B29" t="s">
        <v>13</v>
      </c>
      <c r="C29" t="s">
        <v>299</v>
      </c>
      <c r="D29" t="s">
        <v>424</v>
      </c>
      <c r="E29" t="s">
        <v>12</v>
      </c>
    </row>
    <row r="30" spans="1:5" x14ac:dyDescent="0.25">
      <c r="A30" t="s">
        <v>416</v>
      </c>
      <c r="B30" t="s">
        <v>13</v>
      </c>
      <c r="C30" t="s">
        <v>299</v>
      </c>
      <c r="D30" t="s">
        <v>423</v>
      </c>
      <c r="E30" t="s">
        <v>12</v>
      </c>
    </row>
    <row r="31" spans="1:5" x14ac:dyDescent="0.25">
      <c r="A31" t="s">
        <v>128</v>
      </c>
      <c r="B31" t="s">
        <v>13</v>
      </c>
      <c r="C31" t="s">
        <v>299</v>
      </c>
      <c r="D31" t="s">
        <v>129</v>
      </c>
      <c r="E31" t="s">
        <v>39</v>
      </c>
    </row>
    <row r="32" spans="1:5" x14ac:dyDescent="0.25">
      <c r="A32" t="s">
        <v>130</v>
      </c>
      <c r="B32" t="s">
        <v>13</v>
      </c>
      <c r="C32" t="s">
        <v>299</v>
      </c>
      <c r="D32" t="s">
        <v>131</v>
      </c>
      <c r="E32" t="s">
        <v>12</v>
      </c>
    </row>
    <row r="33" spans="1:5" x14ac:dyDescent="0.25">
      <c r="A33" t="s">
        <v>499</v>
      </c>
      <c r="B33" t="s">
        <v>13</v>
      </c>
      <c r="C33" t="s">
        <v>299</v>
      </c>
      <c r="D33" t="s">
        <v>470</v>
      </c>
      <c r="E33" t="s">
        <v>12</v>
      </c>
    </row>
    <row r="34" spans="1:5" x14ac:dyDescent="0.25">
      <c r="A34" t="s">
        <v>132</v>
      </c>
      <c r="B34" t="s">
        <v>13</v>
      </c>
      <c r="C34" t="s">
        <v>299</v>
      </c>
      <c r="D34" t="s">
        <v>133</v>
      </c>
      <c r="E34" t="s">
        <v>12</v>
      </c>
    </row>
    <row r="35" spans="1:5" x14ac:dyDescent="0.25">
      <c r="A35" t="s">
        <v>134</v>
      </c>
      <c r="B35" t="s">
        <v>13</v>
      </c>
      <c r="C35" t="s">
        <v>299</v>
      </c>
      <c r="D35" t="s">
        <v>135</v>
      </c>
      <c r="E35" t="s">
        <v>12</v>
      </c>
    </row>
    <row r="36" spans="1:5" x14ac:dyDescent="0.25">
      <c r="A36" t="s">
        <v>138</v>
      </c>
      <c r="B36" t="s">
        <v>13</v>
      </c>
      <c r="C36" t="s">
        <v>299</v>
      </c>
      <c r="D36" t="s">
        <v>72</v>
      </c>
      <c r="E36" t="s">
        <v>12</v>
      </c>
    </row>
    <row r="38" spans="1:5" ht="18" thickBot="1" x14ac:dyDescent="0.4">
      <c r="A38" s="89" t="s">
        <v>570</v>
      </c>
      <c r="B38" s="89"/>
      <c r="C38" s="89"/>
      <c r="D38" s="89"/>
      <c r="E38" s="89"/>
    </row>
    <row r="39" spans="1:5" ht="13.8" thickTop="1" x14ac:dyDescent="0.25">
      <c r="A39" t="s">
        <v>308</v>
      </c>
      <c r="B39" t="s">
        <v>13</v>
      </c>
      <c r="C39" t="s">
        <v>299</v>
      </c>
      <c r="D39" t="s">
        <v>309</v>
      </c>
      <c r="E39" t="s">
        <v>12</v>
      </c>
    </row>
    <row r="40" spans="1:5" x14ac:dyDescent="0.25">
      <c r="A40" t="s">
        <v>310</v>
      </c>
      <c r="B40" t="s">
        <v>13</v>
      </c>
      <c r="C40" t="s">
        <v>299</v>
      </c>
      <c r="D40" t="s">
        <v>311</v>
      </c>
      <c r="E40" t="s">
        <v>12</v>
      </c>
    </row>
    <row r="41" spans="1:5" x14ac:dyDescent="0.25">
      <c r="A41" t="s">
        <v>491</v>
      </c>
      <c r="B41" t="s">
        <v>13</v>
      </c>
      <c r="C41" t="s">
        <v>299</v>
      </c>
      <c r="D41" t="s">
        <v>463</v>
      </c>
      <c r="E41" t="s">
        <v>12</v>
      </c>
    </row>
    <row r="42" spans="1:5" x14ac:dyDescent="0.25">
      <c r="A42" t="s">
        <v>492</v>
      </c>
      <c r="B42" t="s">
        <v>13</v>
      </c>
      <c r="C42" t="s">
        <v>299</v>
      </c>
      <c r="D42" t="s">
        <v>464</v>
      </c>
      <c r="E42" t="s">
        <v>12</v>
      </c>
    </row>
    <row r="43" spans="1:5" x14ac:dyDescent="0.25">
      <c r="A43" t="s">
        <v>312</v>
      </c>
      <c r="B43" t="s">
        <v>13</v>
      </c>
      <c r="C43" t="s">
        <v>299</v>
      </c>
      <c r="D43" t="s">
        <v>313</v>
      </c>
      <c r="E43" t="s">
        <v>12</v>
      </c>
    </row>
    <row r="44" spans="1:5" x14ac:dyDescent="0.25">
      <c r="A44" t="s">
        <v>314</v>
      </c>
      <c r="B44" t="s">
        <v>13</v>
      </c>
      <c r="C44" t="s">
        <v>299</v>
      </c>
      <c r="D44" t="s">
        <v>315</v>
      </c>
      <c r="E44" t="s">
        <v>12</v>
      </c>
    </row>
    <row r="45" spans="1:5" x14ac:dyDescent="0.25">
      <c r="A45" t="s">
        <v>15</v>
      </c>
      <c r="B45" t="s">
        <v>13</v>
      </c>
      <c r="C45" t="s">
        <v>299</v>
      </c>
      <c r="D45" t="s">
        <v>316</v>
      </c>
      <c r="E45" t="s">
        <v>12</v>
      </c>
    </row>
    <row r="46" spans="1:5" x14ac:dyDescent="0.25">
      <c r="A46" t="s">
        <v>493</v>
      </c>
      <c r="B46" t="s">
        <v>13</v>
      </c>
      <c r="C46" t="s">
        <v>299</v>
      </c>
      <c r="D46" t="s">
        <v>465</v>
      </c>
      <c r="E46" t="s">
        <v>12</v>
      </c>
    </row>
    <row r="47" spans="1:5" x14ac:dyDescent="0.25">
      <c r="A47" t="s">
        <v>16</v>
      </c>
      <c r="B47" t="s">
        <v>13</v>
      </c>
      <c r="C47" t="s">
        <v>299</v>
      </c>
      <c r="D47" t="s">
        <v>317</v>
      </c>
      <c r="E47" t="s">
        <v>12</v>
      </c>
    </row>
    <row r="49" spans="1:5" ht="18" thickBot="1" x14ac:dyDescent="0.4">
      <c r="A49" s="89" t="s">
        <v>571</v>
      </c>
      <c r="B49" s="89"/>
      <c r="C49" s="89"/>
      <c r="D49" s="89"/>
      <c r="E49" s="89"/>
    </row>
    <row r="50" spans="1:5" ht="13.8" thickTop="1" x14ac:dyDescent="0.25">
      <c r="A50" t="s">
        <v>74</v>
      </c>
      <c r="B50" t="s">
        <v>13</v>
      </c>
      <c r="C50" t="s">
        <v>299</v>
      </c>
      <c r="D50" t="s">
        <v>75</v>
      </c>
      <c r="E50" t="s">
        <v>12</v>
      </c>
    </row>
    <row r="51" spans="1:5" x14ac:dyDescent="0.25">
      <c r="A51" t="s">
        <v>153</v>
      </c>
      <c r="B51" t="s">
        <v>13</v>
      </c>
      <c r="C51" t="s">
        <v>299</v>
      </c>
      <c r="D51" t="s">
        <v>76</v>
      </c>
      <c r="E51" t="s">
        <v>39</v>
      </c>
    </row>
    <row r="53" spans="1:5" ht="18" thickBot="1" x14ac:dyDescent="0.4">
      <c r="A53" s="89" t="s">
        <v>572</v>
      </c>
      <c r="B53" s="89"/>
      <c r="C53" s="89"/>
      <c r="D53" s="89"/>
      <c r="E53" s="89"/>
    </row>
    <row r="54" spans="1:5" ht="13.8" thickTop="1" x14ac:dyDescent="0.25">
      <c r="A54" t="s">
        <v>176</v>
      </c>
      <c r="B54" t="s">
        <v>13</v>
      </c>
      <c r="C54" t="s">
        <v>299</v>
      </c>
      <c r="D54" t="s">
        <v>175</v>
      </c>
      <c r="E54" t="s">
        <v>406</v>
      </c>
    </row>
    <row r="55" spans="1:5" x14ac:dyDescent="0.25">
      <c r="A55" t="s">
        <v>177</v>
      </c>
      <c r="B55" t="s">
        <v>13</v>
      </c>
      <c r="C55" t="s">
        <v>299</v>
      </c>
      <c r="D55" t="s">
        <v>181</v>
      </c>
      <c r="E55" t="s">
        <v>46</v>
      </c>
    </row>
    <row r="56" spans="1:5" x14ac:dyDescent="0.25">
      <c r="A56" t="s">
        <v>331</v>
      </c>
      <c r="B56" t="s">
        <v>13</v>
      </c>
      <c r="C56" t="s">
        <v>299</v>
      </c>
      <c r="D56" t="s">
        <v>178</v>
      </c>
      <c r="E56" t="s">
        <v>46</v>
      </c>
    </row>
    <row r="57" spans="1:5" x14ac:dyDescent="0.25">
      <c r="A57" t="s">
        <v>179</v>
      </c>
      <c r="B57" t="s">
        <v>13</v>
      </c>
      <c r="C57" t="s">
        <v>299</v>
      </c>
      <c r="D57" t="s">
        <v>182</v>
      </c>
      <c r="E57" t="s">
        <v>39</v>
      </c>
    </row>
    <row r="58" spans="1:5" x14ac:dyDescent="0.25">
      <c r="A58" t="s">
        <v>180</v>
      </c>
      <c r="B58" t="s">
        <v>13</v>
      </c>
      <c r="C58" t="s">
        <v>299</v>
      </c>
      <c r="D58" t="s">
        <v>183</v>
      </c>
      <c r="E58" t="s">
        <v>46</v>
      </c>
    </row>
    <row r="59" spans="1:5" x14ac:dyDescent="0.25">
      <c r="A59" t="s">
        <v>187</v>
      </c>
      <c r="B59" t="s">
        <v>13</v>
      </c>
      <c r="C59" t="s">
        <v>299</v>
      </c>
      <c r="D59" t="s">
        <v>184</v>
      </c>
      <c r="E59" t="s">
        <v>12</v>
      </c>
    </row>
    <row r="60" spans="1:5" x14ac:dyDescent="0.25">
      <c r="A60" t="s">
        <v>188</v>
      </c>
      <c r="B60" t="s">
        <v>13</v>
      </c>
      <c r="C60" t="s">
        <v>299</v>
      </c>
      <c r="D60" t="s">
        <v>185</v>
      </c>
      <c r="E60" t="s">
        <v>12</v>
      </c>
    </row>
    <row r="61" spans="1:5" x14ac:dyDescent="0.25">
      <c r="A61" t="s">
        <v>189</v>
      </c>
      <c r="B61" t="s">
        <v>13</v>
      </c>
      <c r="C61" t="s">
        <v>299</v>
      </c>
      <c r="D61" t="s">
        <v>186</v>
      </c>
      <c r="E61" t="s">
        <v>12</v>
      </c>
    </row>
    <row r="62" spans="1:5" x14ac:dyDescent="0.25">
      <c r="A62" t="s">
        <v>193</v>
      </c>
      <c r="B62" t="s">
        <v>13</v>
      </c>
      <c r="C62" t="s">
        <v>299</v>
      </c>
      <c r="D62" t="s">
        <v>192</v>
      </c>
      <c r="E62" t="s">
        <v>12</v>
      </c>
    </row>
    <row r="63" spans="1:5" x14ac:dyDescent="0.25">
      <c r="A63" t="s">
        <v>190</v>
      </c>
      <c r="B63" t="s">
        <v>13</v>
      </c>
      <c r="C63" t="s">
        <v>299</v>
      </c>
      <c r="D63" t="s">
        <v>191</v>
      </c>
      <c r="E63" t="s">
        <v>39</v>
      </c>
    </row>
    <row r="65" spans="1:5" ht="18" thickBot="1" x14ac:dyDescent="0.4">
      <c r="A65" s="89" t="s">
        <v>573</v>
      </c>
      <c r="B65" s="89"/>
      <c r="C65" s="89"/>
      <c r="D65" s="89"/>
      <c r="E65" s="89"/>
    </row>
    <row r="66" spans="1:5" ht="13.8" thickTop="1" x14ac:dyDescent="0.25">
      <c r="A66" t="s">
        <v>47</v>
      </c>
      <c r="B66" t="s">
        <v>13</v>
      </c>
      <c r="C66" t="s">
        <v>299</v>
      </c>
      <c r="D66" t="s">
        <v>319</v>
      </c>
      <c r="E66" t="s">
        <v>12</v>
      </c>
    </row>
    <row r="67" spans="1:5" x14ac:dyDescent="0.25">
      <c r="A67" t="s">
        <v>48</v>
      </c>
      <c r="B67" t="s">
        <v>13</v>
      </c>
      <c r="C67" t="s">
        <v>299</v>
      </c>
      <c r="D67" t="s">
        <v>320</v>
      </c>
      <c r="E67" t="s">
        <v>12</v>
      </c>
    </row>
    <row r="68" spans="1:5" x14ac:dyDescent="0.25">
      <c r="A68" t="s">
        <v>321</v>
      </c>
      <c r="B68" t="s">
        <v>13</v>
      </c>
      <c r="C68" t="s">
        <v>299</v>
      </c>
      <c r="D68" t="s">
        <v>322</v>
      </c>
      <c r="E68" t="s">
        <v>12</v>
      </c>
    </row>
    <row r="69" spans="1:5" x14ac:dyDescent="0.25">
      <c r="A69" t="s">
        <v>323</v>
      </c>
      <c r="B69" t="s">
        <v>13</v>
      </c>
      <c r="C69" t="s">
        <v>299</v>
      </c>
      <c r="D69" t="s">
        <v>324</v>
      </c>
      <c r="E69" t="s">
        <v>12</v>
      </c>
    </row>
    <row r="70" spans="1:5" x14ac:dyDescent="0.25">
      <c r="A70" t="s">
        <v>325</v>
      </c>
      <c r="B70" t="s">
        <v>13</v>
      </c>
      <c r="C70" t="s">
        <v>299</v>
      </c>
      <c r="D70" t="s">
        <v>326</v>
      </c>
      <c r="E70" t="s">
        <v>12</v>
      </c>
    </row>
    <row r="71" spans="1:5" x14ac:dyDescent="0.25">
      <c r="A71" t="s">
        <v>327</v>
      </c>
      <c r="B71" t="s">
        <v>13</v>
      </c>
      <c r="C71" t="s">
        <v>299</v>
      </c>
      <c r="D71" t="s">
        <v>328</v>
      </c>
      <c r="E71" t="s">
        <v>12</v>
      </c>
    </row>
    <row r="72" spans="1:5" x14ac:dyDescent="0.25">
      <c r="A72" t="s">
        <v>530</v>
      </c>
      <c r="B72" t="s">
        <v>13</v>
      </c>
      <c r="C72" t="s">
        <v>299</v>
      </c>
      <c r="D72" t="s">
        <v>329</v>
      </c>
      <c r="E72" t="s">
        <v>12</v>
      </c>
    </row>
    <row r="73" spans="1:5" x14ac:dyDescent="0.25">
      <c r="A73" t="s">
        <v>531</v>
      </c>
      <c r="B73" t="s">
        <v>13</v>
      </c>
      <c r="C73" t="s">
        <v>299</v>
      </c>
      <c r="D73" t="s">
        <v>330</v>
      </c>
      <c r="E73" t="s">
        <v>12</v>
      </c>
    </row>
    <row r="75" spans="1:5" ht="18" thickBot="1" x14ac:dyDescent="0.4">
      <c r="A75" s="89" t="s">
        <v>574</v>
      </c>
      <c r="B75" s="89"/>
      <c r="C75" s="89"/>
      <c r="D75" s="89"/>
      <c r="E75" s="89"/>
    </row>
    <row r="76" spans="1:5" ht="13.8" thickTop="1" x14ac:dyDescent="0.25">
      <c r="A76" t="s">
        <v>217</v>
      </c>
      <c r="B76" t="s">
        <v>13</v>
      </c>
      <c r="C76" t="s">
        <v>299</v>
      </c>
      <c r="D76" t="s">
        <v>213</v>
      </c>
      <c r="E76" t="s">
        <v>39</v>
      </c>
    </row>
    <row r="78" spans="1:5" ht="18" thickBot="1" x14ac:dyDescent="0.4">
      <c r="A78" s="89" t="s">
        <v>575</v>
      </c>
      <c r="B78" s="89"/>
      <c r="C78" s="89"/>
      <c r="D78" s="89"/>
      <c r="E78" s="89"/>
    </row>
    <row r="79" spans="1:5" ht="13.8" thickTop="1" x14ac:dyDescent="0.25">
      <c r="A79" t="s">
        <v>332</v>
      </c>
      <c r="B79" t="s">
        <v>13</v>
      </c>
      <c r="C79" t="s">
        <v>299</v>
      </c>
      <c r="D79" t="s">
        <v>333</v>
      </c>
      <c r="E79" t="s">
        <v>12</v>
      </c>
    </row>
    <row r="80" spans="1:5" x14ac:dyDescent="0.25">
      <c r="A80" t="s">
        <v>334</v>
      </c>
      <c r="B80" t="s">
        <v>13</v>
      </c>
      <c r="C80" t="s">
        <v>299</v>
      </c>
      <c r="D80" t="s">
        <v>335</v>
      </c>
      <c r="E80" t="s">
        <v>12</v>
      </c>
    </row>
    <row r="81" spans="1:5" x14ac:dyDescent="0.25">
      <c r="A81" t="s">
        <v>55</v>
      </c>
      <c r="B81" t="s">
        <v>13</v>
      </c>
      <c r="C81" t="s">
        <v>299</v>
      </c>
      <c r="D81" t="s">
        <v>336</v>
      </c>
      <c r="E81" t="s">
        <v>12</v>
      </c>
    </row>
    <row r="82" spans="1:5" x14ac:dyDescent="0.25">
      <c r="A82" t="s">
        <v>341</v>
      </c>
      <c r="B82" t="s">
        <v>13</v>
      </c>
      <c r="C82" t="s">
        <v>299</v>
      </c>
      <c r="D82" t="s">
        <v>342</v>
      </c>
      <c r="E82" t="s">
        <v>12</v>
      </c>
    </row>
    <row r="83" spans="1:5" x14ac:dyDescent="0.25">
      <c r="A83" t="s">
        <v>343</v>
      </c>
      <c r="B83" t="s">
        <v>13</v>
      </c>
      <c r="C83" t="s">
        <v>299</v>
      </c>
      <c r="D83" t="s">
        <v>344</v>
      </c>
      <c r="E83" t="s">
        <v>12</v>
      </c>
    </row>
    <row r="84" spans="1:5" x14ac:dyDescent="0.25">
      <c r="A84" t="s">
        <v>208</v>
      </c>
      <c r="B84" t="s">
        <v>13</v>
      </c>
      <c r="C84" t="s">
        <v>299</v>
      </c>
      <c r="D84" t="s">
        <v>345</v>
      </c>
      <c r="E84" t="s">
        <v>12</v>
      </c>
    </row>
    <row r="86" spans="1:5" ht="18" thickBot="1" x14ac:dyDescent="0.4">
      <c r="A86" s="89" t="s">
        <v>576</v>
      </c>
      <c r="B86" s="89"/>
      <c r="C86" s="89"/>
      <c r="D86" s="89"/>
      <c r="E86" s="89"/>
    </row>
    <row r="87" spans="1:5" ht="13.8" thickTop="1" x14ac:dyDescent="0.25">
      <c r="A87" t="s">
        <v>63</v>
      </c>
      <c r="B87" t="s">
        <v>13</v>
      </c>
      <c r="C87" t="s">
        <v>299</v>
      </c>
      <c r="D87" t="s">
        <v>346</v>
      </c>
      <c r="E87" t="s">
        <v>12</v>
      </c>
    </row>
    <row r="88" spans="1:5" x14ac:dyDescent="0.25">
      <c r="A88" t="s">
        <v>347</v>
      </c>
      <c r="B88" t="s">
        <v>13</v>
      </c>
      <c r="C88" t="s">
        <v>299</v>
      </c>
      <c r="D88" t="s">
        <v>348</v>
      </c>
      <c r="E88" t="s">
        <v>12</v>
      </c>
    </row>
    <row r="89" spans="1:5" x14ac:dyDescent="0.25">
      <c r="A89" t="s">
        <v>349</v>
      </c>
      <c r="B89" t="s">
        <v>13</v>
      </c>
      <c r="C89" t="s">
        <v>299</v>
      </c>
      <c r="D89" t="s">
        <v>350</v>
      </c>
      <c r="E89" t="s">
        <v>12</v>
      </c>
    </row>
    <row r="91" spans="1:5" ht="18" thickBot="1" x14ac:dyDescent="0.4">
      <c r="A91" s="89" t="s">
        <v>577</v>
      </c>
      <c r="B91" s="89"/>
      <c r="C91" s="89"/>
      <c r="D91" s="89"/>
      <c r="E91" s="89"/>
    </row>
    <row r="92" spans="1:5" ht="13.8" thickTop="1" x14ac:dyDescent="0.25">
      <c r="A92" t="s">
        <v>44</v>
      </c>
      <c r="B92" t="s">
        <v>511</v>
      </c>
      <c r="C92" t="s">
        <v>299</v>
      </c>
      <c r="D92" t="s">
        <v>45</v>
      </c>
      <c r="E92" t="s">
        <v>46</v>
      </c>
    </row>
    <row r="94" spans="1:5" ht="18" thickBot="1" x14ac:dyDescent="0.4">
      <c r="A94" s="89" t="s">
        <v>578</v>
      </c>
      <c r="B94" s="89"/>
      <c r="C94" s="89"/>
      <c r="D94" s="89"/>
      <c r="E94" s="89"/>
    </row>
    <row r="95" spans="1:5" ht="13.8" thickTop="1" x14ac:dyDescent="0.25">
      <c r="A95" t="s">
        <v>222</v>
      </c>
      <c r="B95" t="s">
        <v>516</v>
      </c>
      <c r="C95" t="s">
        <v>64</v>
      </c>
      <c r="D95" t="s">
        <v>221</v>
      </c>
      <c r="E95" t="s">
        <v>46</v>
      </c>
    </row>
    <row r="96" spans="1:5" x14ac:dyDescent="0.25">
      <c r="A96" t="s">
        <v>223</v>
      </c>
      <c r="B96" t="s">
        <v>516</v>
      </c>
      <c r="C96" t="s">
        <v>64</v>
      </c>
      <c r="D96" t="s">
        <v>232</v>
      </c>
      <c r="E96" t="s">
        <v>46</v>
      </c>
    </row>
    <row r="97" spans="1:5" x14ac:dyDescent="0.25">
      <c r="A97" t="s">
        <v>502</v>
      </c>
      <c r="B97" t="s">
        <v>516</v>
      </c>
      <c r="C97" t="s">
        <v>64</v>
      </c>
      <c r="D97" t="s">
        <v>449</v>
      </c>
      <c r="E97" t="s">
        <v>46</v>
      </c>
    </row>
    <row r="98" spans="1:5" x14ac:dyDescent="0.25">
      <c r="A98" t="s">
        <v>503</v>
      </c>
      <c r="B98" t="s">
        <v>516</v>
      </c>
      <c r="C98" t="s">
        <v>64</v>
      </c>
      <c r="D98" t="s">
        <v>450</v>
      </c>
      <c r="E98" t="s">
        <v>46</v>
      </c>
    </row>
    <row r="99" spans="1:5" x14ac:dyDescent="0.25">
      <c r="A99" t="s">
        <v>224</v>
      </c>
      <c r="B99" t="s">
        <v>516</v>
      </c>
      <c r="C99" t="s">
        <v>64</v>
      </c>
      <c r="D99" t="s">
        <v>233</v>
      </c>
      <c r="E99" t="s">
        <v>46</v>
      </c>
    </row>
    <row r="100" spans="1:5" x14ac:dyDescent="0.25">
      <c r="A100" t="s">
        <v>225</v>
      </c>
      <c r="B100" t="s">
        <v>516</v>
      </c>
      <c r="C100" t="s">
        <v>64</v>
      </c>
      <c r="D100" t="s">
        <v>234</v>
      </c>
      <c r="E100" t="s">
        <v>46</v>
      </c>
    </row>
    <row r="101" spans="1:5" x14ac:dyDescent="0.25">
      <c r="A101" t="s">
        <v>226</v>
      </c>
      <c r="B101" t="s">
        <v>516</v>
      </c>
      <c r="C101" t="s">
        <v>64</v>
      </c>
      <c r="D101" t="s">
        <v>235</v>
      </c>
      <c r="E101" t="s">
        <v>46</v>
      </c>
    </row>
    <row r="102" spans="1:5" x14ac:dyDescent="0.25">
      <c r="A102" t="s">
        <v>227</v>
      </c>
      <c r="B102" t="s">
        <v>516</v>
      </c>
      <c r="C102" t="s">
        <v>64</v>
      </c>
      <c r="D102" t="s">
        <v>236</v>
      </c>
      <c r="E102" t="s">
        <v>46</v>
      </c>
    </row>
    <row r="103" spans="1:5" x14ac:dyDescent="0.25">
      <c r="A103" t="s">
        <v>504</v>
      </c>
      <c r="B103" t="s">
        <v>516</v>
      </c>
      <c r="C103" t="s">
        <v>64</v>
      </c>
      <c r="D103" t="s">
        <v>418</v>
      </c>
      <c r="E103" t="s">
        <v>46</v>
      </c>
    </row>
    <row r="104" spans="1:5" x14ac:dyDescent="0.25">
      <c r="A104" t="s">
        <v>505</v>
      </c>
      <c r="B104" t="s">
        <v>516</v>
      </c>
      <c r="C104" t="s">
        <v>64</v>
      </c>
      <c r="D104" t="s">
        <v>419</v>
      </c>
      <c r="E104" t="s">
        <v>46</v>
      </c>
    </row>
    <row r="105" spans="1:5" x14ac:dyDescent="0.25">
      <c r="A105" t="s">
        <v>228</v>
      </c>
      <c r="B105" t="s">
        <v>516</v>
      </c>
      <c r="C105" t="s">
        <v>64</v>
      </c>
      <c r="D105" t="s">
        <v>237</v>
      </c>
      <c r="E105" t="s">
        <v>46</v>
      </c>
    </row>
    <row r="106" spans="1:5" x14ac:dyDescent="0.25">
      <c r="A106" t="s">
        <v>229</v>
      </c>
      <c r="B106" t="s">
        <v>516</v>
      </c>
      <c r="C106" t="s">
        <v>64</v>
      </c>
      <c r="D106" t="s">
        <v>238</v>
      </c>
      <c r="E106" t="s">
        <v>46</v>
      </c>
    </row>
    <row r="107" spans="1:5" x14ac:dyDescent="0.25">
      <c r="A107" t="s">
        <v>351</v>
      </c>
      <c r="B107" t="s">
        <v>516</v>
      </c>
      <c r="C107" t="s">
        <v>64</v>
      </c>
      <c r="D107" t="s">
        <v>352</v>
      </c>
      <c r="E107" t="s">
        <v>46</v>
      </c>
    </row>
    <row r="108" spans="1:5" x14ac:dyDescent="0.25">
      <c r="A108" t="s">
        <v>353</v>
      </c>
      <c r="B108" t="s">
        <v>516</v>
      </c>
      <c r="C108" t="s">
        <v>64</v>
      </c>
      <c r="D108" t="s">
        <v>354</v>
      </c>
      <c r="E108" t="s">
        <v>46</v>
      </c>
    </row>
    <row r="109" spans="1:5" x14ac:dyDescent="0.25">
      <c r="A109" t="s">
        <v>355</v>
      </c>
      <c r="B109" t="s">
        <v>516</v>
      </c>
      <c r="C109" t="s">
        <v>64</v>
      </c>
      <c r="D109" t="s">
        <v>356</v>
      </c>
      <c r="E109" t="s">
        <v>46</v>
      </c>
    </row>
    <row r="110" spans="1:5" x14ac:dyDescent="0.25">
      <c r="A110" t="s">
        <v>357</v>
      </c>
      <c r="B110" t="s">
        <v>516</v>
      </c>
      <c r="C110" t="s">
        <v>64</v>
      </c>
      <c r="D110" t="s">
        <v>358</v>
      </c>
      <c r="E110" t="s">
        <v>46</v>
      </c>
    </row>
    <row r="111" spans="1:5" x14ac:dyDescent="0.25">
      <c r="A111" t="s">
        <v>230</v>
      </c>
      <c r="B111" t="s">
        <v>516</v>
      </c>
      <c r="C111" t="s">
        <v>64</v>
      </c>
      <c r="D111" t="s">
        <v>239</v>
      </c>
      <c r="E111" t="s">
        <v>46</v>
      </c>
    </row>
    <row r="112" spans="1:5" x14ac:dyDescent="0.25">
      <c r="A112" t="s">
        <v>231</v>
      </c>
      <c r="B112" t="s">
        <v>516</v>
      </c>
      <c r="C112" t="s">
        <v>64</v>
      </c>
      <c r="D112" t="s">
        <v>240</v>
      </c>
      <c r="E112" t="s">
        <v>46</v>
      </c>
    </row>
    <row r="114" spans="1:5" ht="18" thickBot="1" x14ac:dyDescent="0.4">
      <c r="A114" s="89" t="s">
        <v>579</v>
      </c>
      <c r="B114" s="89"/>
      <c r="C114" s="89"/>
      <c r="D114" s="89"/>
      <c r="E114" s="89"/>
    </row>
    <row r="115" spans="1:5" ht="13.8" thickTop="1" x14ac:dyDescent="0.25">
      <c r="A115" t="s">
        <v>257</v>
      </c>
      <c r="B115" t="s">
        <v>516</v>
      </c>
      <c r="C115" t="s">
        <v>64</v>
      </c>
      <c r="D115" t="s">
        <v>258</v>
      </c>
      <c r="E115" t="s">
        <v>12</v>
      </c>
    </row>
    <row r="117" spans="1:5" ht="18" thickBot="1" x14ac:dyDescent="0.4">
      <c r="A117" s="89" t="s">
        <v>580</v>
      </c>
      <c r="B117" s="89"/>
      <c r="C117" s="89"/>
      <c r="D117" s="89"/>
      <c r="E117" s="89"/>
    </row>
    <row r="118" spans="1:5" ht="13.8" thickTop="1" x14ac:dyDescent="0.25">
      <c r="A118" t="s">
        <v>337</v>
      </c>
      <c r="B118" t="s">
        <v>516</v>
      </c>
      <c r="C118" t="s">
        <v>64</v>
      </c>
      <c r="D118" t="s">
        <v>338</v>
      </c>
      <c r="E118" t="s">
        <v>12</v>
      </c>
    </row>
    <row r="119" spans="1:5" x14ac:dyDescent="0.25">
      <c r="A119" t="s">
        <v>339</v>
      </c>
      <c r="B119" t="s">
        <v>516</v>
      </c>
      <c r="C119" t="s">
        <v>64</v>
      </c>
      <c r="D119" t="s">
        <v>340</v>
      </c>
      <c r="E119" t="s">
        <v>12</v>
      </c>
    </row>
    <row r="121" spans="1:5" ht="18" thickBot="1" x14ac:dyDescent="0.4">
      <c r="A121" s="89" t="s">
        <v>581</v>
      </c>
      <c r="B121" s="89"/>
      <c r="C121" s="89"/>
      <c r="D121" s="89"/>
      <c r="E121" s="89"/>
    </row>
    <row r="122" spans="1:5" ht="13.8" thickTop="1" x14ac:dyDescent="0.25">
      <c r="A122" t="s">
        <v>301</v>
      </c>
      <c r="B122" t="s">
        <v>516</v>
      </c>
      <c r="C122" t="s">
        <v>64</v>
      </c>
      <c r="D122" t="s">
        <v>303</v>
      </c>
      <c r="E122" t="s">
        <v>12</v>
      </c>
    </row>
    <row r="123" spans="1:5" x14ac:dyDescent="0.25">
      <c r="A123" t="s">
        <v>302</v>
      </c>
      <c r="B123" t="s">
        <v>516</v>
      </c>
      <c r="C123" t="s">
        <v>64</v>
      </c>
      <c r="D123" t="s">
        <v>304</v>
      </c>
      <c r="E123" t="s">
        <v>12</v>
      </c>
    </row>
    <row r="125" spans="1:5" ht="18" thickBot="1" x14ac:dyDescent="0.4">
      <c r="A125" s="89" t="s">
        <v>582</v>
      </c>
      <c r="B125" s="89"/>
      <c r="C125" s="89"/>
      <c r="D125" s="89"/>
      <c r="E125" s="89"/>
    </row>
    <row r="126" spans="1:5" ht="13.8" thickTop="1" x14ac:dyDescent="0.25">
      <c r="A126" t="s">
        <v>143</v>
      </c>
      <c r="B126" t="s">
        <v>511</v>
      </c>
      <c r="C126" t="s">
        <v>299</v>
      </c>
      <c r="D126" t="s">
        <v>147</v>
      </c>
      <c r="E126" t="s">
        <v>46</v>
      </c>
    </row>
    <row r="127" spans="1:5" x14ac:dyDescent="0.25">
      <c r="A127" t="s">
        <v>282</v>
      </c>
      <c r="B127" t="s">
        <v>511</v>
      </c>
      <c r="C127" t="s">
        <v>299</v>
      </c>
      <c r="D127" t="s">
        <v>148</v>
      </c>
      <c r="E127" t="s">
        <v>46</v>
      </c>
    </row>
    <row r="128" spans="1:5" x14ac:dyDescent="0.25">
      <c r="A128" t="s">
        <v>144</v>
      </c>
      <c r="B128" t="s">
        <v>13</v>
      </c>
      <c r="C128" t="s">
        <v>299</v>
      </c>
      <c r="D128" t="s">
        <v>149</v>
      </c>
      <c r="E128" t="s">
        <v>407</v>
      </c>
    </row>
    <row r="129" spans="1:5" x14ac:dyDescent="0.25">
      <c r="A129" t="s">
        <v>146</v>
      </c>
      <c r="B129" t="s">
        <v>13</v>
      </c>
      <c r="C129" t="s">
        <v>299</v>
      </c>
      <c r="D129" t="s">
        <v>152</v>
      </c>
      <c r="E129" t="s">
        <v>407</v>
      </c>
    </row>
    <row r="130" spans="1:5" x14ac:dyDescent="0.25">
      <c r="A130" t="s">
        <v>145</v>
      </c>
      <c r="B130" t="s">
        <v>511</v>
      </c>
      <c r="C130" t="s">
        <v>299</v>
      </c>
      <c r="D130" t="s">
        <v>150</v>
      </c>
      <c r="E130" t="s">
        <v>46</v>
      </c>
    </row>
    <row r="131" spans="1:5" x14ac:dyDescent="0.25">
      <c r="A131" t="s">
        <v>283</v>
      </c>
      <c r="B131" t="s">
        <v>511</v>
      </c>
      <c r="C131" t="s">
        <v>299</v>
      </c>
      <c r="D131" t="s">
        <v>151</v>
      </c>
      <c r="E131" t="s">
        <v>46</v>
      </c>
    </row>
    <row r="133" spans="1:5" ht="18" thickBot="1" x14ac:dyDescent="0.4">
      <c r="A133" s="89" t="s">
        <v>583</v>
      </c>
      <c r="B133" s="89"/>
      <c r="C133" s="89"/>
      <c r="D133" s="89"/>
      <c r="E133" s="89"/>
    </row>
    <row r="134" spans="1:5" ht="13.8" thickTop="1" x14ac:dyDescent="0.25">
      <c r="A134" t="s">
        <v>286</v>
      </c>
      <c r="B134" t="s">
        <v>511</v>
      </c>
      <c r="C134" t="s">
        <v>299</v>
      </c>
      <c r="D134" t="s">
        <v>266</v>
      </c>
      <c r="E134" t="s">
        <v>46</v>
      </c>
    </row>
    <row r="135" spans="1:5" x14ac:dyDescent="0.25">
      <c r="A135" t="s">
        <v>295</v>
      </c>
      <c r="B135" t="s">
        <v>516</v>
      </c>
      <c r="C135" t="s">
        <v>64</v>
      </c>
      <c r="D135" t="s">
        <v>267</v>
      </c>
      <c r="E135" t="s">
        <v>12</v>
      </c>
    </row>
    <row r="137" spans="1:5" ht="18" thickBot="1" x14ac:dyDescent="0.4">
      <c r="A137" s="89" t="s">
        <v>584</v>
      </c>
      <c r="B137" s="89"/>
      <c r="C137" s="89"/>
      <c r="D137" s="89"/>
      <c r="E137" s="89"/>
    </row>
    <row r="138" spans="1:5" ht="13.8" thickTop="1" x14ac:dyDescent="0.25">
      <c r="A138" t="s">
        <v>271</v>
      </c>
      <c r="B138" t="s">
        <v>13</v>
      </c>
      <c r="C138" t="s">
        <v>299</v>
      </c>
      <c r="D138" t="s">
        <v>272</v>
      </c>
      <c r="E138" t="s">
        <v>12</v>
      </c>
    </row>
  </sheetData>
  <mergeCells count="1">
    <mergeCell ref="A1:E3"/>
  </mergeCells>
  <phoneticPr fontId="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E188"/>
  <sheetViews>
    <sheetView workbookViewId="0">
      <selection activeCell="C26" sqref="C26"/>
    </sheetView>
  </sheetViews>
  <sheetFormatPr baseColWidth="10" defaultColWidth="11.44140625" defaultRowHeight="13.2" x14ac:dyDescent="0.25"/>
  <cols>
    <col min="1" max="1" width="37.88671875" bestFit="1" customWidth="1"/>
    <col min="2" max="2" width="7.5546875" bestFit="1" customWidth="1"/>
    <col min="3" max="3" width="10.88671875" bestFit="1" customWidth="1"/>
    <col min="4" max="4" width="68.33203125" bestFit="1" customWidth="1"/>
  </cols>
  <sheetData>
    <row r="1" spans="1:5" ht="19.5" customHeight="1" x14ac:dyDescent="0.25">
      <c r="A1" s="117" t="s">
        <v>558</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591</v>
      </c>
      <c r="B10" s="89"/>
      <c r="C10" s="89"/>
      <c r="D10" s="89"/>
      <c r="E10" s="89"/>
    </row>
    <row r="11" spans="1:5" ht="13.8" thickTop="1" x14ac:dyDescent="0.25">
      <c r="A11" t="s">
        <v>116</v>
      </c>
      <c r="B11" t="s">
        <v>13</v>
      </c>
      <c r="C11" t="s">
        <v>299</v>
      </c>
      <c r="D11" t="s">
        <v>117</v>
      </c>
      <c r="E11" t="s">
        <v>39</v>
      </c>
    </row>
    <row r="12" spans="1:5" x14ac:dyDescent="0.25">
      <c r="A12" t="s">
        <v>485</v>
      </c>
      <c r="B12" t="s">
        <v>13</v>
      </c>
      <c r="C12" t="s">
        <v>299</v>
      </c>
      <c r="D12" t="s">
        <v>457</v>
      </c>
      <c r="E12" t="s">
        <v>39</v>
      </c>
    </row>
    <row r="13" spans="1:5" x14ac:dyDescent="0.25">
      <c r="A13" t="s">
        <v>118</v>
      </c>
      <c r="B13" t="s">
        <v>13</v>
      </c>
      <c r="C13" t="s">
        <v>299</v>
      </c>
      <c r="D13" t="s">
        <v>119</v>
      </c>
      <c r="E13" t="s">
        <v>39</v>
      </c>
    </row>
    <row r="14" spans="1:5" x14ac:dyDescent="0.25">
      <c r="A14" t="s">
        <v>120</v>
      </c>
      <c r="B14" t="s">
        <v>13</v>
      </c>
      <c r="C14" t="s">
        <v>299</v>
      </c>
      <c r="D14" t="s">
        <v>121</v>
      </c>
      <c r="E14" t="s">
        <v>39</v>
      </c>
    </row>
    <row r="15" spans="1:5" x14ac:dyDescent="0.25">
      <c r="A15" t="s">
        <v>486</v>
      </c>
      <c r="B15" t="s">
        <v>13</v>
      </c>
      <c r="C15" t="s">
        <v>299</v>
      </c>
      <c r="D15" t="s">
        <v>458</v>
      </c>
      <c r="E15" t="s">
        <v>39</v>
      </c>
    </row>
    <row r="16" spans="1:5" x14ac:dyDescent="0.25">
      <c r="A16" t="s">
        <v>122</v>
      </c>
      <c r="B16" t="s">
        <v>13</v>
      </c>
      <c r="C16" t="s">
        <v>299</v>
      </c>
      <c r="D16" t="s">
        <v>68</v>
      </c>
      <c r="E16" t="s">
        <v>46</v>
      </c>
    </row>
    <row r="17" spans="1:5" x14ac:dyDescent="0.25">
      <c r="A17" t="s">
        <v>489</v>
      </c>
      <c r="B17" t="s">
        <v>13</v>
      </c>
      <c r="C17" t="s">
        <v>299</v>
      </c>
      <c r="D17" t="s">
        <v>461</v>
      </c>
      <c r="E17" t="s">
        <v>46</v>
      </c>
    </row>
    <row r="18" spans="1:5" x14ac:dyDescent="0.25">
      <c r="A18" t="s">
        <v>123</v>
      </c>
      <c r="B18" t="s">
        <v>13</v>
      </c>
      <c r="C18" t="s">
        <v>299</v>
      </c>
      <c r="D18" t="s">
        <v>69</v>
      </c>
      <c r="E18" t="s">
        <v>46</v>
      </c>
    </row>
    <row r="19" spans="1:5" x14ac:dyDescent="0.25">
      <c r="A19" t="s">
        <v>124</v>
      </c>
      <c r="B19" t="s">
        <v>13</v>
      </c>
      <c r="C19" t="s">
        <v>299</v>
      </c>
      <c r="D19" t="s">
        <v>126</v>
      </c>
      <c r="E19" t="s">
        <v>46</v>
      </c>
    </row>
    <row r="20" spans="1:5" x14ac:dyDescent="0.25">
      <c r="A20" t="s">
        <v>490</v>
      </c>
      <c r="B20" t="s">
        <v>13</v>
      </c>
      <c r="C20" t="s">
        <v>299</v>
      </c>
      <c r="D20" t="s">
        <v>462</v>
      </c>
      <c r="E20" t="s">
        <v>46</v>
      </c>
    </row>
    <row r="21" spans="1:5" x14ac:dyDescent="0.25">
      <c r="A21" t="s">
        <v>125</v>
      </c>
      <c r="B21" t="s">
        <v>13</v>
      </c>
      <c r="C21" t="s">
        <v>299</v>
      </c>
      <c r="D21" t="s">
        <v>127</v>
      </c>
      <c r="E21" t="s">
        <v>46</v>
      </c>
    </row>
    <row r="22" spans="1:5" x14ac:dyDescent="0.25">
      <c r="A22" t="s">
        <v>528</v>
      </c>
      <c r="B22" t="s">
        <v>13</v>
      </c>
      <c r="C22" t="s">
        <v>299</v>
      </c>
      <c r="D22" t="s">
        <v>306</v>
      </c>
      <c r="E22" t="s">
        <v>46</v>
      </c>
    </row>
    <row r="23" spans="1:5" x14ac:dyDescent="0.25">
      <c r="A23" t="s">
        <v>529</v>
      </c>
      <c r="B23" t="s">
        <v>13</v>
      </c>
      <c r="C23" t="s">
        <v>299</v>
      </c>
      <c r="D23" t="s">
        <v>307</v>
      </c>
      <c r="E23" t="s">
        <v>46</v>
      </c>
    </row>
    <row r="24" spans="1:5" x14ac:dyDescent="0.25">
      <c r="A24" t="s">
        <v>10</v>
      </c>
      <c r="B24" t="s">
        <v>13</v>
      </c>
      <c r="C24" t="s">
        <v>299</v>
      </c>
      <c r="D24" t="s">
        <v>318</v>
      </c>
      <c r="E24" t="s">
        <v>12</v>
      </c>
    </row>
    <row r="25" spans="1:5" x14ac:dyDescent="0.25">
      <c r="A25" t="s">
        <v>494</v>
      </c>
      <c r="B25" t="s">
        <v>13</v>
      </c>
      <c r="C25" t="s">
        <v>299</v>
      </c>
      <c r="D25" t="s">
        <v>466</v>
      </c>
      <c r="E25" t="s">
        <v>12</v>
      </c>
    </row>
    <row r="26" spans="1:5" x14ac:dyDescent="0.25">
      <c r="A26" t="s">
        <v>11</v>
      </c>
      <c r="B26" t="s">
        <v>13</v>
      </c>
      <c r="C26" t="s">
        <v>299</v>
      </c>
      <c r="D26" t="s">
        <v>359</v>
      </c>
      <c r="E26" t="s">
        <v>12</v>
      </c>
    </row>
    <row r="27" spans="1:5" x14ac:dyDescent="0.25">
      <c r="A27" t="s">
        <v>495</v>
      </c>
      <c r="B27" t="s">
        <v>13</v>
      </c>
      <c r="C27" t="s">
        <v>299</v>
      </c>
      <c r="D27" t="s">
        <v>472</v>
      </c>
      <c r="E27" t="s">
        <v>12</v>
      </c>
    </row>
    <row r="28" spans="1:5" x14ac:dyDescent="0.25">
      <c r="A28" t="s">
        <v>49</v>
      </c>
      <c r="B28" t="s">
        <v>13</v>
      </c>
      <c r="C28" t="s">
        <v>299</v>
      </c>
      <c r="D28" t="s">
        <v>360</v>
      </c>
      <c r="E28" t="s">
        <v>12</v>
      </c>
    </row>
    <row r="29" spans="1:5" x14ac:dyDescent="0.25">
      <c r="A29" t="s">
        <v>50</v>
      </c>
      <c r="B29" t="s">
        <v>13</v>
      </c>
      <c r="C29" t="s">
        <v>299</v>
      </c>
      <c r="D29" t="s">
        <v>361</v>
      </c>
      <c r="E29" t="s">
        <v>12</v>
      </c>
    </row>
    <row r="30" spans="1:5" x14ac:dyDescent="0.25">
      <c r="A30" t="s">
        <v>496</v>
      </c>
      <c r="B30" t="s">
        <v>13</v>
      </c>
      <c r="C30" t="s">
        <v>299</v>
      </c>
      <c r="D30" t="s">
        <v>467</v>
      </c>
      <c r="E30" t="s">
        <v>12</v>
      </c>
    </row>
    <row r="31" spans="1:5" x14ac:dyDescent="0.25">
      <c r="A31" t="s">
        <v>51</v>
      </c>
      <c r="B31" t="s">
        <v>13</v>
      </c>
      <c r="C31" t="s">
        <v>299</v>
      </c>
      <c r="D31" t="s">
        <v>474</v>
      </c>
      <c r="E31" t="s">
        <v>12</v>
      </c>
    </row>
    <row r="32" spans="1:5" x14ac:dyDescent="0.25">
      <c r="A32" t="s">
        <v>497</v>
      </c>
      <c r="B32" t="s">
        <v>13</v>
      </c>
      <c r="C32" t="s">
        <v>299</v>
      </c>
      <c r="D32" t="s">
        <v>468</v>
      </c>
      <c r="E32" t="s">
        <v>12</v>
      </c>
    </row>
    <row r="33" spans="1:5" x14ac:dyDescent="0.25">
      <c r="A33" t="s">
        <v>52</v>
      </c>
      <c r="B33" t="s">
        <v>13</v>
      </c>
      <c r="C33" t="s">
        <v>299</v>
      </c>
      <c r="D33" t="s">
        <v>65</v>
      </c>
      <c r="E33" t="s">
        <v>12</v>
      </c>
    </row>
    <row r="34" spans="1:5" x14ac:dyDescent="0.25">
      <c r="A34" t="s">
        <v>53</v>
      </c>
      <c r="B34" t="s">
        <v>13</v>
      </c>
      <c r="C34" t="s">
        <v>299</v>
      </c>
      <c r="D34" t="s">
        <v>66</v>
      </c>
      <c r="E34" t="s">
        <v>12</v>
      </c>
    </row>
    <row r="35" spans="1:5" x14ac:dyDescent="0.25">
      <c r="A35" t="s">
        <v>498</v>
      </c>
      <c r="B35" t="s">
        <v>13</v>
      </c>
      <c r="C35" t="s">
        <v>299</v>
      </c>
      <c r="D35" t="s">
        <v>469</v>
      </c>
      <c r="E35" t="s">
        <v>12</v>
      </c>
    </row>
    <row r="36" spans="1:5" x14ac:dyDescent="0.25">
      <c r="A36" t="s">
        <v>54</v>
      </c>
      <c r="B36" t="s">
        <v>13</v>
      </c>
      <c r="C36" t="s">
        <v>299</v>
      </c>
      <c r="D36" t="s">
        <v>67</v>
      </c>
      <c r="E36" t="s">
        <v>12</v>
      </c>
    </row>
    <row r="37" spans="1:5" x14ac:dyDescent="0.25">
      <c r="A37" t="s">
        <v>128</v>
      </c>
      <c r="B37" t="s">
        <v>13</v>
      </c>
      <c r="C37" t="s">
        <v>299</v>
      </c>
      <c r="D37" t="s">
        <v>129</v>
      </c>
      <c r="E37" t="s">
        <v>39</v>
      </c>
    </row>
    <row r="38" spans="1:5" x14ac:dyDescent="0.25">
      <c r="A38" t="s">
        <v>130</v>
      </c>
      <c r="B38" t="s">
        <v>13</v>
      </c>
      <c r="C38" t="s">
        <v>299</v>
      </c>
      <c r="D38" t="s">
        <v>131</v>
      </c>
      <c r="E38" t="s">
        <v>12</v>
      </c>
    </row>
    <row r="39" spans="1:5" x14ac:dyDescent="0.25">
      <c r="A39" t="s">
        <v>499</v>
      </c>
      <c r="B39" t="s">
        <v>13</v>
      </c>
      <c r="C39" t="s">
        <v>299</v>
      </c>
      <c r="D39" t="s">
        <v>470</v>
      </c>
      <c r="E39" t="s">
        <v>12</v>
      </c>
    </row>
    <row r="40" spans="1:5" x14ac:dyDescent="0.25">
      <c r="A40" t="s">
        <v>132</v>
      </c>
      <c r="B40" t="s">
        <v>13</v>
      </c>
      <c r="C40" t="s">
        <v>299</v>
      </c>
      <c r="D40" t="s">
        <v>133</v>
      </c>
      <c r="E40" t="s">
        <v>12</v>
      </c>
    </row>
    <row r="41" spans="1:5" x14ac:dyDescent="0.25">
      <c r="A41" t="s">
        <v>134</v>
      </c>
      <c r="B41" t="s">
        <v>13</v>
      </c>
      <c r="C41" t="s">
        <v>299</v>
      </c>
      <c r="D41" t="s">
        <v>135</v>
      </c>
      <c r="E41" t="s">
        <v>12</v>
      </c>
    </row>
    <row r="42" spans="1:5" x14ac:dyDescent="0.25">
      <c r="A42" t="s">
        <v>500</v>
      </c>
      <c r="B42" t="s">
        <v>13</v>
      </c>
      <c r="C42" t="s">
        <v>299</v>
      </c>
      <c r="D42" t="s">
        <v>471</v>
      </c>
      <c r="E42" t="s">
        <v>12</v>
      </c>
    </row>
    <row r="43" spans="1:5" x14ac:dyDescent="0.25">
      <c r="A43" t="s">
        <v>136</v>
      </c>
      <c r="B43" t="s">
        <v>13</v>
      </c>
      <c r="C43" t="s">
        <v>299</v>
      </c>
      <c r="D43" t="s">
        <v>137</v>
      </c>
      <c r="E43" t="s">
        <v>12</v>
      </c>
    </row>
    <row r="44" spans="1:5" x14ac:dyDescent="0.25">
      <c r="A44" t="s">
        <v>138</v>
      </c>
      <c r="B44" t="s">
        <v>13</v>
      </c>
      <c r="C44" t="s">
        <v>299</v>
      </c>
      <c r="D44" t="s">
        <v>72</v>
      </c>
      <c r="E44" t="s">
        <v>12</v>
      </c>
    </row>
    <row r="46" spans="1:5" ht="18" thickBot="1" x14ac:dyDescent="0.4">
      <c r="A46" s="89" t="s">
        <v>606</v>
      </c>
      <c r="B46" s="89"/>
      <c r="C46" s="89"/>
      <c r="D46" s="89"/>
      <c r="E46" s="89"/>
    </row>
    <row r="47" spans="1:5" ht="13.8" thickTop="1" x14ac:dyDescent="0.25">
      <c r="A47" t="s">
        <v>116</v>
      </c>
      <c r="B47" t="s">
        <v>13</v>
      </c>
      <c r="C47" t="s">
        <v>299</v>
      </c>
      <c r="D47" t="s">
        <v>117</v>
      </c>
      <c r="E47" t="s">
        <v>39</v>
      </c>
    </row>
    <row r="48" spans="1:5" x14ac:dyDescent="0.25">
      <c r="A48" t="s">
        <v>485</v>
      </c>
      <c r="B48" t="s">
        <v>13</v>
      </c>
      <c r="C48" t="s">
        <v>299</v>
      </c>
      <c r="D48" t="s">
        <v>457</v>
      </c>
      <c r="E48" t="s">
        <v>39</v>
      </c>
    </row>
    <row r="49" spans="1:5" x14ac:dyDescent="0.25">
      <c r="A49" t="s">
        <v>118</v>
      </c>
      <c r="B49" t="s">
        <v>13</v>
      </c>
      <c r="C49" t="s">
        <v>299</v>
      </c>
      <c r="D49" t="s">
        <v>119</v>
      </c>
      <c r="E49" t="s">
        <v>39</v>
      </c>
    </row>
    <row r="50" spans="1:5" x14ac:dyDescent="0.25">
      <c r="A50" t="s">
        <v>120</v>
      </c>
      <c r="B50" t="s">
        <v>13</v>
      </c>
      <c r="C50" t="s">
        <v>299</v>
      </c>
      <c r="D50" t="s">
        <v>121</v>
      </c>
      <c r="E50" t="s">
        <v>39</v>
      </c>
    </row>
    <row r="51" spans="1:5" x14ac:dyDescent="0.25">
      <c r="A51" t="s">
        <v>486</v>
      </c>
      <c r="B51" t="s">
        <v>13</v>
      </c>
      <c r="C51" t="s">
        <v>299</v>
      </c>
      <c r="D51" t="s">
        <v>458</v>
      </c>
      <c r="E51" t="s">
        <v>39</v>
      </c>
    </row>
    <row r="52" spans="1:5" x14ac:dyDescent="0.25">
      <c r="A52" t="s">
        <v>122</v>
      </c>
      <c r="B52" t="s">
        <v>13</v>
      </c>
      <c r="C52" t="s">
        <v>299</v>
      </c>
      <c r="D52" t="s">
        <v>68</v>
      </c>
      <c r="E52" t="s">
        <v>46</v>
      </c>
    </row>
    <row r="53" spans="1:5" x14ac:dyDescent="0.25">
      <c r="A53" t="s">
        <v>489</v>
      </c>
      <c r="B53" t="s">
        <v>13</v>
      </c>
      <c r="C53" t="s">
        <v>299</v>
      </c>
      <c r="D53" t="s">
        <v>461</v>
      </c>
      <c r="E53" t="s">
        <v>46</v>
      </c>
    </row>
    <row r="54" spans="1:5" x14ac:dyDescent="0.25">
      <c r="A54" t="s">
        <v>123</v>
      </c>
      <c r="B54" t="s">
        <v>13</v>
      </c>
      <c r="C54" t="s">
        <v>299</v>
      </c>
      <c r="D54" t="s">
        <v>69</v>
      </c>
      <c r="E54" t="s">
        <v>46</v>
      </c>
    </row>
    <row r="55" spans="1:5" x14ac:dyDescent="0.25">
      <c r="A55" t="s">
        <v>528</v>
      </c>
      <c r="B55" t="s">
        <v>13</v>
      </c>
      <c r="C55" t="s">
        <v>299</v>
      </c>
      <c r="D55" t="s">
        <v>306</v>
      </c>
      <c r="E55" t="s">
        <v>46</v>
      </c>
    </row>
    <row r="56" spans="1:5" x14ac:dyDescent="0.25">
      <c r="A56" t="s">
        <v>529</v>
      </c>
      <c r="B56" t="s">
        <v>13</v>
      </c>
      <c r="C56" t="s">
        <v>299</v>
      </c>
      <c r="D56" t="s">
        <v>307</v>
      </c>
      <c r="E56" t="s">
        <v>46</v>
      </c>
    </row>
    <row r="57" spans="1:5" x14ac:dyDescent="0.25">
      <c r="A57" t="s">
        <v>10</v>
      </c>
      <c r="B57" t="s">
        <v>13</v>
      </c>
      <c r="C57" t="s">
        <v>299</v>
      </c>
      <c r="D57" t="s">
        <v>318</v>
      </c>
      <c r="E57" t="s">
        <v>12</v>
      </c>
    </row>
    <row r="58" spans="1:5" x14ac:dyDescent="0.25">
      <c r="A58" t="s">
        <v>494</v>
      </c>
      <c r="B58" t="s">
        <v>13</v>
      </c>
      <c r="C58" t="s">
        <v>299</v>
      </c>
      <c r="D58" t="s">
        <v>466</v>
      </c>
      <c r="E58" t="s">
        <v>12</v>
      </c>
    </row>
    <row r="59" spans="1:5" x14ac:dyDescent="0.25">
      <c r="A59" t="s">
        <v>11</v>
      </c>
      <c r="B59" t="s">
        <v>13</v>
      </c>
      <c r="C59" t="s">
        <v>299</v>
      </c>
      <c r="D59" t="s">
        <v>359</v>
      </c>
      <c r="E59" t="s">
        <v>12</v>
      </c>
    </row>
    <row r="60" spans="1:5" x14ac:dyDescent="0.25">
      <c r="A60" t="s">
        <v>495</v>
      </c>
      <c r="B60" t="s">
        <v>13</v>
      </c>
      <c r="C60" t="s">
        <v>299</v>
      </c>
      <c r="D60" t="s">
        <v>472</v>
      </c>
      <c r="E60" t="s">
        <v>12</v>
      </c>
    </row>
    <row r="61" spans="1:5" x14ac:dyDescent="0.25">
      <c r="A61" t="s">
        <v>49</v>
      </c>
      <c r="B61" t="s">
        <v>13</v>
      </c>
      <c r="C61" t="s">
        <v>299</v>
      </c>
      <c r="D61" t="s">
        <v>360</v>
      </c>
      <c r="E61" t="s">
        <v>12</v>
      </c>
    </row>
    <row r="62" spans="1:5" x14ac:dyDescent="0.25">
      <c r="A62" t="s">
        <v>50</v>
      </c>
      <c r="B62" t="s">
        <v>13</v>
      </c>
      <c r="C62" t="s">
        <v>299</v>
      </c>
      <c r="D62" t="s">
        <v>361</v>
      </c>
      <c r="E62" t="s">
        <v>12</v>
      </c>
    </row>
    <row r="63" spans="1:5" x14ac:dyDescent="0.25">
      <c r="A63" t="s">
        <v>496</v>
      </c>
      <c r="B63" t="s">
        <v>13</v>
      </c>
      <c r="C63" t="s">
        <v>299</v>
      </c>
      <c r="D63" t="s">
        <v>467</v>
      </c>
      <c r="E63" t="s">
        <v>12</v>
      </c>
    </row>
    <row r="64" spans="1:5" x14ac:dyDescent="0.25">
      <c r="A64" t="s">
        <v>51</v>
      </c>
      <c r="B64" t="s">
        <v>13</v>
      </c>
      <c r="C64" t="s">
        <v>299</v>
      </c>
      <c r="D64" t="s">
        <v>474</v>
      </c>
      <c r="E64" t="s">
        <v>12</v>
      </c>
    </row>
    <row r="65" spans="1:5" x14ac:dyDescent="0.25">
      <c r="A65" t="s">
        <v>497</v>
      </c>
      <c r="B65" t="s">
        <v>13</v>
      </c>
      <c r="C65" t="s">
        <v>299</v>
      </c>
      <c r="D65" t="s">
        <v>468</v>
      </c>
      <c r="E65" t="s">
        <v>12</v>
      </c>
    </row>
    <row r="66" spans="1:5" x14ac:dyDescent="0.25">
      <c r="A66" t="s">
        <v>52</v>
      </c>
      <c r="B66" t="s">
        <v>13</v>
      </c>
      <c r="C66" t="s">
        <v>299</v>
      </c>
      <c r="D66" t="s">
        <v>65</v>
      </c>
      <c r="E66" t="s">
        <v>12</v>
      </c>
    </row>
    <row r="67" spans="1:5" x14ac:dyDescent="0.25">
      <c r="A67" t="s">
        <v>53</v>
      </c>
      <c r="B67" t="s">
        <v>13</v>
      </c>
      <c r="C67" t="s">
        <v>299</v>
      </c>
      <c r="D67" t="s">
        <v>66</v>
      </c>
      <c r="E67" t="s">
        <v>12</v>
      </c>
    </row>
    <row r="68" spans="1:5" x14ac:dyDescent="0.25">
      <c r="A68" t="s">
        <v>498</v>
      </c>
      <c r="B68" t="s">
        <v>13</v>
      </c>
      <c r="C68" t="s">
        <v>299</v>
      </c>
      <c r="D68" t="s">
        <v>469</v>
      </c>
      <c r="E68" t="s">
        <v>12</v>
      </c>
    </row>
    <row r="69" spans="1:5" x14ac:dyDescent="0.25">
      <c r="A69" t="s">
        <v>54</v>
      </c>
      <c r="B69" t="s">
        <v>13</v>
      </c>
      <c r="C69" t="s">
        <v>299</v>
      </c>
      <c r="D69" t="s">
        <v>67</v>
      </c>
      <c r="E69" t="s">
        <v>12</v>
      </c>
    </row>
    <row r="70" spans="1:5" x14ac:dyDescent="0.25">
      <c r="A70" t="s">
        <v>128</v>
      </c>
      <c r="B70" t="s">
        <v>13</v>
      </c>
      <c r="C70" t="s">
        <v>299</v>
      </c>
      <c r="D70" t="s">
        <v>129</v>
      </c>
      <c r="E70" t="s">
        <v>39</v>
      </c>
    </row>
    <row r="71" spans="1:5" x14ac:dyDescent="0.25">
      <c r="A71" t="s">
        <v>130</v>
      </c>
      <c r="B71" t="s">
        <v>13</v>
      </c>
      <c r="C71" t="s">
        <v>299</v>
      </c>
      <c r="D71" t="s">
        <v>131</v>
      </c>
      <c r="E71" t="s">
        <v>12</v>
      </c>
    </row>
    <row r="72" spans="1:5" x14ac:dyDescent="0.25">
      <c r="A72" t="s">
        <v>499</v>
      </c>
      <c r="B72" t="s">
        <v>13</v>
      </c>
      <c r="C72" t="s">
        <v>299</v>
      </c>
      <c r="D72" t="s">
        <v>470</v>
      </c>
      <c r="E72" t="s">
        <v>12</v>
      </c>
    </row>
    <row r="73" spans="1:5" x14ac:dyDescent="0.25">
      <c r="A73" t="s">
        <v>132</v>
      </c>
      <c r="B73" t="s">
        <v>13</v>
      </c>
      <c r="C73" t="s">
        <v>299</v>
      </c>
      <c r="D73" t="s">
        <v>133</v>
      </c>
      <c r="E73" t="s">
        <v>12</v>
      </c>
    </row>
    <row r="74" spans="1:5" x14ac:dyDescent="0.25">
      <c r="A74" t="s">
        <v>134</v>
      </c>
      <c r="B74" t="s">
        <v>13</v>
      </c>
      <c r="C74" t="s">
        <v>299</v>
      </c>
      <c r="D74" t="s">
        <v>135</v>
      </c>
      <c r="E74" t="s">
        <v>12</v>
      </c>
    </row>
    <row r="75" spans="1:5" x14ac:dyDescent="0.25">
      <c r="A75" t="s">
        <v>500</v>
      </c>
      <c r="B75" t="s">
        <v>13</v>
      </c>
      <c r="C75" t="s">
        <v>299</v>
      </c>
      <c r="D75" t="s">
        <v>471</v>
      </c>
      <c r="E75" t="s">
        <v>12</v>
      </c>
    </row>
    <row r="76" spans="1:5" x14ac:dyDescent="0.25">
      <c r="A76" t="s">
        <v>136</v>
      </c>
      <c r="B76" t="s">
        <v>13</v>
      </c>
      <c r="C76" t="s">
        <v>299</v>
      </c>
      <c r="D76" t="s">
        <v>137</v>
      </c>
      <c r="E76" t="s">
        <v>12</v>
      </c>
    </row>
    <row r="77" spans="1:5" x14ac:dyDescent="0.25">
      <c r="A77" t="s">
        <v>138</v>
      </c>
      <c r="B77" t="s">
        <v>13</v>
      </c>
      <c r="C77" t="s">
        <v>299</v>
      </c>
      <c r="D77" t="s">
        <v>72</v>
      </c>
      <c r="E77" t="s">
        <v>12</v>
      </c>
    </row>
    <row r="79" spans="1:5" ht="18" thickBot="1" x14ac:dyDescent="0.4">
      <c r="A79" s="89" t="s">
        <v>642</v>
      </c>
      <c r="B79" s="89"/>
      <c r="C79" s="89"/>
      <c r="D79" s="89"/>
      <c r="E79" s="89"/>
    </row>
    <row r="80" spans="1:5" ht="13.8" thickTop="1" x14ac:dyDescent="0.25">
      <c r="A80" t="s">
        <v>412</v>
      </c>
      <c r="B80" t="s">
        <v>13</v>
      </c>
      <c r="C80" t="s">
        <v>299</v>
      </c>
      <c r="D80" t="s">
        <v>420</v>
      </c>
      <c r="E80" t="s">
        <v>39</v>
      </c>
    </row>
    <row r="81" spans="1:5" x14ac:dyDescent="0.25">
      <c r="A81" t="s">
        <v>487</v>
      </c>
      <c r="B81" t="s">
        <v>13</v>
      </c>
      <c r="C81" t="s">
        <v>299</v>
      </c>
      <c r="D81" t="s">
        <v>459</v>
      </c>
      <c r="E81" t="s">
        <v>39</v>
      </c>
    </row>
    <row r="82" spans="1:5" x14ac:dyDescent="0.25">
      <c r="A82" t="s">
        <v>413</v>
      </c>
      <c r="B82" t="s">
        <v>13</v>
      </c>
      <c r="C82" t="s">
        <v>299</v>
      </c>
      <c r="D82" t="s">
        <v>421</v>
      </c>
      <c r="E82" t="s">
        <v>39</v>
      </c>
    </row>
    <row r="83" spans="1:5" x14ac:dyDescent="0.25">
      <c r="A83" t="s">
        <v>414</v>
      </c>
      <c r="B83" t="s">
        <v>13</v>
      </c>
      <c r="C83" t="s">
        <v>299</v>
      </c>
      <c r="D83" t="s">
        <v>422</v>
      </c>
      <c r="E83" t="s">
        <v>39</v>
      </c>
    </row>
    <row r="84" spans="1:5" x14ac:dyDescent="0.25">
      <c r="A84" t="s">
        <v>488</v>
      </c>
      <c r="B84" t="s">
        <v>13</v>
      </c>
      <c r="C84" t="s">
        <v>299</v>
      </c>
      <c r="D84" t="s">
        <v>460</v>
      </c>
      <c r="E84" t="s">
        <v>39</v>
      </c>
    </row>
    <row r="86" spans="1:5" ht="18" thickBot="1" x14ac:dyDescent="0.4">
      <c r="A86" s="89" t="s">
        <v>607</v>
      </c>
      <c r="B86" s="89"/>
      <c r="C86" s="89"/>
      <c r="D86" s="89"/>
      <c r="E86" s="89"/>
    </row>
    <row r="87" spans="1:5" ht="13.8" thickTop="1" x14ac:dyDescent="0.25">
      <c r="A87" t="s">
        <v>20</v>
      </c>
      <c r="B87" t="s">
        <v>13</v>
      </c>
      <c r="C87" t="s">
        <v>299</v>
      </c>
      <c r="D87" t="s">
        <v>21</v>
      </c>
      <c r="E87" t="s">
        <v>12</v>
      </c>
    </row>
    <row r="88" spans="1:5" x14ac:dyDescent="0.25">
      <c r="A88" t="s">
        <v>24</v>
      </c>
      <c r="B88" t="s">
        <v>13</v>
      </c>
      <c r="C88" t="s">
        <v>299</v>
      </c>
      <c r="D88" t="s">
        <v>26</v>
      </c>
      <c r="E88" t="s">
        <v>12</v>
      </c>
    </row>
    <row r="89" spans="1:5" x14ac:dyDescent="0.25">
      <c r="A89" t="s">
        <v>23</v>
      </c>
      <c r="B89" t="s">
        <v>13</v>
      </c>
      <c r="C89" t="s">
        <v>299</v>
      </c>
      <c r="D89" t="s">
        <v>25</v>
      </c>
      <c r="E89" t="s">
        <v>12</v>
      </c>
    </row>
    <row r="90" spans="1:5" x14ac:dyDescent="0.25">
      <c r="A90" t="s">
        <v>443</v>
      </c>
      <c r="B90" t="s">
        <v>13</v>
      </c>
      <c r="C90" t="s">
        <v>299</v>
      </c>
      <c r="D90" t="s">
        <v>444</v>
      </c>
      <c r="E90" t="s">
        <v>12</v>
      </c>
    </row>
    <row r="91" spans="1:5" x14ac:dyDescent="0.25">
      <c r="A91" t="s">
        <v>501</v>
      </c>
      <c r="B91" t="s">
        <v>13</v>
      </c>
      <c r="C91" t="s">
        <v>299</v>
      </c>
      <c r="D91" t="s">
        <v>425</v>
      </c>
      <c r="E91" t="s">
        <v>12</v>
      </c>
    </row>
    <row r="92" spans="1:5" x14ac:dyDescent="0.25">
      <c r="A92" t="s">
        <v>42</v>
      </c>
      <c r="B92" t="s">
        <v>13</v>
      </c>
      <c r="C92" t="s">
        <v>299</v>
      </c>
      <c r="D92" t="s">
        <v>43</v>
      </c>
      <c r="E92" t="s">
        <v>12</v>
      </c>
    </row>
    <row r="93" spans="1:5" x14ac:dyDescent="0.25">
      <c r="A93" t="s">
        <v>40</v>
      </c>
      <c r="B93" t="s">
        <v>13</v>
      </c>
      <c r="C93" t="s">
        <v>299</v>
      </c>
      <c r="D93" t="s">
        <v>41</v>
      </c>
      <c r="E93" t="s">
        <v>12</v>
      </c>
    </row>
    <row r="94" spans="1:5" x14ac:dyDescent="0.25">
      <c r="A94" t="s">
        <v>27</v>
      </c>
      <c r="B94" t="s">
        <v>13</v>
      </c>
      <c r="C94" t="s">
        <v>299</v>
      </c>
      <c r="D94" t="s">
        <v>28</v>
      </c>
      <c r="E94" t="s">
        <v>12</v>
      </c>
    </row>
    <row r="95" spans="1:5" x14ac:dyDescent="0.25">
      <c r="A95" t="s">
        <v>29</v>
      </c>
      <c r="B95" t="s">
        <v>13</v>
      </c>
      <c r="C95" t="s">
        <v>299</v>
      </c>
      <c r="D95" t="s">
        <v>36</v>
      </c>
      <c r="E95" t="s">
        <v>12</v>
      </c>
    </row>
    <row r="96" spans="1:5" x14ac:dyDescent="0.25">
      <c r="A96" t="s">
        <v>73</v>
      </c>
      <c r="B96" t="s">
        <v>13</v>
      </c>
      <c r="C96" t="s">
        <v>299</v>
      </c>
      <c r="D96" t="s">
        <v>22</v>
      </c>
      <c r="E96" t="s">
        <v>12</v>
      </c>
    </row>
    <row r="97" spans="1:5" x14ac:dyDescent="0.25">
      <c r="A97" t="s">
        <v>30</v>
      </c>
      <c r="B97" t="s">
        <v>13</v>
      </c>
      <c r="C97" t="s">
        <v>299</v>
      </c>
      <c r="D97" t="s">
        <v>31</v>
      </c>
      <c r="E97" t="s">
        <v>12</v>
      </c>
    </row>
    <row r="98" spans="1:5" x14ac:dyDescent="0.25">
      <c r="A98" t="s">
        <v>37</v>
      </c>
      <c r="B98" t="s">
        <v>13</v>
      </c>
      <c r="C98" t="s">
        <v>299</v>
      </c>
      <c r="D98" t="s">
        <v>38</v>
      </c>
      <c r="E98" t="s">
        <v>12</v>
      </c>
    </row>
    <row r="100" spans="1:5" ht="18" thickBot="1" x14ac:dyDescent="0.4">
      <c r="A100" s="89" t="s">
        <v>608</v>
      </c>
      <c r="B100" s="89"/>
      <c r="C100" s="89"/>
      <c r="D100" s="89"/>
      <c r="E100" s="89"/>
    </row>
    <row r="101" spans="1:5" ht="13.8" thickTop="1" x14ac:dyDescent="0.25">
      <c r="A101" t="s">
        <v>32</v>
      </c>
      <c r="B101" t="s">
        <v>13</v>
      </c>
      <c r="C101" t="s">
        <v>299</v>
      </c>
      <c r="D101" t="s">
        <v>33</v>
      </c>
      <c r="E101" t="s">
        <v>12</v>
      </c>
    </row>
    <row r="102" spans="1:5" x14ac:dyDescent="0.25">
      <c r="A102" t="s">
        <v>417</v>
      </c>
      <c r="B102" t="s">
        <v>13</v>
      </c>
      <c r="C102" t="s">
        <v>299</v>
      </c>
      <c r="D102" t="s">
        <v>442</v>
      </c>
      <c r="E102" t="s">
        <v>12</v>
      </c>
    </row>
    <row r="103" spans="1:5" x14ac:dyDescent="0.25">
      <c r="A103" t="s">
        <v>34</v>
      </c>
      <c r="B103" t="s">
        <v>13</v>
      </c>
      <c r="C103" t="s">
        <v>299</v>
      </c>
      <c r="D103" t="s">
        <v>35</v>
      </c>
      <c r="E103" t="s">
        <v>12</v>
      </c>
    </row>
    <row r="105" spans="1:5" ht="18" thickBot="1" x14ac:dyDescent="0.4">
      <c r="A105" s="89" t="s">
        <v>593</v>
      </c>
      <c r="B105" s="89"/>
      <c r="C105" s="89"/>
      <c r="D105" s="89"/>
      <c r="E105" s="89"/>
    </row>
    <row r="106" spans="1:5" ht="13.8" thickTop="1" x14ac:dyDescent="0.25">
      <c r="A106" t="s">
        <v>331</v>
      </c>
      <c r="B106" t="s">
        <v>13</v>
      </c>
      <c r="C106" t="s">
        <v>299</v>
      </c>
      <c r="D106" t="s">
        <v>178</v>
      </c>
      <c r="E106" t="s">
        <v>46</v>
      </c>
    </row>
    <row r="107" spans="1:5" x14ac:dyDescent="0.25">
      <c r="A107" t="s">
        <v>179</v>
      </c>
      <c r="B107" t="s">
        <v>13</v>
      </c>
      <c r="C107" t="s">
        <v>299</v>
      </c>
      <c r="D107" t="s">
        <v>182</v>
      </c>
      <c r="E107" t="s">
        <v>39</v>
      </c>
    </row>
    <row r="108" spans="1:5" x14ac:dyDescent="0.25">
      <c r="A108" t="s">
        <v>180</v>
      </c>
      <c r="B108" t="s">
        <v>13</v>
      </c>
      <c r="C108" t="s">
        <v>299</v>
      </c>
      <c r="D108" t="s">
        <v>183</v>
      </c>
      <c r="E108" t="s">
        <v>46</v>
      </c>
    </row>
    <row r="109" spans="1:5" x14ac:dyDescent="0.25">
      <c r="A109" t="s">
        <v>366</v>
      </c>
      <c r="B109" t="s">
        <v>13</v>
      </c>
      <c r="C109" t="s">
        <v>299</v>
      </c>
      <c r="D109" t="s">
        <v>367</v>
      </c>
      <c r="E109" t="s">
        <v>12</v>
      </c>
    </row>
    <row r="110" spans="1:5" x14ac:dyDescent="0.25">
      <c r="A110" t="s">
        <v>187</v>
      </c>
      <c r="B110" t="s">
        <v>13</v>
      </c>
      <c r="C110" t="s">
        <v>299</v>
      </c>
      <c r="D110" t="s">
        <v>184</v>
      </c>
      <c r="E110" t="s">
        <v>12</v>
      </c>
    </row>
    <row r="111" spans="1:5" x14ac:dyDescent="0.25">
      <c r="A111" t="s">
        <v>188</v>
      </c>
      <c r="B111" t="s">
        <v>13</v>
      </c>
      <c r="C111" t="s">
        <v>299</v>
      </c>
      <c r="D111" t="s">
        <v>185</v>
      </c>
      <c r="E111" t="s">
        <v>12</v>
      </c>
    </row>
    <row r="112" spans="1:5" x14ac:dyDescent="0.25">
      <c r="A112" t="s">
        <v>196</v>
      </c>
      <c r="B112" t="s">
        <v>13</v>
      </c>
      <c r="C112" t="s">
        <v>299</v>
      </c>
      <c r="D112" t="s">
        <v>197</v>
      </c>
      <c r="E112" t="s">
        <v>12</v>
      </c>
    </row>
    <row r="113" spans="1:5" x14ac:dyDescent="0.25">
      <c r="A113" t="s">
        <v>189</v>
      </c>
      <c r="B113" t="s">
        <v>13</v>
      </c>
      <c r="C113" t="s">
        <v>299</v>
      </c>
      <c r="D113" t="s">
        <v>186</v>
      </c>
      <c r="E113" t="s">
        <v>12</v>
      </c>
    </row>
    <row r="114" spans="1:5" x14ac:dyDescent="0.25">
      <c r="A114" t="s">
        <v>193</v>
      </c>
      <c r="B114" t="s">
        <v>13</v>
      </c>
      <c r="C114" t="s">
        <v>299</v>
      </c>
      <c r="D114" t="s">
        <v>192</v>
      </c>
      <c r="E114" t="s">
        <v>12</v>
      </c>
    </row>
    <row r="115" spans="1:5" x14ac:dyDescent="0.25">
      <c r="A115" t="s">
        <v>194</v>
      </c>
      <c r="B115" t="s">
        <v>13</v>
      </c>
      <c r="C115" t="s">
        <v>299</v>
      </c>
      <c r="D115" t="s">
        <v>195</v>
      </c>
      <c r="E115" t="s">
        <v>12</v>
      </c>
    </row>
    <row r="116" spans="1:5" x14ac:dyDescent="0.25">
      <c r="A116" t="s">
        <v>190</v>
      </c>
      <c r="B116" t="s">
        <v>13</v>
      </c>
      <c r="C116" t="s">
        <v>299</v>
      </c>
      <c r="D116" t="s">
        <v>191</v>
      </c>
      <c r="E116" t="s">
        <v>39</v>
      </c>
    </row>
    <row r="118" spans="1:5" ht="18" thickBot="1" x14ac:dyDescent="0.4">
      <c r="A118" s="89" t="s">
        <v>609</v>
      </c>
      <c r="B118" s="89"/>
      <c r="C118" s="89"/>
      <c r="D118" s="89"/>
      <c r="E118" s="89"/>
    </row>
    <row r="119" spans="1:5" ht="13.8" thickTop="1" x14ac:dyDescent="0.25">
      <c r="A119" t="s">
        <v>187</v>
      </c>
      <c r="B119" t="s">
        <v>13</v>
      </c>
      <c r="C119" t="s">
        <v>299</v>
      </c>
      <c r="D119" t="s">
        <v>184</v>
      </c>
      <c r="E119" t="s">
        <v>12</v>
      </c>
    </row>
    <row r="120" spans="1:5" x14ac:dyDescent="0.25">
      <c r="A120" t="s">
        <v>188</v>
      </c>
      <c r="B120" t="s">
        <v>13</v>
      </c>
      <c r="C120" t="s">
        <v>299</v>
      </c>
      <c r="D120" t="s">
        <v>185</v>
      </c>
      <c r="E120" t="s">
        <v>12</v>
      </c>
    </row>
    <row r="121" spans="1:5" x14ac:dyDescent="0.25">
      <c r="A121" t="s">
        <v>196</v>
      </c>
      <c r="B121" t="s">
        <v>13</v>
      </c>
      <c r="C121" t="s">
        <v>299</v>
      </c>
      <c r="D121" t="s">
        <v>197</v>
      </c>
      <c r="E121" t="s">
        <v>12</v>
      </c>
    </row>
    <row r="122" spans="1:5" x14ac:dyDescent="0.25">
      <c r="A122" t="s">
        <v>189</v>
      </c>
      <c r="B122" t="s">
        <v>13</v>
      </c>
      <c r="C122" t="s">
        <v>299</v>
      </c>
      <c r="D122" t="s">
        <v>186</v>
      </c>
      <c r="E122" t="s">
        <v>12</v>
      </c>
    </row>
    <row r="123" spans="1:5" x14ac:dyDescent="0.25">
      <c r="A123" t="s">
        <v>193</v>
      </c>
      <c r="B123" t="s">
        <v>13</v>
      </c>
      <c r="C123" t="s">
        <v>299</v>
      </c>
      <c r="D123" t="s">
        <v>192</v>
      </c>
      <c r="E123" t="s">
        <v>12</v>
      </c>
    </row>
    <row r="124" spans="1:5" x14ac:dyDescent="0.25">
      <c r="A124" t="s">
        <v>194</v>
      </c>
      <c r="B124" t="s">
        <v>13</v>
      </c>
      <c r="C124" t="s">
        <v>299</v>
      </c>
      <c r="D124" t="s">
        <v>195</v>
      </c>
      <c r="E124" t="s">
        <v>12</v>
      </c>
    </row>
    <row r="125" spans="1:5" x14ac:dyDescent="0.25">
      <c r="A125" t="s">
        <v>190</v>
      </c>
      <c r="B125" t="s">
        <v>13</v>
      </c>
      <c r="C125" t="s">
        <v>299</v>
      </c>
      <c r="D125" t="s">
        <v>191</v>
      </c>
      <c r="E125" t="s">
        <v>39</v>
      </c>
    </row>
    <row r="127" spans="1:5" ht="18" thickBot="1" x14ac:dyDescent="0.4">
      <c r="A127" s="89" t="s">
        <v>585</v>
      </c>
      <c r="B127" s="89"/>
      <c r="C127" s="89"/>
      <c r="D127" s="89"/>
      <c r="E127" s="89"/>
    </row>
    <row r="128" spans="1:5" ht="13.8" thickTop="1" x14ac:dyDescent="0.25">
      <c r="A128" t="s">
        <v>217</v>
      </c>
      <c r="B128" t="s">
        <v>13</v>
      </c>
      <c r="C128" t="s">
        <v>299</v>
      </c>
      <c r="D128" t="s">
        <v>213</v>
      </c>
      <c r="E128" t="s">
        <v>39</v>
      </c>
    </row>
    <row r="130" spans="1:5" ht="18" thickBot="1" x14ac:dyDescent="0.4">
      <c r="A130" s="89" t="s">
        <v>586</v>
      </c>
      <c r="B130" s="89"/>
      <c r="C130" s="89"/>
      <c r="D130" s="89"/>
      <c r="E130" s="89"/>
    </row>
    <row r="131" spans="1:5" ht="13.8" thickTop="1" x14ac:dyDescent="0.25">
      <c r="A131" t="s">
        <v>44</v>
      </c>
      <c r="B131" t="s">
        <v>511</v>
      </c>
      <c r="C131" t="s">
        <v>299</v>
      </c>
      <c r="D131" t="s">
        <v>45</v>
      </c>
      <c r="E131" t="s">
        <v>46</v>
      </c>
    </row>
    <row r="133" spans="1:5" ht="18" thickBot="1" x14ac:dyDescent="0.4">
      <c r="A133" s="89" t="s">
        <v>595</v>
      </c>
      <c r="B133" s="89"/>
      <c r="C133" s="89"/>
      <c r="D133" s="89"/>
      <c r="E133" s="89"/>
    </row>
    <row r="134" spans="1:5" ht="13.8" thickTop="1" x14ac:dyDescent="0.25">
      <c r="A134" t="s">
        <v>44</v>
      </c>
      <c r="B134" t="s">
        <v>511</v>
      </c>
      <c r="C134" t="s">
        <v>299</v>
      </c>
      <c r="D134" t="s">
        <v>45</v>
      </c>
      <c r="E134" t="s">
        <v>46</v>
      </c>
    </row>
    <row r="136" spans="1:5" ht="18" thickBot="1" x14ac:dyDescent="0.4">
      <c r="A136" s="89" t="s">
        <v>611</v>
      </c>
      <c r="B136" s="89"/>
      <c r="C136" s="89"/>
      <c r="D136" s="89"/>
      <c r="E136" s="89"/>
    </row>
    <row r="137" spans="1:5" ht="13.8" thickTop="1" x14ac:dyDescent="0.25">
      <c r="A137" t="s">
        <v>44</v>
      </c>
      <c r="B137" t="s">
        <v>511</v>
      </c>
      <c r="C137" t="s">
        <v>299</v>
      </c>
      <c r="D137" t="s">
        <v>45</v>
      </c>
      <c r="E137" t="s">
        <v>46</v>
      </c>
    </row>
    <row r="139" spans="1:5" ht="18" thickBot="1" x14ac:dyDescent="0.4">
      <c r="A139" s="89" t="s">
        <v>626</v>
      </c>
      <c r="B139" s="89"/>
      <c r="C139" s="89"/>
      <c r="D139" s="89"/>
      <c r="E139" s="89"/>
    </row>
    <row r="140" spans="1:5" ht="13.8" thickTop="1" x14ac:dyDescent="0.25">
      <c r="A140" t="s">
        <v>44</v>
      </c>
      <c r="B140" t="s">
        <v>511</v>
      </c>
      <c r="C140" t="s">
        <v>299</v>
      </c>
      <c r="D140" t="s">
        <v>45</v>
      </c>
      <c r="E140" t="s">
        <v>46</v>
      </c>
    </row>
    <row r="142" spans="1:5" ht="18" thickBot="1" x14ac:dyDescent="0.4">
      <c r="A142" s="89" t="s">
        <v>633</v>
      </c>
      <c r="B142" s="89"/>
      <c r="C142" s="89"/>
      <c r="D142" s="89"/>
      <c r="E142" s="89"/>
    </row>
    <row r="143" spans="1:5" ht="13.8" thickTop="1" x14ac:dyDescent="0.25">
      <c r="A143" t="s">
        <v>44</v>
      </c>
      <c r="B143" t="s">
        <v>511</v>
      </c>
      <c r="C143" t="s">
        <v>299</v>
      </c>
      <c r="D143" t="s">
        <v>45</v>
      </c>
      <c r="E143" t="s">
        <v>46</v>
      </c>
    </row>
    <row r="145" spans="1:5" ht="18" thickBot="1" x14ac:dyDescent="0.4">
      <c r="A145" s="89" t="s">
        <v>617</v>
      </c>
      <c r="B145" s="89"/>
      <c r="C145" s="89"/>
      <c r="D145" s="89"/>
      <c r="E145" s="89"/>
    </row>
    <row r="146" spans="1:5" ht="13.8" thickTop="1" x14ac:dyDescent="0.25">
      <c r="A146" t="s">
        <v>507</v>
      </c>
      <c r="B146" t="s">
        <v>516</v>
      </c>
      <c r="C146" t="s">
        <v>64</v>
      </c>
      <c r="D146" t="s">
        <v>253</v>
      </c>
      <c r="E146" t="s">
        <v>12</v>
      </c>
    </row>
    <row r="147" spans="1:5" x14ac:dyDescent="0.25">
      <c r="A147" t="s">
        <v>252</v>
      </c>
      <c r="B147" t="s">
        <v>516</v>
      </c>
      <c r="C147" t="s">
        <v>64</v>
      </c>
      <c r="D147" t="s">
        <v>254</v>
      </c>
      <c r="E147" t="s">
        <v>12</v>
      </c>
    </row>
    <row r="148" spans="1:5" x14ac:dyDescent="0.25">
      <c r="A148" t="s">
        <v>293</v>
      </c>
      <c r="B148" t="s">
        <v>516</v>
      </c>
      <c r="C148" t="s">
        <v>64</v>
      </c>
      <c r="D148" t="s">
        <v>255</v>
      </c>
      <c r="E148" t="s">
        <v>12</v>
      </c>
    </row>
    <row r="149" spans="1:5" x14ac:dyDescent="0.25">
      <c r="A149" t="s">
        <v>294</v>
      </c>
      <c r="B149" t="s">
        <v>516</v>
      </c>
      <c r="C149" t="s">
        <v>64</v>
      </c>
      <c r="D149" t="s">
        <v>256</v>
      </c>
      <c r="E149" t="s">
        <v>12</v>
      </c>
    </row>
    <row r="151" spans="1:5" ht="18" thickBot="1" x14ac:dyDescent="0.4">
      <c r="A151" s="89" t="s">
        <v>618</v>
      </c>
      <c r="B151" s="89"/>
      <c r="C151" s="89"/>
      <c r="D151" s="89"/>
      <c r="E151" s="89"/>
    </row>
    <row r="152" spans="1:5" ht="13.8" thickTop="1" x14ac:dyDescent="0.25">
      <c r="A152" t="s">
        <v>362</v>
      </c>
      <c r="B152" t="s">
        <v>516</v>
      </c>
      <c r="C152" t="s">
        <v>64</v>
      </c>
      <c r="D152" t="s">
        <v>363</v>
      </c>
      <c r="E152" t="s">
        <v>12</v>
      </c>
    </row>
    <row r="153" spans="1:5" x14ac:dyDescent="0.25">
      <c r="A153" t="s">
        <v>364</v>
      </c>
      <c r="B153" t="s">
        <v>516</v>
      </c>
      <c r="C153" t="s">
        <v>64</v>
      </c>
      <c r="D153" t="s">
        <v>365</v>
      </c>
      <c r="E153" t="s">
        <v>12</v>
      </c>
    </row>
    <row r="155" spans="1:5" ht="18" thickBot="1" x14ac:dyDescent="0.4">
      <c r="A155" s="89" t="s">
        <v>601</v>
      </c>
      <c r="B155" s="89"/>
      <c r="C155" s="89"/>
      <c r="D155" s="89"/>
      <c r="E155" s="89"/>
    </row>
    <row r="156" spans="1:5" ht="13.8" thickTop="1" x14ac:dyDescent="0.25">
      <c r="A156" t="s">
        <v>257</v>
      </c>
      <c r="B156" t="s">
        <v>516</v>
      </c>
      <c r="C156" t="s">
        <v>64</v>
      </c>
      <c r="D156" t="s">
        <v>258</v>
      </c>
      <c r="E156" t="s">
        <v>12</v>
      </c>
    </row>
    <row r="158" spans="1:5" ht="18" thickBot="1" x14ac:dyDescent="0.4">
      <c r="A158" s="89" t="s">
        <v>619</v>
      </c>
      <c r="B158" s="89"/>
      <c r="C158" s="89"/>
      <c r="D158" s="89"/>
      <c r="E158" s="89"/>
    </row>
    <row r="159" spans="1:5" ht="13.8" thickTop="1" x14ac:dyDescent="0.25">
      <c r="A159" t="s">
        <v>257</v>
      </c>
      <c r="B159" t="s">
        <v>516</v>
      </c>
      <c r="C159" t="s">
        <v>64</v>
      </c>
      <c r="D159" t="s">
        <v>258</v>
      </c>
      <c r="E159" t="s">
        <v>12</v>
      </c>
    </row>
    <row r="161" spans="1:5" ht="18" thickBot="1" x14ac:dyDescent="0.4">
      <c r="A161" s="89" t="s">
        <v>620</v>
      </c>
      <c r="B161" s="89"/>
      <c r="C161" s="89"/>
      <c r="D161" s="89"/>
      <c r="E161" s="89"/>
    </row>
    <row r="162" spans="1:5" ht="13.8" thickTop="1" x14ac:dyDescent="0.25">
      <c r="A162" t="s">
        <v>245</v>
      </c>
      <c r="B162" t="s">
        <v>511</v>
      </c>
      <c r="C162" t="s">
        <v>299</v>
      </c>
      <c r="D162" t="s">
        <v>291</v>
      </c>
      <c r="E162" t="s">
        <v>46</v>
      </c>
    </row>
    <row r="163" spans="1:5" x14ac:dyDescent="0.25">
      <c r="A163" t="s">
        <v>246</v>
      </c>
      <c r="B163" t="s">
        <v>511</v>
      </c>
      <c r="C163" t="s">
        <v>299</v>
      </c>
      <c r="D163" t="s">
        <v>292</v>
      </c>
      <c r="E163" t="s">
        <v>46</v>
      </c>
    </row>
    <row r="164" spans="1:5" x14ac:dyDescent="0.25">
      <c r="A164" t="s">
        <v>282</v>
      </c>
      <c r="B164" t="s">
        <v>511</v>
      </c>
      <c r="C164" t="s">
        <v>299</v>
      </c>
      <c r="D164" t="s">
        <v>148</v>
      </c>
      <c r="E164" t="s">
        <v>46</v>
      </c>
    </row>
    <row r="165" spans="1:5" x14ac:dyDescent="0.25">
      <c r="A165" t="s">
        <v>145</v>
      </c>
      <c r="B165" t="s">
        <v>511</v>
      </c>
      <c r="C165" t="s">
        <v>299</v>
      </c>
      <c r="D165" t="s">
        <v>150</v>
      </c>
      <c r="E165" t="s">
        <v>46</v>
      </c>
    </row>
    <row r="166" spans="1:5" x14ac:dyDescent="0.25">
      <c r="A166" t="s">
        <v>283</v>
      </c>
      <c r="B166" t="s">
        <v>511</v>
      </c>
      <c r="C166" t="s">
        <v>299</v>
      </c>
      <c r="D166" t="s">
        <v>151</v>
      </c>
      <c r="E166" t="s">
        <v>46</v>
      </c>
    </row>
    <row r="167" spans="1:5" x14ac:dyDescent="0.25">
      <c r="A167" t="s">
        <v>542</v>
      </c>
      <c r="B167" t="s">
        <v>511</v>
      </c>
      <c r="C167" t="s">
        <v>299</v>
      </c>
      <c r="D167" t="s">
        <v>248</v>
      </c>
      <c r="E167" t="s">
        <v>46</v>
      </c>
    </row>
    <row r="168" spans="1:5" x14ac:dyDescent="0.25">
      <c r="A168" t="s">
        <v>247</v>
      </c>
      <c r="B168" t="s">
        <v>511</v>
      </c>
      <c r="C168" t="s">
        <v>299</v>
      </c>
      <c r="D168" t="s">
        <v>249</v>
      </c>
      <c r="E168" t="s">
        <v>46</v>
      </c>
    </row>
    <row r="169" spans="1:5" x14ac:dyDescent="0.25">
      <c r="A169" t="s">
        <v>284</v>
      </c>
      <c r="B169" t="s">
        <v>511</v>
      </c>
      <c r="C169" t="s">
        <v>299</v>
      </c>
      <c r="D169" t="s">
        <v>250</v>
      </c>
      <c r="E169" t="s">
        <v>46</v>
      </c>
    </row>
    <row r="170" spans="1:5" x14ac:dyDescent="0.25">
      <c r="A170" t="s">
        <v>285</v>
      </c>
      <c r="B170" t="s">
        <v>511</v>
      </c>
      <c r="C170" t="s">
        <v>299</v>
      </c>
      <c r="D170" t="s">
        <v>251</v>
      </c>
      <c r="E170" t="s">
        <v>46</v>
      </c>
    </row>
    <row r="172" spans="1:5" ht="18" thickBot="1" x14ac:dyDescent="0.4">
      <c r="A172" s="89" t="s">
        <v>604</v>
      </c>
      <c r="B172" s="89"/>
      <c r="C172" s="89"/>
      <c r="D172" s="89"/>
      <c r="E172" s="89"/>
    </row>
    <row r="173" spans="1:5" ht="13.8" thickTop="1" x14ac:dyDescent="0.25">
      <c r="A173" t="s">
        <v>286</v>
      </c>
      <c r="B173" t="s">
        <v>511</v>
      </c>
      <c r="C173" t="s">
        <v>299</v>
      </c>
      <c r="D173" t="s">
        <v>266</v>
      </c>
      <c r="E173" t="s">
        <v>46</v>
      </c>
    </row>
    <row r="174" spans="1:5" x14ac:dyDescent="0.25">
      <c r="A174" t="s">
        <v>295</v>
      </c>
      <c r="B174" t="s">
        <v>516</v>
      </c>
      <c r="C174" t="s">
        <v>64</v>
      </c>
      <c r="D174" t="s">
        <v>267</v>
      </c>
      <c r="E174" t="s">
        <v>12</v>
      </c>
    </row>
    <row r="175" spans="1:5" x14ac:dyDescent="0.25">
      <c r="A175" t="s">
        <v>296</v>
      </c>
      <c r="B175" t="s">
        <v>516</v>
      </c>
      <c r="C175" t="s">
        <v>64</v>
      </c>
      <c r="D175" t="s">
        <v>268</v>
      </c>
      <c r="E175" t="s">
        <v>12</v>
      </c>
    </row>
    <row r="176" spans="1:5" x14ac:dyDescent="0.25">
      <c r="A176" t="s">
        <v>297</v>
      </c>
      <c r="B176" t="s">
        <v>516</v>
      </c>
      <c r="C176" t="s">
        <v>64</v>
      </c>
      <c r="D176" t="s">
        <v>269</v>
      </c>
      <c r="E176" t="s">
        <v>12</v>
      </c>
    </row>
    <row r="178" spans="1:5" ht="18" thickBot="1" x14ac:dyDescent="0.4">
      <c r="A178" s="89" t="s">
        <v>623</v>
      </c>
      <c r="B178" s="89"/>
      <c r="C178" s="89"/>
      <c r="D178" s="89"/>
      <c r="E178" s="89"/>
    </row>
    <row r="179" spans="1:5" ht="13.8" thickTop="1" x14ac:dyDescent="0.25">
      <c r="A179" t="s">
        <v>286</v>
      </c>
      <c r="B179" t="s">
        <v>511</v>
      </c>
      <c r="C179" t="s">
        <v>299</v>
      </c>
      <c r="D179" t="s">
        <v>266</v>
      </c>
      <c r="E179" t="s">
        <v>46</v>
      </c>
    </row>
    <row r="180" spans="1:5" x14ac:dyDescent="0.25">
      <c r="A180" t="s">
        <v>295</v>
      </c>
      <c r="B180" t="s">
        <v>516</v>
      </c>
      <c r="C180" t="s">
        <v>64</v>
      </c>
      <c r="D180" t="s">
        <v>267</v>
      </c>
      <c r="E180" t="s">
        <v>12</v>
      </c>
    </row>
    <row r="181" spans="1:5" x14ac:dyDescent="0.25">
      <c r="A181" t="s">
        <v>296</v>
      </c>
      <c r="B181" t="s">
        <v>516</v>
      </c>
      <c r="C181" t="s">
        <v>64</v>
      </c>
      <c r="D181" t="s">
        <v>268</v>
      </c>
      <c r="E181" t="s">
        <v>12</v>
      </c>
    </row>
    <row r="182" spans="1:5" x14ac:dyDescent="0.25">
      <c r="A182" t="s">
        <v>297</v>
      </c>
      <c r="B182" t="s">
        <v>516</v>
      </c>
      <c r="C182" t="s">
        <v>64</v>
      </c>
      <c r="D182" t="s">
        <v>269</v>
      </c>
      <c r="E182" t="s">
        <v>12</v>
      </c>
    </row>
    <row r="184" spans="1:5" ht="18" thickBot="1" x14ac:dyDescent="0.4">
      <c r="A184" s="89" t="s">
        <v>605</v>
      </c>
      <c r="B184" s="89"/>
      <c r="C184" s="89"/>
      <c r="D184" s="89"/>
      <c r="E184" s="89"/>
    </row>
    <row r="185" spans="1:5" ht="13.8" thickTop="1" x14ac:dyDescent="0.25">
      <c r="A185" t="s">
        <v>271</v>
      </c>
      <c r="B185" t="s">
        <v>13</v>
      </c>
      <c r="C185" t="s">
        <v>299</v>
      </c>
      <c r="D185" t="s">
        <v>272</v>
      </c>
      <c r="E185" t="s">
        <v>12</v>
      </c>
    </row>
    <row r="187" spans="1:5" ht="18" thickBot="1" x14ac:dyDescent="0.4">
      <c r="A187" s="89" t="s">
        <v>624</v>
      </c>
      <c r="B187" s="89"/>
      <c r="C187" s="89"/>
      <c r="D187" s="89"/>
      <c r="E187" s="89"/>
    </row>
    <row r="188" spans="1:5" ht="13.8" thickTop="1" x14ac:dyDescent="0.25">
      <c r="A188" t="s">
        <v>271</v>
      </c>
      <c r="B188" t="s">
        <v>13</v>
      </c>
      <c r="C188" t="s">
        <v>299</v>
      </c>
      <c r="D188" t="s">
        <v>272</v>
      </c>
      <c r="E188" t="s">
        <v>12</v>
      </c>
    </row>
  </sheetData>
  <mergeCells count="1">
    <mergeCell ref="A1:E3"/>
  </mergeCells>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30"/>
  <sheetViews>
    <sheetView workbookViewId="0">
      <selection activeCell="A4" sqref="A4:D4"/>
    </sheetView>
  </sheetViews>
  <sheetFormatPr baseColWidth="10" defaultColWidth="11.44140625" defaultRowHeight="13.2" x14ac:dyDescent="0.25"/>
  <cols>
    <col min="1" max="1" width="34" bestFit="1" customWidth="1"/>
    <col min="2" max="2" width="7.5546875" bestFit="1" customWidth="1"/>
    <col min="3" max="3" width="10.88671875" bestFit="1" customWidth="1"/>
    <col min="4" max="4" width="76.44140625" bestFit="1" customWidth="1"/>
  </cols>
  <sheetData>
    <row r="1" spans="1:5" ht="19.5" customHeight="1" x14ac:dyDescent="0.25">
      <c r="A1" s="117" t="s">
        <v>554</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585</v>
      </c>
      <c r="B10" s="89"/>
      <c r="C10" s="89"/>
      <c r="D10" s="89"/>
      <c r="E10" s="89"/>
    </row>
    <row r="11" spans="1:5" ht="13.8" thickTop="1" x14ac:dyDescent="0.25">
      <c r="A11" t="s">
        <v>217</v>
      </c>
      <c r="B11" t="s">
        <v>13</v>
      </c>
      <c r="C11" t="s">
        <v>299</v>
      </c>
      <c r="D11" t="s">
        <v>213</v>
      </c>
      <c r="E11" t="s">
        <v>39</v>
      </c>
    </row>
    <row r="13" spans="1:5" ht="18" thickBot="1" x14ac:dyDescent="0.4">
      <c r="A13" s="89" t="s">
        <v>586</v>
      </c>
      <c r="B13" s="89"/>
      <c r="C13" s="89"/>
      <c r="D13" s="89"/>
      <c r="E13" s="89"/>
    </row>
    <row r="14" spans="1:5" ht="13.8" thickTop="1" x14ac:dyDescent="0.25">
      <c r="A14" t="s">
        <v>44</v>
      </c>
      <c r="B14" t="s">
        <v>511</v>
      </c>
      <c r="C14" t="s">
        <v>299</v>
      </c>
      <c r="D14" t="s">
        <v>45</v>
      </c>
      <c r="E14" t="s">
        <v>46</v>
      </c>
    </row>
    <row r="16" spans="1:5" ht="18" thickBot="1" x14ac:dyDescent="0.4">
      <c r="A16" s="89" t="s">
        <v>587</v>
      </c>
      <c r="B16" s="89"/>
      <c r="C16" s="89"/>
      <c r="D16" s="89"/>
      <c r="E16" s="89"/>
    </row>
    <row r="17" spans="1:5" ht="13.8" thickTop="1" x14ac:dyDescent="0.25">
      <c r="A17" t="s">
        <v>214</v>
      </c>
      <c r="B17" t="s">
        <v>516</v>
      </c>
      <c r="C17" t="s">
        <v>64</v>
      </c>
      <c r="D17" t="s">
        <v>215</v>
      </c>
      <c r="E17" t="s">
        <v>46</v>
      </c>
    </row>
    <row r="19" spans="1:5" ht="18" thickBot="1" x14ac:dyDescent="0.4">
      <c r="A19" s="89" t="s">
        <v>588</v>
      </c>
      <c r="B19" s="89"/>
      <c r="C19" s="89"/>
      <c r="D19" s="89"/>
      <c r="E19" s="89"/>
    </row>
    <row r="20" spans="1:5" ht="13.8" thickTop="1" x14ac:dyDescent="0.25">
      <c r="A20" t="s">
        <v>445</v>
      </c>
      <c r="B20" t="s">
        <v>516</v>
      </c>
      <c r="C20" t="s">
        <v>64</v>
      </c>
      <c r="D20" t="s">
        <v>429</v>
      </c>
      <c r="E20" t="s">
        <v>46</v>
      </c>
    </row>
    <row r="21" spans="1:5" x14ac:dyDescent="0.25">
      <c r="A21" t="s">
        <v>446</v>
      </c>
      <c r="B21" t="s">
        <v>516</v>
      </c>
      <c r="C21" t="s">
        <v>64</v>
      </c>
      <c r="D21" t="s">
        <v>434</v>
      </c>
      <c r="E21" t="s">
        <v>46</v>
      </c>
    </row>
    <row r="22" spans="1:5" x14ac:dyDescent="0.25">
      <c r="A22" t="s">
        <v>447</v>
      </c>
      <c r="B22" t="s">
        <v>516</v>
      </c>
      <c r="C22" t="s">
        <v>64</v>
      </c>
      <c r="D22" t="s">
        <v>435</v>
      </c>
      <c r="E22" t="s">
        <v>46</v>
      </c>
    </row>
    <row r="23" spans="1:5" x14ac:dyDescent="0.25">
      <c r="A23" t="s">
        <v>448</v>
      </c>
      <c r="B23" t="s">
        <v>516</v>
      </c>
      <c r="C23" t="s">
        <v>64</v>
      </c>
      <c r="D23" t="s">
        <v>436</v>
      </c>
      <c r="E23" t="s">
        <v>46</v>
      </c>
    </row>
    <row r="25" spans="1:5" ht="18" thickBot="1" x14ac:dyDescent="0.4">
      <c r="A25" s="89" t="s">
        <v>589</v>
      </c>
      <c r="B25" s="89"/>
      <c r="C25" s="89"/>
      <c r="D25" s="89"/>
      <c r="E25" s="89"/>
    </row>
    <row r="26" spans="1:5" ht="13.8" thickTop="1" x14ac:dyDescent="0.25">
      <c r="A26" t="s">
        <v>156</v>
      </c>
      <c r="B26" t="s">
        <v>13</v>
      </c>
      <c r="C26" t="s">
        <v>299</v>
      </c>
      <c r="D26" t="s">
        <v>159</v>
      </c>
      <c r="E26" t="s">
        <v>46</v>
      </c>
    </row>
    <row r="27" spans="1:5" x14ac:dyDescent="0.25">
      <c r="A27" t="s">
        <v>157</v>
      </c>
      <c r="B27" t="s">
        <v>13</v>
      </c>
      <c r="C27" t="s">
        <v>299</v>
      </c>
      <c r="D27" t="s">
        <v>160</v>
      </c>
      <c r="E27" t="s">
        <v>12</v>
      </c>
    </row>
    <row r="29" spans="1:5" ht="18" thickBot="1" x14ac:dyDescent="0.4">
      <c r="A29" s="89" t="s">
        <v>590</v>
      </c>
      <c r="B29" s="89"/>
      <c r="C29" s="89"/>
      <c r="D29" s="89"/>
      <c r="E29" s="89"/>
    </row>
    <row r="30" spans="1:5" ht="13.8" thickTop="1" x14ac:dyDescent="0.25">
      <c r="A30" t="s">
        <v>155</v>
      </c>
      <c r="B30" t="s">
        <v>13</v>
      </c>
      <c r="C30" t="s">
        <v>299</v>
      </c>
      <c r="D30" t="s">
        <v>158</v>
      </c>
      <c r="E30" t="s">
        <v>99</v>
      </c>
    </row>
  </sheetData>
  <mergeCells count="1">
    <mergeCell ref="A1:E3"/>
  </mergeCells>
  <phoneticPr fontId="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E81"/>
  <sheetViews>
    <sheetView workbookViewId="0">
      <selection activeCell="A4" sqref="A4:D4"/>
    </sheetView>
  </sheetViews>
  <sheetFormatPr baseColWidth="10" defaultColWidth="11.44140625" defaultRowHeight="13.2" x14ac:dyDescent="0.25"/>
  <cols>
    <col min="1" max="1" width="26.88671875" bestFit="1" customWidth="1"/>
    <col min="2" max="2" width="7.5546875" bestFit="1" customWidth="1"/>
    <col min="3" max="3" width="10.88671875" bestFit="1" customWidth="1"/>
    <col min="4" max="4" width="66.5546875" bestFit="1" customWidth="1"/>
  </cols>
  <sheetData>
    <row r="1" spans="1:5" ht="19.5" customHeight="1" x14ac:dyDescent="0.25">
      <c r="A1" s="117" t="s">
        <v>559</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573</v>
      </c>
      <c r="B10" s="89"/>
      <c r="C10" s="89"/>
      <c r="D10" s="89"/>
      <c r="E10" s="89"/>
    </row>
    <row r="11" spans="1:5" ht="13.8" thickTop="1" x14ac:dyDescent="0.25">
      <c r="A11" t="s">
        <v>47</v>
      </c>
      <c r="B11" t="s">
        <v>13</v>
      </c>
      <c r="C11" t="s">
        <v>299</v>
      </c>
      <c r="D11" t="s">
        <v>319</v>
      </c>
      <c r="E11" t="s">
        <v>12</v>
      </c>
    </row>
    <row r="12" spans="1:5" x14ac:dyDescent="0.25">
      <c r="A12" t="s">
        <v>48</v>
      </c>
      <c r="B12" t="s">
        <v>13</v>
      </c>
      <c r="C12" t="s">
        <v>299</v>
      </c>
      <c r="D12" t="s">
        <v>320</v>
      </c>
      <c r="E12" t="s">
        <v>12</v>
      </c>
    </row>
    <row r="13" spans="1:5" x14ac:dyDescent="0.25">
      <c r="A13" t="s">
        <v>321</v>
      </c>
      <c r="B13" t="s">
        <v>13</v>
      </c>
      <c r="C13" t="s">
        <v>299</v>
      </c>
      <c r="D13" t="s">
        <v>322</v>
      </c>
      <c r="E13" t="s">
        <v>12</v>
      </c>
    </row>
    <row r="14" spans="1:5" x14ac:dyDescent="0.25">
      <c r="A14" t="s">
        <v>323</v>
      </c>
      <c r="B14" t="s">
        <v>13</v>
      </c>
      <c r="C14" t="s">
        <v>299</v>
      </c>
      <c r="D14" t="s">
        <v>324</v>
      </c>
      <c r="E14" t="s">
        <v>12</v>
      </c>
    </row>
    <row r="15" spans="1:5" x14ac:dyDescent="0.25">
      <c r="A15" t="s">
        <v>325</v>
      </c>
      <c r="B15" t="s">
        <v>13</v>
      </c>
      <c r="C15" t="s">
        <v>299</v>
      </c>
      <c r="D15" t="s">
        <v>326</v>
      </c>
      <c r="E15" t="s">
        <v>12</v>
      </c>
    </row>
    <row r="16" spans="1:5" x14ac:dyDescent="0.25">
      <c r="A16" t="s">
        <v>327</v>
      </c>
      <c r="B16" t="s">
        <v>13</v>
      </c>
      <c r="C16" t="s">
        <v>299</v>
      </c>
      <c r="D16" t="s">
        <v>328</v>
      </c>
      <c r="E16" t="s">
        <v>12</v>
      </c>
    </row>
    <row r="17" spans="1:5" x14ac:dyDescent="0.25">
      <c r="A17" t="s">
        <v>530</v>
      </c>
      <c r="B17" t="s">
        <v>13</v>
      </c>
      <c r="C17" t="s">
        <v>299</v>
      </c>
      <c r="D17" t="s">
        <v>329</v>
      </c>
      <c r="E17" t="s">
        <v>12</v>
      </c>
    </row>
    <row r="18" spans="1:5" x14ac:dyDescent="0.25">
      <c r="A18" t="s">
        <v>531</v>
      </c>
      <c r="B18" t="s">
        <v>13</v>
      </c>
      <c r="C18" t="s">
        <v>299</v>
      </c>
      <c r="D18" t="s">
        <v>330</v>
      </c>
      <c r="E18" t="s">
        <v>12</v>
      </c>
    </row>
    <row r="20" spans="1:5" ht="18" thickBot="1" x14ac:dyDescent="0.4">
      <c r="A20" s="89" t="s">
        <v>610</v>
      </c>
      <c r="B20" s="89"/>
      <c r="C20" s="89"/>
      <c r="D20" s="89"/>
      <c r="E20" s="89"/>
    </row>
    <row r="21" spans="1:5" ht="13.8" thickTop="1" x14ac:dyDescent="0.25">
      <c r="A21" t="s">
        <v>47</v>
      </c>
      <c r="B21" t="s">
        <v>13</v>
      </c>
      <c r="C21" t="s">
        <v>299</v>
      </c>
      <c r="D21" t="s">
        <v>319</v>
      </c>
      <c r="E21" t="s">
        <v>12</v>
      </c>
    </row>
    <row r="22" spans="1:5" x14ac:dyDescent="0.25">
      <c r="A22" t="s">
        <v>48</v>
      </c>
      <c r="B22" t="s">
        <v>13</v>
      </c>
      <c r="C22" t="s">
        <v>299</v>
      </c>
      <c r="D22" t="s">
        <v>320</v>
      </c>
      <c r="E22" t="s">
        <v>12</v>
      </c>
    </row>
    <row r="24" spans="1:5" ht="18" thickBot="1" x14ac:dyDescent="0.4">
      <c r="A24" s="89" t="s">
        <v>594</v>
      </c>
      <c r="B24" s="89"/>
      <c r="C24" s="89"/>
      <c r="D24" s="89"/>
      <c r="E24" s="89"/>
    </row>
    <row r="25" spans="1:5" ht="13.8" thickTop="1" x14ac:dyDescent="0.25">
      <c r="A25" t="s">
        <v>321</v>
      </c>
      <c r="B25" t="s">
        <v>13</v>
      </c>
      <c r="C25" t="s">
        <v>299</v>
      </c>
      <c r="D25" t="s">
        <v>322</v>
      </c>
      <c r="E25" t="s">
        <v>12</v>
      </c>
    </row>
    <row r="26" spans="1:5" x14ac:dyDescent="0.25">
      <c r="A26" t="s">
        <v>323</v>
      </c>
      <c r="B26" t="s">
        <v>13</v>
      </c>
      <c r="C26" t="s">
        <v>299</v>
      </c>
      <c r="D26" t="s">
        <v>324</v>
      </c>
      <c r="E26" t="s">
        <v>12</v>
      </c>
    </row>
    <row r="27" spans="1:5" x14ac:dyDescent="0.25">
      <c r="A27" t="s">
        <v>325</v>
      </c>
      <c r="B27" t="s">
        <v>13</v>
      </c>
      <c r="C27" t="s">
        <v>299</v>
      </c>
      <c r="D27" t="s">
        <v>326</v>
      </c>
      <c r="E27" t="s">
        <v>12</v>
      </c>
    </row>
    <row r="28" spans="1:5" x14ac:dyDescent="0.25">
      <c r="A28" t="s">
        <v>327</v>
      </c>
      <c r="B28" t="s">
        <v>13</v>
      </c>
      <c r="C28" t="s">
        <v>299</v>
      </c>
      <c r="D28" t="s">
        <v>328</v>
      </c>
      <c r="E28" t="s">
        <v>12</v>
      </c>
    </row>
    <row r="29" spans="1:5" x14ac:dyDescent="0.25">
      <c r="A29" t="s">
        <v>530</v>
      </c>
      <c r="B29" t="s">
        <v>13</v>
      </c>
      <c r="C29" t="s">
        <v>299</v>
      </c>
      <c r="D29" t="s">
        <v>329</v>
      </c>
      <c r="E29" t="s">
        <v>12</v>
      </c>
    </row>
    <row r="30" spans="1:5" x14ac:dyDescent="0.25">
      <c r="A30" t="s">
        <v>531</v>
      </c>
      <c r="B30" t="s">
        <v>13</v>
      </c>
      <c r="C30" t="s">
        <v>299</v>
      </c>
      <c r="D30" t="s">
        <v>330</v>
      </c>
      <c r="E30" t="s">
        <v>12</v>
      </c>
    </row>
    <row r="32" spans="1:5" ht="18" thickBot="1" x14ac:dyDescent="0.4">
      <c r="A32" s="89" t="s">
        <v>643</v>
      </c>
      <c r="B32" s="89"/>
      <c r="C32" s="89"/>
      <c r="D32" s="89"/>
      <c r="E32" s="89"/>
    </row>
    <row r="33" spans="1:5" ht="13.8" thickTop="1" x14ac:dyDescent="0.25">
      <c r="A33" t="s">
        <v>161</v>
      </c>
      <c r="B33" t="s">
        <v>13</v>
      </c>
      <c r="C33" t="s">
        <v>299</v>
      </c>
      <c r="D33" t="s">
        <v>162</v>
      </c>
      <c r="E33" t="s">
        <v>46</v>
      </c>
    </row>
    <row r="35" spans="1:5" ht="18" thickBot="1" x14ac:dyDescent="0.4">
      <c r="A35" s="89" t="s">
        <v>612</v>
      </c>
      <c r="B35" s="89"/>
      <c r="C35" s="89"/>
      <c r="D35" s="89"/>
      <c r="E35" s="89"/>
    </row>
    <row r="36" spans="1:5" ht="13.8" thickTop="1" x14ac:dyDescent="0.25">
      <c r="A36" t="s">
        <v>77</v>
      </c>
      <c r="B36" t="s">
        <v>13</v>
      </c>
      <c r="C36" t="s">
        <v>299</v>
      </c>
      <c r="D36" t="s">
        <v>78</v>
      </c>
      <c r="E36" t="s">
        <v>56</v>
      </c>
    </row>
    <row r="38" spans="1:5" ht="18" thickBot="1" x14ac:dyDescent="0.4">
      <c r="A38" s="89" t="s">
        <v>627</v>
      </c>
      <c r="B38" s="89"/>
      <c r="C38" s="89"/>
      <c r="D38" s="89"/>
      <c r="E38" s="89"/>
    </row>
    <row r="39" spans="1:5" ht="13.8" thickTop="1" x14ac:dyDescent="0.25">
      <c r="A39" t="s">
        <v>532</v>
      </c>
      <c r="B39" t="s">
        <v>13</v>
      </c>
      <c r="C39" t="s">
        <v>299</v>
      </c>
      <c r="D39" t="s">
        <v>427</v>
      </c>
      <c r="E39" t="s">
        <v>99</v>
      </c>
    </row>
    <row r="40" spans="1:5" x14ac:dyDescent="0.25">
      <c r="A40" t="s">
        <v>533</v>
      </c>
      <c r="B40" t="s">
        <v>516</v>
      </c>
      <c r="C40" t="s">
        <v>64</v>
      </c>
      <c r="D40" t="s">
        <v>430</v>
      </c>
      <c r="E40" t="s">
        <v>99</v>
      </c>
    </row>
    <row r="41" spans="1:5" x14ac:dyDescent="0.25">
      <c r="A41" t="s">
        <v>534</v>
      </c>
      <c r="B41" t="s">
        <v>516</v>
      </c>
      <c r="C41" t="s">
        <v>64</v>
      </c>
      <c r="D41" t="s">
        <v>431</v>
      </c>
      <c r="E41" t="s">
        <v>99</v>
      </c>
    </row>
    <row r="42" spans="1:5" x14ac:dyDescent="0.25">
      <c r="A42" t="s">
        <v>535</v>
      </c>
      <c r="B42" t="s">
        <v>516</v>
      </c>
      <c r="C42" t="s">
        <v>64</v>
      </c>
      <c r="D42" t="s">
        <v>432</v>
      </c>
      <c r="E42" t="s">
        <v>99</v>
      </c>
    </row>
    <row r="43" spans="1:5" x14ac:dyDescent="0.25">
      <c r="A43" t="s">
        <v>536</v>
      </c>
      <c r="B43" t="s">
        <v>516</v>
      </c>
      <c r="C43" t="s">
        <v>64</v>
      </c>
      <c r="D43" t="s">
        <v>433</v>
      </c>
      <c r="E43" t="s">
        <v>99</v>
      </c>
    </row>
    <row r="45" spans="1:5" ht="18" thickBot="1" x14ac:dyDescent="0.4">
      <c r="A45" s="89" t="s">
        <v>634</v>
      </c>
      <c r="B45" s="89"/>
      <c r="C45" s="89"/>
      <c r="D45" s="89"/>
      <c r="E45" s="89"/>
    </row>
    <row r="46" spans="1:5" ht="13.8" thickTop="1" x14ac:dyDescent="0.25">
      <c r="A46" t="s">
        <v>532</v>
      </c>
      <c r="B46" t="s">
        <v>13</v>
      </c>
      <c r="C46" t="s">
        <v>299</v>
      </c>
      <c r="D46" t="s">
        <v>427</v>
      </c>
      <c r="E46" t="s">
        <v>99</v>
      </c>
    </row>
    <row r="47" spans="1:5" x14ac:dyDescent="0.25">
      <c r="A47" t="s">
        <v>533</v>
      </c>
      <c r="B47" t="s">
        <v>516</v>
      </c>
      <c r="C47" t="s">
        <v>64</v>
      </c>
      <c r="D47" t="s">
        <v>430</v>
      </c>
      <c r="E47" t="s">
        <v>99</v>
      </c>
    </row>
    <row r="48" spans="1:5" x14ac:dyDescent="0.25">
      <c r="A48" t="s">
        <v>534</v>
      </c>
      <c r="B48" t="s">
        <v>516</v>
      </c>
      <c r="C48" t="s">
        <v>64</v>
      </c>
      <c r="D48" t="s">
        <v>431</v>
      </c>
      <c r="E48" t="s">
        <v>99</v>
      </c>
    </row>
    <row r="49" spans="1:5" x14ac:dyDescent="0.25">
      <c r="A49" t="s">
        <v>535</v>
      </c>
      <c r="B49" t="s">
        <v>516</v>
      </c>
      <c r="C49" t="s">
        <v>64</v>
      </c>
      <c r="D49" t="s">
        <v>432</v>
      </c>
      <c r="E49" t="s">
        <v>99</v>
      </c>
    </row>
    <row r="50" spans="1:5" x14ac:dyDescent="0.25">
      <c r="A50" t="s">
        <v>536</v>
      </c>
      <c r="B50" t="s">
        <v>516</v>
      </c>
      <c r="C50" t="s">
        <v>64</v>
      </c>
      <c r="D50" t="s">
        <v>433</v>
      </c>
      <c r="E50" t="s">
        <v>99</v>
      </c>
    </row>
    <row r="52" spans="1:5" ht="18" thickBot="1" x14ac:dyDescent="0.4">
      <c r="A52" s="89" t="s">
        <v>628</v>
      </c>
      <c r="B52" s="89"/>
      <c r="C52" s="89"/>
      <c r="D52" s="89"/>
      <c r="E52" s="89"/>
    </row>
    <row r="53" spans="1:5" ht="13.8" thickTop="1" x14ac:dyDescent="0.25">
      <c r="A53" t="s">
        <v>426</v>
      </c>
      <c r="B53" t="s">
        <v>13</v>
      </c>
      <c r="C53" t="s">
        <v>299</v>
      </c>
      <c r="D53" t="s">
        <v>452</v>
      </c>
      <c r="E53" t="s">
        <v>100</v>
      </c>
    </row>
    <row r="54" spans="1:5" x14ac:dyDescent="0.25">
      <c r="A54" t="s">
        <v>437</v>
      </c>
      <c r="B54" t="s">
        <v>516</v>
      </c>
      <c r="C54" t="s">
        <v>64</v>
      </c>
      <c r="D54" t="s">
        <v>453</v>
      </c>
      <c r="E54" t="s">
        <v>100</v>
      </c>
    </row>
    <row r="55" spans="1:5" x14ac:dyDescent="0.25">
      <c r="A55" t="s">
        <v>438</v>
      </c>
      <c r="B55" t="s">
        <v>516</v>
      </c>
      <c r="C55" t="s">
        <v>64</v>
      </c>
      <c r="D55" t="s">
        <v>454</v>
      </c>
      <c r="E55" t="s">
        <v>100</v>
      </c>
    </row>
    <row r="56" spans="1:5" x14ac:dyDescent="0.25">
      <c r="A56" t="s">
        <v>428</v>
      </c>
      <c r="B56" t="s">
        <v>516</v>
      </c>
      <c r="C56" t="s">
        <v>64</v>
      </c>
      <c r="D56" t="s">
        <v>455</v>
      </c>
      <c r="E56" t="s">
        <v>100</v>
      </c>
    </row>
    <row r="57" spans="1:5" x14ac:dyDescent="0.25">
      <c r="A57" t="s">
        <v>439</v>
      </c>
      <c r="B57" t="s">
        <v>516</v>
      </c>
      <c r="C57" t="s">
        <v>64</v>
      </c>
      <c r="D57" t="s">
        <v>456</v>
      </c>
      <c r="E57" t="s">
        <v>100</v>
      </c>
    </row>
    <row r="59" spans="1:5" ht="18" thickBot="1" x14ac:dyDescent="0.4">
      <c r="A59" s="89" t="s">
        <v>597</v>
      </c>
      <c r="B59" s="89"/>
      <c r="C59" s="89"/>
      <c r="D59" s="89"/>
      <c r="E59" s="89"/>
    </row>
    <row r="60" spans="1:5" ht="13.8" thickTop="1" x14ac:dyDescent="0.25">
      <c r="A60" t="s">
        <v>537</v>
      </c>
      <c r="B60" t="s">
        <v>516</v>
      </c>
      <c r="C60" t="s">
        <v>64</v>
      </c>
      <c r="D60" t="s">
        <v>216</v>
      </c>
      <c r="E60" t="s">
        <v>163</v>
      </c>
    </row>
    <row r="61" spans="1:5" x14ac:dyDescent="0.25">
      <c r="A61" t="s">
        <v>538</v>
      </c>
      <c r="B61" t="s">
        <v>516</v>
      </c>
      <c r="C61" t="s">
        <v>64</v>
      </c>
      <c r="D61" t="s">
        <v>279</v>
      </c>
      <c r="E61" t="s">
        <v>163</v>
      </c>
    </row>
    <row r="62" spans="1:5" x14ac:dyDescent="0.25">
      <c r="A62" t="s">
        <v>539</v>
      </c>
      <c r="B62" t="s">
        <v>516</v>
      </c>
      <c r="C62" t="s">
        <v>64</v>
      </c>
      <c r="D62" t="s">
        <v>280</v>
      </c>
      <c r="E62" t="s">
        <v>163</v>
      </c>
    </row>
    <row r="64" spans="1:5" ht="18" thickBot="1" x14ac:dyDescent="0.4">
      <c r="A64" s="89" t="s">
        <v>644</v>
      </c>
      <c r="B64" s="89"/>
      <c r="C64" s="89"/>
      <c r="D64" s="89"/>
      <c r="E64" s="89"/>
    </row>
    <row r="65" spans="1:5" ht="13.8" thickTop="1" x14ac:dyDescent="0.25">
      <c r="A65" t="s">
        <v>369</v>
      </c>
      <c r="B65" t="s">
        <v>516</v>
      </c>
      <c r="C65" t="s">
        <v>64</v>
      </c>
      <c r="D65" t="s">
        <v>370</v>
      </c>
      <c r="E65" t="s">
        <v>277</v>
      </c>
    </row>
    <row r="66" spans="1:5" x14ac:dyDescent="0.25">
      <c r="A66" t="s">
        <v>371</v>
      </c>
      <c r="B66" t="s">
        <v>516</v>
      </c>
      <c r="C66" t="s">
        <v>64</v>
      </c>
      <c r="D66" t="s">
        <v>372</v>
      </c>
      <c r="E66" t="s">
        <v>373</v>
      </c>
    </row>
    <row r="67" spans="1:5" x14ac:dyDescent="0.25">
      <c r="A67" t="s">
        <v>374</v>
      </c>
      <c r="B67" t="s">
        <v>516</v>
      </c>
      <c r="C67" t="s">
        <v>64</v>
      </c>
      <c r="D67" t="s">
        <v>375</v>
      </c>
      <c r="E67" t="s">
        <v>82</v>
      </c>
    </row>
    <row r="68" spans="1:5" x14ac:dyDescent="0.25">
      <c r="A68" t="s">
        <v>376</v>
      </c>
      <c r="B68" t="s">
        <v>516</v>
      </c>
      <c r="C68" t="s">
        <v>64</v>
      </c>
      <c r="D68" t="s">
        <v>377</v>
      </c>
      <c r="E68" t="s">
        <v>378</v>
      </c>
    </row>
    <row r="69" spans="1:5" x14ac:dyDescent="0.25">
      <c r="A69" t="s">
        <v>274</v>
      </c>
      <c r="B69" t="s">
        <v>516</v>
      </c>
      <c r="C69" t="s">
        <v>64</v>
      </c>
      <c r="D69" t="s">
        <v>276</v>
      </c>
      <c r="E69" t="s">
        <v>277</v>
      </c>
    </row>
    <row r="70" spans="1:5" x14ac:dyDescent="0.25">
      <c r="A70" t="s">
        <v>275</v>
      </c>
      <c r="B70" t="s">
        <v>516</v>
      </c>
      <c r="C70" t="s">
        <v>64</v>
      </c>
      <c r="D70" t="s">
        <v>278</v>
      </c>
      <c r="E70" t="s">
        <v>277</v>
      </c>
    </row>
    <row r="71" spans="1:5" x14ac:dyDescent="0.25">
      <c r="A71" t="s">
        <v>289</v>
      </c>
      <c r="B71" t="s">
        <v>516</v>
      </c>
      <c r="C71" t="s">
        <v>64</v>
      </c>
      <c r="D71" t="s">
        <v>287</v>
      </c>
      <c r="E71" t="s">
        <v>82</v>
      </c>
    </row>
    <row r="72" spans="1:5" x14ac:dyDescent="0.25">
      <c r="A72" t="s">
        <v>290</v>
      </c>
      <c r="B72" t="s">
        <v>516</v>
      </c>
      <c r="C72" t="s">
        <v>64</v>
      </c>
      <c r="D72" t="s">
        <v>288</v>
      </c>
      <c r="E72" t="s">
        <v>82</v>
      </c>
    </row>
    <row r="73" spans="1:5" x14ac:dyDescent="0.25">
      <c r="A73" t="s">
        <v>379</v>
      </c>
      <c r="B73" t="s">
        <v>516</v>
      </c>
      <c r="C73" t="s">
        <v>64</v>
      </c>
      <c r="D73" t="s">
        <v>380</v>
      </c>
      <c r="E73" t="s">
        <v>378</v>
      </c>
    </row>
    <row r="74" spans="1:5" x14ac:dyDescent="0.25">
      <c r="A74" t="s">
        <v>381</v>
      </c>
      <c r="B74" t="s">
        <v>516</v>
      </c>
      <c r="C74" t="s">
        <v>64</v>
      </c>
      <c r="D74" t="s">
        <v>382</v>
      </c>
      <c r="E74" t="s">
        <v>277</v>
      </c>
    </row>
    <row r="75" spans="1:5" x14ac:dyDescent="0.25">
      <c r="A75" t="s">
        <v>383</v>
      </c>
      <c r="B75" t="s">
        <v>516</v>
      </c>
      <c r="C75" t="s">
        <v>64</v>
      </c>
      <c r="D75" t="s">
        <v>384</v>
      </c>
      <c r="E75" t="s">
        <v>46</v>
      </c>
    </row>
    <row r="76" spans="1:5" x14ac:dyDescent="0.25">
      <c r="A76" t="s">
        <v>385</v>
      </c>
      <c r="B76" t="s">
        <v>516</v>
      </c>
      <c r="C76" t="s">
        <v>64</v>
      </c>
      <c r="D76" t="s">
        <v>386</v>
      </c>
      <c r="E76" t="s">
        <v>46</v>
      </c>
    </row>
    <row r="77" spans="1:5" x14ac:dyDescent="0.25">
      <c r="A77" t="s">
        <v>387</v>
      </c>
      <c r="B77" t="s">
        <v>13</v>
      </c>
      <c r="C77" t="s">
        <v>299</v>
      </c>
      <c r="D77" t="s">
        <v>388</v>
      </c>
      <c r="E77" t="s">
        <v>46</v>
      </c>
    </row>
    <row r="78" spans="1:5" x14ac:dyDescent="0.25">
      <c r="A78" t="s">
        <v>389</v>
      </c>
      <c r="B78" t="s">
        <v>13</v>
      </c>
      <c r="C78" t="s">
        <v>299</v>
      </c>
      <c r="D78" t="s">
        <v>390</v>
      </c>
      <c r="E78" t="s">
        <v>12</v>
      </c>
    </row>
    <row r="79" spans="1:5" x14ac:dyDescent="0.25">
      <c r="A79" t="s">
        <v>391</v>
      </c>
      <c r="B79" t="s">
        <v>511</v>
      </c>
      <c r="C79" t="s">
        <v>299</v>
      </c>
      <c r="D79" t="s">
        <v>392</v>
      </c>
      <c r="E79" t="s">
        <v>46</v>
      </c>
    </row>
    <row r="80" spans="1:5" x14ac:dyDescent="0.25">
      <c r="A80" t="s">
        <v>393</v>
      </c>
      <c r="B80" t="s">
        <v>511</v>
      </c>
      <c r="C80" t="s">
        <v>299</v>
      </c>
      <c r="D80" t="s">
        <v>394</v>
      </c>
      <c r="E80" t="s">
        <v>46</v>
      </c>
    </row>
    <row r="81" spans="1:5" x14ac:dyDescent="0.25">
      <c r="A81" t="s">
        <v>540</v>
      </c>
      <c r="B81" t="s">
        <v>516</v>
      </c>
      <c r="C81" t="s">
        <v>64</v>
      </c>
      <c r="D81" t="s">
        <v>395</v>
      </c>
      <c r="E81" t="s">
        <v>281</v>
      </c>
    </row>
  </sheetData>
  <mergeCells count="1">
    <mergeCell ref="A1:E3"/>
  </mergeCells>
  <phoneticPr fontId="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E125"/>
  <sheetViews>
    <sheetView workbookViewId="0">
      <selection activeCell="A4" sqref="A4:D4"/>
    </sheetView>
  </sheetViews>
  <sheetFormatPr baseColWidth="10" defaultColWidth="11.44140625" defaultRowHeight="13.2" x14ac:dyDescent="0.25"/>
  <cols>
    <col min="1" max="1" width="37.88671875" bestFit="1" customWidth="1"/>
    <col min="2" max="2" width="7.5546875" bestFit="1" customWidth="1"/>
    <col min="3" max="3" width="10.88671875" bestFit="1" customWidth="1"/>
    <col min="4" max="4" width="72.109375" bestFit="1" customWidth="1"/>
  </cols>
  <sheetData>
    <row r="1" spans="1:5" ht="19.5" customHeight="1" x14ac:dyDescent="0.25">
      <c r="A1" s="117" t="s">
        <v>553</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591</v>
      </c>
      <c r="B10" s="89"/>
      <c r="C10" s="89"/>
      <c r="D10" s="89"/>
      <c r="E10" s="89"/>
    </row>
    <row r="11" spans="1:5" ht="13.8" thickTop="1" x14ac:dyDescent="0.25">
      <c r="A11" t="s">
        <v>116</v>
      </c>
      <c r="B11" t="s">
        <v>13</v>
      </c>
      <c r="C11" t="s">
        <v>299</v>
      </c>
      <c r="D11" t="s">
        <v>117</v>
      </c>
      <c r="E11" t="s">
        <v>39</v>
      </c>
    </row>
    <row r="12" spans="1:5" x14ac:dyDescent="0.25">
      <c r="A12" t="s">
        <v>485</v>
      </c>
      <c r="B12" t="s">
        <v>13</v>
      </c>
      <c r="C12" t="s">
        <v>299</v>
      </c>
      <c r="D12" t="s">
        <v>457</v>
      </c>
      <c r="E12" t="s">
        <v>39</v>
      </c>
    </row>
    <row r="13" spans="1:5" x14ac:dyDescent="0.25">
      <c r="A13" t="s">
        <v>118</v>
      </c>
      <c r="B13" t="s">
        <v>13</v>
      </c>
      <c r="C13" t="s">
        <v>299</v>
      </c>
      <c r="D13" t="s">
        <v>119</v>
      </c>
      <c r="E13" t="s">
        <v>39</v>
      </c>
    </row>
    <row r="14" spans="1:5" x14ac:dyDescent="0.25">
      <c r="A14" t="s">
        <v>120</v>
      </c>
      <c r="B14" t="s">
        <v>13</v>
      </c>
      <c r="C14" t="s">
        <v>299</v>
      </c>
      <c r="D14" t="s">
        <v>121</v>
      </c>
      <c r="E14" t="s">
        <v>39</v>
      </c>
    </row>
    <row r="15" spans="1:5" x14ac:dyDescent="0.25">
      <c r="A15" t="s">
        <v>486</v>
      </c>
      <c r="B15" t="s">
        <v>13</v>
      </c>
      <c r="C15" t="s">
        <v>299</v>
      </c>
      <c r="D15" t="s">
        <v>458</v>
      </c>
      <c r="E15" t="s">
        <v>39</v>
      </c>
    </row>
    <row r="16" spans="1:5" x14ac:dyDescent="0.25">
      <c r="A16" t="s">
        <v>122</v>
      </c>
      <c r="B16" t="s">
        <v>13</v>
      </c>
      <c r="C16" t="s">
        <v>299</v>
      </c>
      <c r="D16" t="s">
        <v>68</v>
      </c>
      <c r="E16" t="s">
        <v>46</v>
      </c>
    </row>
    <row r="17" spans="1:5" x14ac:dyDescent="0.25">
      <c r="A17" t="s">
        <v>489</v>
      </c>
      <c r="B17" t="s">
        <v>13</v>
      </c>
      <c r="C17" t="s">
        <v>299</v>
      </c>
      <c r="D17" t="s">
        <v>461</v>
      </c>
      <c r="E17" t="s">
        <v>46</v>
      </c>
    </row>
    <row r="18" spans="1:5" x14ac:dyDescent="0.25">
      <c r="A18" t="s">
        <v>123</v>
      </c>
      <c r="B18" t="s">
        <v>13</v>
      </c>
      <c r="C18" t="s">
        <v>299</v>
      </c>
      <c r="D18" t="s">
        <v>69</v>
      </c>
      <c r="E18" t="s">
        <v>46</v>
      </c>
    </row>
    <row r="19" spans="1:5" x14ac:dyDescent="0.25">
      <c r="A19" t="s">
        <v>124</v>
      </c>
      <c r="B19" t="s">
        <v>13</v>
      </c>
      <c r="C19" t="s">
        <v>299</v>
      </c>
      <c r="D19" t="s">
        <v>126</v>
      </c>
      <c r="E19" t="s">
        <v>46</v>
      </c>
    </row>
    <row r="20" spans="1:5" x14ac:dyDescent="0.25">
      <c r="A20" t="s">
        <v>490</v>
      </c>
      <c r="B20" t="s">
        <v>13</v>
      </c>
      <c r="C20" t="s">
        <v>299</v>
      </c>
      <c r="D20" t="s">
        <v>462</v>
      </c>
      <c r="E20" t="s">
        <v>46</v>
      </c>
    </row>
    <row r="21" spans="1:5" x14ac:dyDescent="0.25">
      <c r="A21" t="s">
        <v>125</v>
      </c>
      <c r="B21" t="s">
        <v>13</v>
      </c>
      <c r="C21" t="s">
        <v>299</v>
      </c>
      <c r="D21" t="s">
        <v>127</v>
      </c>
      <c r="E21" t="s">
        <v>46</v>
      </c>
    </row>
    <row r="22" spans="1:5" x14ac:dyDescent="0.25">
      <c r="A22" t="s">
        <v>528</v>
      </c>
      <c r="B22" t="s">
        <v>13</v>
      </c>
      <c r="C22" t="s">
        <v>299</v>
      </c>
      <c r="D22" t="s">
        <v>306</v>
      </c>
      <c r="E22" t="s">
        <v>46</v>
      </c>
    </row>
    <row r="23" spans="1:5" x14ac:dyDescent="0.25">
      <c r="A23" t="s">
        <v>529</v>
      </c>
      <c r="B23" t="s">
        <v>13</v>
      </c>
      <c r="C23" t="s">
        <v>299</v>
      </c>
      <c r="D23" t="s">
        <v>307</v>
      </c>
      <c r="E23" t="s">
        <v>46</v>
      </c>
    </row>
    <row r="24" spans="1:5" x14ac:dyDescent="0.25">
      <c r="A24" t="s">
        <v>10</v>
      </c>
      <c r="B24" t="s">
        <v>13</v>
      </c>
      <c r="C24" t="s">
        <v>299</v>
      </c>
      <c r="D24" t="s">
        <v>318</v>
      </c>
      <c r="E24" t="s">
        <v>12</v>
      </c>
    </row>
    <row r="25" spans="1:5" x14ac:dyDescent="0.25">
      <c r="A25" t="s">
        <v>494</v>
      </c>
      <c r="B25" t="s">
        <v>13</v>
      </c>
      <c r="C25" t="s">
        <v>299</v>
      </c>
      <c r="D25" t="s">
        <v>466</v>
      </c>
      <c r="E25" t="s">
        <v>12</v>
      </c>
    </row>
    <row r="26" spans="1:5" x14ac:dyDescent="0.25">
      <c r="A26" t="s">
        <v>11</v>
      </c>
      <c r="B26" t="s">
        <v>13</v>
      </c>
      <c r="C26" t="s">
        <v>299</v>
      </c>
      <c r="D26" t="s">
        <v>359</v>
      </c>
      <c r="E26" t="s">
        <v>12</v>
      </c>
    </row>
    <row r="27" spans="1:5" x14ac:dyDescent="0.25">
      <c r="A27" t="s">
        <v>495</v>
      </c>
      <c r="B27" t="s">
        <v>13</v>
      </c>
      <c r="C27" t="s">
        <v>299</v>
      </c>
      <c r="D27" t="s">
        <v>472</v>
      </c>
      <c r="E27" t="s">
        <v>12</v>
      </c>
    </row>
    <row r="28" spans="1:5" x14ac:dyDescent="0.25">
      <c r="A28" t="s">
        <v>49</v>
      </c>
      <c r="B28" t="s">
        <v>13</v>
      </c>
      <c r="C28" t="s">
        <v>299</v>
      </c>
      <c r="D28" t="s">
        <v>360</v>
      </c>
      <c r="E28" t="s">
        <v>12</v>
      </c>
    </row>
    <row r="29" spans="1:5" x14ac:dyDescent="0.25">
      <c r="A29" t="s">
        <v>50</v>
      </c>
      <c r="B29" t="s">
        <v>13</v>
      </c>
      <c r="C29" t="s">
        <v>299</v>
      </c>
      <c r="D29" t="s">
        <v>361</v>
      </c>
      <c r="E29" t="s">
        <v>12</v>
      </c>
    </row>
    <row r="30" spans="1:5" x14ac:dyDescent="0.25">
      <c r="A30" t="s">
        <v>496</v>
      </c>
      <c r="B30" t="s">
        <v>13</v>
      </c>
      <c r="C30" t="s">
        <v>299</v>
      </c>
      <c r="D30" t="s">
        <v>467</v>
      </c>
      <c r="E30" t="s">
        <v>12</v>
      </c>
    </row>
    <row r="31" spans="1:5" x14ac:dyDescent="0.25">
      <c r="A31" t="s">
        <v>51</v>
      </c>
      <c r="B31" t="s">
        <v>13</v>
      </c>
      <c r="C31" t="s">
        <v>299</v>
      </c>
      <c r="D31" t="s">
        <v>474</v>
      </c>
      <c r="E31" t="s">
        <v>12</v>
      </c>
    </row>
    <row r="32" spans="1:5" x14ac:dyDescent="0.25">
      <c r="A32" t="s">
        <v>497</v>
      </c>
      <c r="B32" t="s">
        <v>13</v>
      </c>
      <c r="C32" t="s">
        <v>299</v>
      </c>
      <c r="D32" t="s">
        <v>468</v>
      </c>
      <c r="E32" t="s">
        <v>12</v>
      </c>
    </row>
    <row r="33" spans="1:5" x14ac:dyDescent="0.25">
      <c r="A33" t="s">
        <v>52</v>
      </c>
      <c r="B33" t="s">
        <v>13</v>
      </c>
      <c r="C33" t="s">
        <v>299</v>
      </c>
      <c r="D33" t="s">
        <v>65</v>
      </c>
      <c r="E33" t="s">
        <v>12</v>
      </c>
    </row>
    <row r="34" spans="1:5" x14ac:dyDescent="0.25">
      <c r="A34" t="s">
        <v>53</v>
      </c>
      <c r="B34" t="s">
        <v>13</v>
      </c>
      <c r="C34" t="s">
        <v>299</v>
      </c>
      <c r="D34" t="s">
        <v>66</v>
      </c>
      <c r="E34" t="s">
        <v>12</v>
      </c>
    </row>
    <row r="35" spans="1:5" x14ac:dyDescent="0.25">
      <c r="A35" t="s">
        <v>498</v>
      </c>
      <c r="B35" t="s">
        <v>13</v>
      </c>
      <c r="C35" t="s">
        <v>299</v>
      </c>
      <c r="D35" t="s">
        <v>469</v>
      </c>
      <c r="E35" t="s">
        <v>12</v>
      </c>
    </row>
    <row r="36" spans="1:5" x14ac:dyDescent="0.25">
      <c r="A36" t="s">
        <v>54</v>
      </c>
      <c r="B36" t="s">
        <v>13</v>
      </c>
      <c r="C36" t="s">
        <v>299</v>
      </c>
      <c r="D36" t="s">
        <v>67</v>
      </c>
      <c r="E36" t="s">
        <v>12</v>
      </c>
    </row>
    <row r="37" spans="1:5" x14ac:dyDescent="0.25">
      <c r="A37" t="s">
        <v>128</v>
      </c>
      <c r="B37" t="s">
        <v>13</v>
      </c>
      <c r="C37" t="s">
        <v>299</v>
      </c>
      <c r="D37" t="s">
        <v>129</v>
      </c>
      <c r="E37" t="s">
        <v>39</v>
      </c>
    </row>
    <row r="38" spans="1:5" x14ac:dyDescent="0.25">
      <c r="A38" t="s">
        <v>130</v>
      </c>
      <c r="B38" t="s">
        <v>13</v>
      </c>
      <c r="C38" t="s">
        <v>299</v>
      </c>
      <c r="D38" t="s">
        <v>131</v>
      </c>
      <c r="E38" t="s">
        <v>12</v>
      </c>
    </row>
    <row r="39" spans="1:5" x14ac:dyDescent="0.25">
      <c r="A39" t="s">
        <v>499</v>
      </c>
      <c r="B39" t="s">
        <v>13</v>
      </c>
      <c r="C39" t="s">
        <v>299</v>
      </c>
      <c r="D39" t="s">
        <v>470</v>
      </c>
      <c r="E39" t="s">
        <v>12</v>
      </c>
    </row>
    <row r="40" spans="1:5" x14ac:dyDescent="0.25">
      <c r="A40" t="s">
        <v>132</v>
      </c>
      <c r="B40" t="s">
        <v>13</v>
      </c>
      <c r="C40" t="s">
        <v>299</v>
      </c>
      <c r="D40" t="s">
        <v>133</v>
      </c>
      <c r="E40" t="s">
        <v>12</v>
      </c>
    </row>
    <row r="41" spans="1:5" x14ac:dyDescent="0.25">
      <c r="A41" t="s">
        <v>134</v>
      </c>
      <c r="B41" t="s">
        <v>13</v>
      </c>
      <c r="C41" t="s">
        <v>299</v>
      </c>
      <c r="D41" t="s">
        <v>135</v>
      </c>
      <c r="E41" t="s">
        <v>12</v>
      </c>
    </row>
    <row r="42" spans="1:5" x14ac:dyDescent="0.25">
      <c r="A42" t="s">
        <v>500</v>
      </c>
      <c r="B42" t="s">
        <v>13</v>
      </c>
      <c r="C42" t="s">
        <v>299</v>
      </c>
      <c r="D42" t="s">
        <v>471</v>
      </c>
      <c r="E42" t="s">
        <v>12</v>
      </c>
    </row>
    <row r="43" spans="1:5" x14ac:dyDescent="0.25">
      <c r="A43" t="s">
        <v>136</v>
      </c>
      <c r="B43" t="s">
        <v>13</v>
      </c>
      <c r="C43" t="s">
        <v>299</v>
      </c>
      <c r="D43" t="s">
        <v>137</v>
      </c>
      <c r="E43" t="s">
        <v>12</v>
      </c>
    </row>
    <row r="44" spans="1:5" x14ac:dyDescent="0.25">
      <c r="A44" t="s">
        <v>138</v>
      </c>
      <c r="B44" t="s">
        <v>13</v>
      </c>
      <c r="C44" t="s">
        <v>299</v>
      </c>
      <c r="D44" t="s">
        <v>72</v>
      </c>
      <c r="E44" t="s">
        <v>12</v>
      </c>
    </row>
    <row r="46" spans="1:5" ht="18" thickBot="1" x14ac:dyDescent="0.4">
      <c r="A46" s="89" t="s">
        <v>592</v>
      </c>
      <c r="B46" s="89"/>
      <c r="C46" s="89"/>
      <c r="D46" s="89"/>
      <c r="E46" s="89"/>
    </row>
    <row r="47" spans="1:5" ht="13.8" thickTop="1" x14ac:dyDescent="0.25">
      <c r="A47" t="s">
        <v>15</v>
      </c>
      <c r="B47" t="s">
        <v>13</v>
      </c>
      <c r="C47" t="s">
        <v>299</v>
      </c>
      <c r="D47" t="s">
        <v>316</v>
      </c>
      <c r="E47" t="s">
        <v>12</v>
      </c>
    </row>
    <row r="48" spans="1:5" x14ac:dyDescent="0.25">
      <c r="A48" t="s">
        <v>493</v>
      </c>
      <c r="B48" t="s">
        <v>13</v>
      </c>
      <c r="C48" t="s">
        <v>299</v>
      </c>
      <c r="D48" t="s">
        <v>465</v>
      </c>
      <c r="E48" t="s">
        <v>12</v>
      </c>
    </row>
    <row r="49" spans="1:5" x14ac:dyDescent="0.25">
      <c r="A49" t="s">
        <v>16</v>
      </c>
      <c r="B49" t="s">
        <v>13</v>
      </c>
      <c r="C49" t="s">
        <v>299</v>
      </c>
      <c r="D49" t="s">
        <v>317</v>
      </c>
      <c r="E49" t="s">
        <v>12</v>
      </c>
    </row>
    <row r="51" spans="1:5" ht="18" thickBot="1" x14ac:dyDescent="0.4">
      <c r="A51" s="89" t="s">
        <v>593</v>
      </c>
      <c r="B51" s="89"/>
      <c r="C51" s="89"/>
      <c r="D51" s="89"/>
      <c r="E51" s="89"/>
    </row>
    <row r="52" spans="1:5" ht="13.8" thickTop="1" x14ac:dyDescent="0.25">
      <c r="A52" t="s">
        <v>331</v>
      </c>
      <c r="B52" t="s">
        <v>13</v>
      </c>
      <c r="C52" t="s">
        <v>299</v>
      </c>
      <c r="D52" t="s">
        <v>178</v>
      </c>
      <c r="E52" t="s">
        <v>46</v>
      </c>
    </row>
    <row r="53" spans="1:5" x14ac:dyDescent="0.25">
      <c r="A53" t="s">
        <v>179</v>
      </c>
      <c r="B53" t="s">
        <v>13</v>
      </c>
      <c r="C53" t="s">
        <v>299</v>
      </c>
      <c r="D53" t="s">
        <v>182</v>
      </c>
      <c r="E53" t="s">
        <v>39</v>
      </c>
    </row>
    <row r="54" spans="1:5" x14ac:dyDescent="0.25">
      <c r="A54" t="s">
        <v>180</v>
      </c>
      <c r="B54" t="s">
        <v>13</v>
      </c>
      <c r="C54" t="s">
        <v>299</v>
      </c>
      <c r="D54" t="s">
        <v>183</v>
      </c>
      <c r="E54" t="s">
        <v>46</v>
      </c>
    </row>
    <row r="55" spans="1:5" x14ac:dyDescent="0.25">
      <c r="A55" t="s">
        <v>366</v>
      </c>
      <c r="B55" t="s">
        <v>13</v>
      </c>
      <c r="C55" t="s">
        <v>299</v>
      </c>
      <c r="D55" t="s">
        <v>367</v>
      </c>
      <c r="E55" t="s">
        <v>12</v>
      </c>
    </row>
    <row r="56" spans="1:5" x14ac:dyDescent="0.25">
      <c r="A56" t="s">
        <v>187</v>
      </c>
      <c r="B56" t="s">
        <v>13</v>
      </c>
      <c r="C56" t="s">
        <v>299</v>
      </c>
      <c r="D56" t="s">
        <v>184</v>
      </c>
      <c r="E56" t="s">
        <v>12</v>
      </c>
    </row>
    <row r="57" spans="1:5" x14ac:dyDescent="0.25">
      <c r="A57" t="s">
        <v>188</v>
      </c>
      <c r="B57" t="s">
        <v>13</v>
      </c>
      <c r="C57" t="s">
        <v>299</v>
      </c>
      <c r="D57" t="s">
        <v>185</v>
      </c>
      <c r="E57" t="s">
        <v>12</v>
      </c>
    </row>
    <row r="58" spans="1:5" x14ac:dyDescent="0.25">
      <c r="A58" t="s">
        <v>196</v>
      </c>
      <c r="B58" t="s">
        <v>13</v>
      </c>
      <c r="C58" t="s">
        <v>299</v>
      </c>
      <c r="D58" t="s">
        <v>197</v>
      </c>
      <c r="E58" t="s">
        <v>12</v>
      </c>
    </row>
    <row r="59" spans="1:5" x14ac:dyDescent="0.25">
      <c r="A59" t="s">
        <v>189</v>
      </c>
      <c r="B59" t="s">
        <v>13</v>
      </c>
      <c r="C59" t="s">
        <v>299</v>
      </c>
      <c r="D59" t="s">
        <v>186</v>
      </c>
      <c r="E59" t="s">
        <v>12</v>
      </c>
    </row>
    <row r="60" spans="1:5" x14ac:dyDescent="0.25">
      <c r="A60" t="s">
        <v>193</v>
      </c>
      <c r="B60" t="s">
        <v>13</v>
      </c>
      <c r="C60" t="s">
        <v>299</v>
      </c>
      <c r="D60" t="s">
        <v>192</v>
      </c>
      <c r="E60" t="s">
        <v>12</v>
      </c>
    </row>
    <row r="61" spans="1:5" x14ac:dyDescent="0.25">
      <c r="A61" t="s">
        <v>194</v>
      </c>
      <c r="B61" t="s">
        <v>13</v>
      </c>
      <c r="C61" t="s">
        <v>299</v>
      </c>
      <c r="D61" t="s">
        <v>195</v>
      </c>
      <c r="E61" t="s">
        <v>12</v>
      </c>
    </row>
    <row r="62" spans="1:5" x14ac:dyDescent="0.25">
      <c r="A62" t="s">
        <v>190</v>
      </c>
      <c r="B62" t="s">
        <v>13</v>
      </c>
      <c r="C62" t="s">
        <v>299</v>
      </c>
      <c r="D62" t="s">
        <v>191</v>
      </c>
      <c r="E62" t="s">
        <v>39</v>
      </c>
    </row>
    <row r="64" spans="1:5" ht="18" thickBot="1" x14ac:dyDescent="0.4">
      <c r="A64" s="89" t="s">
        <v>594</v>
      </c>
      <c r="B64" s="89"/>
      <c r="C64" s="89"/>
      <c r="D64" s="89"/>
      <c r="E64" s="89"/>
    </row>
    <row r="65" spans="1:5" ht="13.8" thickTop="1" x14ac:dyDescent="0.25">
      <c r="A65" t="s">
        <v>321</v>
      </c>
      <c r="B65" t="s">
        <v>13</v>
      </c>
      <c r="C65" t="s">
        <v>299</v>
      </c>
      <c r="D65" t="s">
        <v>322</v>
      </c>
      <c r="E65" t="s">
        <v>12</v>
      </c>
    </row>
    <row r="66" spans="1:5" x14ac:dyDescent="0.25">
      <c r="A66" t="s">
        <v>323</v>
      </c>
      <c r="B66" t="s">
        <v>13</v>
      </c>
      <c r="C66" t="s">
        <v>299</v>
      </c>
      <c r="D66" t="s">
        <v>324</v>
      </c>
      <c r="E66" t="s">
        <v>12</v>
      </c>
    </row>
    <row r="67" spans="1:5" x14ac:dyDescent="0.25">
      <c r="A67" t="s">
        <v>325</v>
      </c>
      <c r="B67" t="s">
        <v>13</v>
      </c>
      <c r="C67" t="s">
        <v>299</v>
      </c>
      <c r="D67" t="s">
        <v>326</v>
      </c>
      <c r="E67" t="s">
        <v>12</v>
      </c>
    </row>
    <row r="68" spans="1:5" x14ac:dyDescent="0.25">
      <c r="A68" t="s">
        <v>327</v>
      </c>
      <c r="B68" t="s">
        <v>13</v>
      </c>
      <c r="C68" t="s">
        <v>299</v>
      </c>
      <c r="D68" t="s">
        <v>328</v>
      </c>
      <c r="E68" t="s">
        <v>12</v>
      </c>
    </row>
    <row r="69" spans="1:5" x14ac:dyDescent="0.25">
      <c r="A69" t="s">
        <v>530</v>
      </c>
      <c r="B69" t="s">
        <v>13</v>
      </c>
      <c r="C69" t="s">
        <v>299</v>
      </c>
      <c r="D69" t="s">
        <v>329</v>
      </c>
      <c r="E69" t="s">
        <v>12</v>
      </c>
    </row>
    <row r="70" spans="1:5" x14ac:dyDescent="0.25">
      <c r="A70" t="s">
        <v>531</v>
      </c>
      <c r="B70" t="s">
        <v>13</v>
      </c>
      <c r="C70" t="s">
        <v>299</v>
      </c>
      <c r="D70" t="s">
        <v>330</v>
      </c>
      <c r="E70" t="s">
        <v>12</v>
      </c>
    </row>
    <row r="72" spans="1:5" ht="18" thickBot="1" x14ac:dyDescent="0.4">
      <c r="A72" s="89" t="s">
        <v>595</v>
      </c>
      <c r="B72" s="89"/>
      <c r="C72" s="89"/>
      <c r="D72" s="89"/>
      <c r="E72" s="89"/>
    </row>
    <row r="73" spans="1:5" ht="13.8" thickTop="1" x14ac:dyDescent="0.25">
      <c r="A73" t="s">
        <v>44</v>
      </c>
      <c r="B73" t="s">
        <v>511</v>
      </c>
      <c r="C73" t="s">
        <v>299</v>
      </c>
      <c r="D73" t="s">
        <v>45</v>
      </c>
      <c r="E73" t="s">
        <v>46</v>
      </c>
    </row>
    <row r="75" spans="1:5" ht="18" thickBot="1" x14ac:dyDescent="0.4">
      <c r="A75" s="89" t="s">
        <v>596</v>
      </c>
      <c r="B75" s="89"/>
      <c r="C75" s="89"/>
      <c r="D75" s="89"/>
      <c r="E75" s="89"/>
    </row>
    <row r="76" spans="1:5" ht="13.8" thickTop="1" x14ac:dyDescent="0.25">
      <c r="A76" t="s">
        <v>396</v>
      </c>
      <c r="B76" t="s">
        <v>511</v>
      </c>
      <c r="C76" t="s">
        <v>299</v>
      </c>
      <c r="D76" t="s">
        <v>397</v>
      </c>
      <c r="E76" t="s">
        <v>46</v>
      </c>
    </row>
    <row r="78" spans="1:5" ht="18" thickBot="1" x14ac:dyDescent="0.4">
      <c r="A78" s="89" t="s">
        <v>597</v>
      </c>
      <c r="B78" s="89"/>
      <c r="C78" s="89"/>
      <c r="D78" s="89"/>
      <c r="E78" s="89"/>
    </row>
    <row r="79" spans="1:5" ht="13.8" thickTop="1" x14ac:dyDescent="0.25">
      <c r="A79" t="s">
        <v>537</v>
      </c>
      <c r="B79" t="s">
        <v>516</v>
      </c>
      <c r="C79" t="s">
        <v>64</v>
      </c>
      <c r="D79" t="s">
        <v>216</v>
      </c>
      <c r="E79" t="s">
        <v>163</v>
      </c>
    </row>
    <row r="80" spans="1:5" x14ac:dyDescent="0.25">
      <c r="A80" t="s">
        <v>538</v>
      </c>
      <c r="B80" t="s">
        <v>516</v>
      </c>
      <c r="C80" t="s">
        <v>64</v>
      </c>
      <c r="D80" t="s">
        <v>279</v>
      </c>
      <c r="E80" t="s">
        <v>163</v>
      </c>
    </row>
    <row r="81" spans="1:5" x14ac:dyDescent="0.25">
      <c r="A81" t="s">
        <v>539</v>
      </c>
      <c r="B81" t="s">
        <v>516</v>
      </c>
      <c r="C81" t="s">
        <v>64</v>
      </c>
      <c r="D81" t="s">
        <v>280</v>
      </c>
      <c r="E81" t="s">
        <v>163</v>
      </c>
    </row>
    <row r="83" spans="1:5" ht="18" thickBot="1" x14ac:dyDescent="0.4">
      <c r="A83" s="89" t="s">
        <v>598</v>
      </c>
      <c r="B83" s="89"/>
      <c r="C83" s="89"/>
      <c r="D83" s="89"/>
      <c r="E83" s="89"/>
    </row>
    <row r="84" spans="1:5" ht="13.8" thickTop="1" x14ac:dyDescent="0.25">
      <c r="A84" t="s">
        <v>222</v>
      </c>
      <c r="B84" t="s">
        <v>516</v>
      </c>
      <c r="C84" t="s">
        <v>64</v>
      </c>
      <c r="D84" t="s">
        <v>221</v>
      </c>
      <c r="E84" t="s">
        <v>46</v>
      </c>
    </row>
    <row r="85" spans="1:5" x14ac:dyDescent="0.25">
      <c r="A85" t="s">
        <v>223</v>
      </c>
      <c r="B85" t="s">
        <v>516</v>
      </c>
      <c r="C85" t="s">
        <v>64</v>
      </c>
      <c r="D85" t="s">
        <v>232</v>
      </c>
      <c r="E85" t="s">
        <v>46</v>
      </c>
    </row>
    <row r="86" spans="1:5" x14ac:dyDescent="0.25">
      <c r="A86" t="s">
        <v>502</v>
      </c>
      <c r="B86" t="s">
        <v>516</v>
      </c>
      <c r="C86" t="s">
        <v>64</v>
      </c>
      <c r="D86" t="s">
        <v>449</v>
      </c>
      <c r="E86" t="s">
        <v>46</v>
      </c>
    </row>
    <row r="87" spans="1:5" x14ac:dyDescent="0.25">
      <c r="A87" t="s">
        <v>503</v>
      </c>
      <c r="B87" t="s">
        <v>516</v>
      </c>
      <c r="C87" t="s">
        <v>64</v>
      </c>
      <c r="D87" t="s">
        <v>450</v>
      </c>
      <c r="E87" t="s">
        <v>46</v>
      </c>
    </row>
    <row r="88" spans="1:5" x14ac:dyDescent="0.25">
      <c r="A88" t="s">
        <v>224</v>
      </c>
      <c r="B88" t="s">
        <v>516</v>
      </c>
      <c r="C88" t="s">
        <v>64</v>
      </c>
      <c r="D88" t="s">
        <v>233</v>
      </c>
      <c r="E88" t="s">
        <v>46</v>
      </c>
    </row>
    <row r="89" spans="1:5" x14ac:dyDescent="0.25">
      <c r="A89" t="s">
        <v>225</v>
      </c>
      <c r="B89" t="s">
        <v>516</v>
      </c>
      <c r="C89" t="s">
        <v>64</v>
      </c>
      <c r="D89" t="s">
        <v>234</v>
      </c>
      <c r="E89" t="s">
        <v>46</v>
      </c>
    </row>
    <row r="90" spans="1:5" x14ac:dyDescent="0.25">
      <c r="A90" t="s">
        <v>351</v>
      </c>
      <c r="B90" t="s">
        <v>516</v>
      </c>
      <c r="C90" t="s">
        <v>64</v>
      </c>
      <c r="D90" t="s">
        <v>352</v>
      </c>
      <c r="E90" t="s">
        <v>46</v>
      </c>
    </row>
    <row r="91" spans="1:5" x14ac:dyDescent="0.25">
      <c r="A91" t="s">
        <v>353</v>
      </c>
      <c r="B91" t="s">
        <v>516</v>
      </c>
      <c r="C91" t="s">
        <v>64</v>
      </c>
      <c r="D91" t="s">
        <v>354</v>
      </c>
      <c r="E91" t="s">
        <v>46</v>
      </c>
    </row>
    <row r="92" spans="1:5" x14ac:dyDescent="0.25">
      <c r="A92" t="s">
        <v>355</v>
      </c>
      <c r="B92" t="s">
        <v>516</v>
      </c>
      <c r="C92" t="s">
        <v>64</v>
      </c>
      <c r="D92" t="s">
        <v>356</v>
      </c>
      <c r="E92" t="s">
        <v>46</v>
      </c>
    </row>
    <row r="93" spans="1:5" x14ac:dyDescent="0.25">
      <c r="A93" t="s">
        <v>357</v>
      </c>
      <c r="B93" t="s">
        <v>516</v>
      </c>
      <c r="C93" t="s">
        <v>64</v>
      </c>
      <c r="D93" t="s">
        <v>358</v>
      </c>
      <c r="E93" t="s">
        <v>46</v>
      </c>
    </row>
    <row r="95" spans="1:5" ht="18" thickBot="1" x14ac:dyDescent="0.4">
      <c r="A95" s="89" t="s">
        <v>599</v>
      </c>
      <c r="B95" s="89"/>
      <c r="C95" s="89"/>
      <c r="D95" s="89"/>
      <c r="E95" s="89"/>
    </row>
    <row r="96" spans="1:5" ht="13.8" thickTop="1" x14ac:dyDescent="0.25">
      <c r="A96" t="s">
        <v>226</v>
      </c>
      <c r="B96" t="s">
        <v>516</v>
      </c>
      <c r="C96" t="s">
        <v>64</v>
      </c>
      <c r="D96" t="s">
        <v>235</v>
      </c>
      <c r="E96" t="s">
        <v>46</v>
      </c>
    </row>
    <row r="97" spans="1:5" x14ac:dyDescent="0.25">
      <c r="A97" t="s">
        <v>227</v>
      </c>
      <c r="B97" t="s">
        <v>516</v>
      </c>
      <c r="C97" t="s">
        <v>64</v>
      </c>
      <c r="D97" t="s">
        <v>236</v>
      </c>
      <c r="E97" t="s">
        <v>46</v>
      </c>
    </row>
    <row r="98" spans="1:5" x14ac:dyDescent="0.25">
      <c r="A98" t="s">
        <v>504</v>
      </c>
      <c r="B98" t="s">
        <v>516</v>
      </c>
      <c r="C98" t="s">
        <v>64</v>
      </c>
      <c r="D98" t="s">
        <v>418</v>
      </c>
      <c r="E98" t="s">
        <v>46</v>
      </c>
    </row>
    <row r="99" spans="1:5" x14ac:dyDescent="0.25">
      <c r="A99" t="s">
        <v>505</v>
      </c>
      <c r="B99" t="s">
        <v>516</v>
      </c>
      <c r="C99" t="s">
        <v>64</v>
      </c>
      <c r="D99" t="s">
        <v>419</v>
      </c>
      <c r="E99" t="s">
        <v>46</v>
      </c>
    </row>
    <row r="100" spans="1:5" x14ac:dyDescent="0.25">
      <c r="A100" t="s">
        <v>228</v>
      </c>
      <c r="B100" t="s">
        <v>516</v>
      </c>
      <c r="C100" t="s">
        <v>64</v>
      </c>
      <c r="D100" t="s">
        <v>237</v>
      </c>
      <c r="E100" t="s">
        <v>46</v>
      </c>
    </row>
    <row r="101" spans="1:5" x14ac:dyDescent="0.25">
      <c r="A101" t="s">
        <v>229</v>
      </c>
      <c r="B101" t="s">
        <v>516</v>
      </c>
      <c r="C101" t="s">
        <v>64</v>
      </c>
      <c r="D101" t="s">
        <v>238</v>
      </c>
      <c r="E101" t="s">
        <v>46</v>
      </c>
    </row>
    <row r="102" spans="1:5" x14ac:dyDescent="0.25">
      <c r="A102" t="s">
        <v>230</v>
      </c>
      <c r="B102" t="s">
        <v>516</v>
      </c>
      <c r="C102" t="s">
        <v>64</v>
      </c>
      <c r="D102" t="s">
        <v>239</v>
      </c>
      <c r="E102" t="s">
        <v>46</v>
      </c>
    </row>
    <row r="103" spans="1:5" x14ac:dyDescent="0.25">
      <c r="A103" t="s">
        <v>231</v>
      </c>
      <c r="B103" t="s">
        <v>516</v>
      </c>
      <c r="C103" t="s">
        <v>64</v>
      </c>
      <c r="D103" t="s">
        <v>240</v>
      </c>
      <c r="E103" t="s">
        <v>46</v>
      </c>
    </row>
    <row r="105" spans="1:5" ht="18" thickBot="1" x14ac:dyDescent="0.4">
      <c r="A105" s="89" t="s">
        <v>600</v>
      </c>
      <c r="B105" s="89"/>
      <c r="C105" s="89"/>
      <c r="D105" s="89"/>
      <c r="E105" s="89"/>
    </row>
    <row r="106" spans="1:5" ht="13.8" thickTop="1" x14ac:dyDescent="0.25">
      <c r="A106" t="s">
        <v>98</v>
      </c>
      <c r="B106" t="s">
        <v>516</v>
      </c>
      <c r="C106" t="s">
        <v>64</v>
      </c>
      <c r="D106" t="s">
        <v>398</v>
      </c>
      <c r="E106" t="s">
        <v>46</v>
      </c>
    </row>
    <row r="108" spans="1:5" ht="18" thickBot="1" x14ac:dyDescent="0.4">
      <c r="A108" s="89" t="s">
        <v>601</v>
      </c>
      <c r="B108" s="89"/>
      <c r="C108" s="89"/>
      <c r="D108" s="89"/>
      <c r="E108" s="89"/>
    </row>
    <row r="109" spans="1:5" ht="13.8" thickTop="1" x14ac:dyDescent="0.25">
      <c r="A109" t="s">
        <v>257</v>
      </c>
      <c r="B109" t="s">
        <v>516</v>
      </c>
      <c r="C109" t="s">
        <v>64</v>
      </c>
      <c r="D109" t="s">
        <v>258</v>
      </c>
      <c r="E109" t="s">
        <v>12</v>
      </c>
    </row>
    <row r="111" spans="1:5" ht="18" thickBot="1" x14ac:dyDescent="0.4">
      <c r="A111" s="89" t="s">
        <v>602</v>
      </c>
      <c r="B111" s="89"/>
      <c r="C111" s="89"/>
      <c r="D111" s="89"/>
      <c r="E111" s="89"/>
    </row>
    <row r="112" spans="1:5" ht="13.8" thickTop="1" x14ac:dyDescent="0.25">
      <c r="A112" t="s">
        <v>156</v>
      </c>
      <c r="B112" t="s">
        <v>13</v>
      </c>
      <c r="C112" t="s">
        <v>299</v>
      </c>
      <c r="D112" t="s">
        <v>159</v>
      </c>
      <c r="E112" t="s">
        <v>46</v>
      </c>
    </row>
    <row r="113" spans="1:5" x14ac:dyDescent="0.25">
      <c r="A113" t="s">
        <v>157</v>
      </c>
      <c r="B113" t="s">
        <v>13</v>
      </c>
      <c r="C113" t="s">
        <v>299</v>
      </c>
      <c r="D113" t="s">
        <v>160</v>
      </c>
      <c r="E113" t="s">
        <v>12</v>
      </c>
    </row>
    <row r="115" spans="1:5" ht="18" thickBot="1" x14ac:dyDescent="0.4">
      <c r="A115" s="89" t="s">
        <v>603</v>
      </c>
      <c r="B115" s="89"/>
      <c r="C115" s="89"/>
      <c r="D115" s="89"/>
      <c r="E115" s="89"/>
    </row>
    <row r="116" spans="1:5" ht="13.8" thickTop="1" x14ac:dyDescent="0.25">
      <c r="A116" t="s">
        <v>164</v>
      </c>
      <c r="B116" t="s">
        <v>13</v>
      </c>
      <c r="C116" t="s">
        <v>299</v>
      </c>
      <c r="D116" t="s">
        <v>165</v>
      </c>
      <c r="E116" t="s">
        <v>46</v>
      </c>
    </row>
    <row r="118" spans="1:5" ht="18" thickBot="1" x14ac:dyDescent="0.4">
      <c r="A118" s="89" t="s">
        <v>604</v>
      </c>
      <c r="B118" s="89"/>
      <c r="C118" s="89"/>
      <c r="D118" s="89"/>
      <c r="E118" s="89"/>
    </row>
    <row r="119" spans="1:5" ht="13.8" thickTop="1" x14ac:dyDescent="0.25">
      <c r="A119" t="s">
        <v>286</v>
      </c>
      <c r="B119" t="s">
        <v>511</v>
      </c>
      <c r="C119" t="s">
        <v>299</v>
      </c>
      <c r="D119" t="s">
        <v>266</v>
      </c>
      <c r="E119" t="s">
        <v>46</v>
      </c>
    </row>
    <row r="120" spans="1:5" x14ac:dyDescent="0.25">
      <c r="A120" t="s">
        <v>295</v>
      </c>
      <c r="B120" t="s">
        <v>516</v>
      </c>
      <c r="C120" t="s">
        <v>64</v>
      </c>
      <c r="D120" t="s">
        <v>267</v>
      </c>
      <c r="E120" t="s">
        <v>12</v>
      </c>
    </row>
    <row r="121" spans="1:5" x14ac:dyDescent="0.25">
      <c r="A121" t="s">
        <v>296</v>
      </c>
      <c r="B121" t="s">
        <v>516</v>
      </c>
      <c r="C121" t="s">
        <v>64</v>
      </c>
      <c r="D121" t="s">
        <v>268</v>
      </c>
      <c r="E121" t="s">
        <v>12</v>
      </c>
    </row>
    <row r="122" spans="1:5" x14ac:dyDescent="0.25">
      <c r="A122" t="s">
        <v>297</v>
      </c>
      <c r="B122" t="s">
        <v>516</v>
      </c>
      <c r="C122" t="s">
        <v>64</v>
      </c>
      <c r="D122" t="s">
        <v>269</v>
      </c>
      <c r="E122" t="s">
        <v>12</v>
      </c>
    </row>
    <row r="124" spans="1:5" ht="18" thickBot="1" x14ac:dyDescent="0.4">
      <c r="A124" s="89" t="s">
        <v>605</v>
      </c>
      <c r="B124" s="89"/>
      <c r="C124" s="89"/>
      <c r="D124" s="89"/>
      <c r="E124" s="89"/>
    </row>
    <row r="125" spans="1:5" ht="13.8" thickTop="1" x14ac:dyDescent="0.25">
      <c r="A125" t="s">
        <v>271</v>
      </c>
      <c r="B125" t="s">
        <v>13</v>
      </c>
      <c r="C125" t="s">
        <v>299</v>
      </c>
      <c r="D125" t="s">
        <v>272</v>
      </c>
      <c r="E125" t="s">
        <v>12</v>
      </c>
    </row>
  </sheetData>
  <mergeCells count="1">
    <mergeCell ref="A1:E3"/>
  </mergeCells>
  <phoneticPr fontId="0"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E70"/>
  <sheetViews>
    <sheetView workbookViewId="0">
      <selection activeCell="A4" sqref="A4:D4"/>
    </sheetView>
  </sheetViews>
  <sheetFormatPr baseColWidth="10" defaultColWidth="11.44140625" defaultRowHeight="13.2" x14ac:dyDescent="0.25"/>
  <cols>
    <col min="1" max="1" width="49.33203125" bestFit="1" customWidth="1"/>
    <col min="2" max="2" width="7.5546875" bestFit="1" customWidth="1"/>
    <col min="3" max="3" width="10.88671875" bestFit="1" customWidth="1"/>
    <col min="4" max="4" width="72.109375" bestFit="1" customWidth="1"/>
  </cols>
  <sheetData>
    <row r="1" spans="1:5" ht="19.5" customHeight="1" x14ac:dyDescent="0.25">
      <c r="A1" s="117" t="s">
        <v>560</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625</v>
      </c>
      <c r="B10" s="89"/>
      <c r="C10" s="89"/>
      <c r="D10" s="89"/>
      <c r="E10" s="89"/>
    </row>
    <row r="11" spans="1:5" ht="13.8" thickTop="1" x14ac:dyDescent="0.25">
      <c r="A11" t="s">
        <v>109</v>
      </c>
      <c r="B11" t="s">
        <v>13</v>
      </c>
      <c r="C11" t="s">
        <v>299</v>
      </c>
      <c r="D11" t="s">
        <v>110</v>
      </c>
      <c r="E11" t="s">
        <v>406</v>
      </c>
    </row>
    <row r="13" spans="1:5" ht="18" thickBot="1" x14ac:dyDescent="0.4">
      <c r="A13" s="89" t="s">
        <v>613</v>
      </c>
      <c r="B13" s="89"/>
      <c r="C13" s="89"/>
      <c r="D13" s="89"/>
      <c r="E13" s="89"/>
    </row>
    <row r="14" spans="1:5" ht="13.8" thickTop="1" x14ac:dyDescent="0.25">
      <c r="A14" t="s">
        <v>241</v>
      </c>
      <c r="B14" t="s">
        <v>511</v>
      </c>
      <c r="C14" t="s">
        <v>299</v>
      </c>
      <c r="D14" t="s">
        <v>243</v>
      </c>
      <c r="E14" t="s">
        <v>46</v>
      </c>
    </row>
    <row r="15" spans="1:5" x14ac:dyDescent="0.25">
      <c r="A15" t="s">
        <v>226</v>
      </c>
      <c r="B15" t="s">
        <v>516</v>
      </c>
      <c r="C15" t="s">
        <v>64</v>
      </c>
      <c r="D15" t="s">
        <v>235</v>
      </c>
      <c r="E15" t="s">
        <v>46</v>
      </c>
    </row>
    <row r="16" spans="1:5" x14ac:dyDescent="0.25">
      <c r="A16" t="s">
        <v>227</v>
      </c>
      <c r="B16" t="s">
        <v>516</v>
      </c>
      <c r="C16" t="s">
        <v>64</v>
      </c>
      <c r="D16" t="s">
        <v>236</v>
      </c>
      <c r="E16" t="s">
        <v>46</v>
      </c>
    </row>
    <row r="17" spans="1:5" x14ac:dyDescent="0.25">
      <c r="A17" t="s">
        <v>504</v>
      </c>
      <c r="B17" t="s">
        <v>516</v>
      </c>
      <c r="C17" t="s">
        <v>64</v>
      </c>
      <c r="D17" t="s">
        <v>418</v>
      </c>
      <c r="E17" t="s">
        <v>46</v>
      </c>
    </row>
    <row r="18" spans="1:5" x14ac:dyDescent="0.25">
      <c r="A18" t="s">
        <v>505</v>
      </c>
      <c r="B18" t="s">
        <v>516</v>
      </c>
      <c r="C18" t="s">
        <v>64</v>
      </c>
      <c r="D18" t="s">
        <v>419</v>
      </c>
      <c r="E18" t="s">
        <v>46</v>
      </c>
    </row>
    <row r="19" spans="1:5" x14ac:dyDescent="0.25">
      <c r="A19" t="s">
        <v>228</v>
      </c>
      <c r="B19" t="s">
        <v>516</v>
      </c>
      <c r="C19" t="s">
        <v>64</v>
      </c>
      <c r="D19" t="s">
        <v>237</v>
      </c>
      <c r="E19" t="s">
        <v>46</v>
      </c>
    </row>
    <row r="20" spans="1:5" x14ac:dyDescent="0.25">
      <c r="A20" t="s">
        <v>229</v>
      </c>
      <c r="B20" t="s">
        <v>516</v>
      </c>
      <c r="C20" t="s">
        <v>64</v>
      </c>
      <c r="D20" t="s">
        <v>238</v>
      </c>
      <c r="E20" t="s">
        <v>46</v>
      </c>
    </row>
    <row r="21" spans="1:5" x14ac:dyDescent="0.25">
      <c r="A21" t="s">
        <v>242</v>
      </c>
      <c r="B21" t="s">
        <v>511</v>
      </c>
      <c r="C21" t="s">
        <v>299</v>
      </c>
      <c r="D21" t="s">
        <v>244</v>
      </c>
      <c r="E21" t="s">
        <v>46</v>
      </c>
    </row>
    <row r="22" spans="1:5" x14ac:dyDescent="0.25">
      <c r="A22" t="s">
        <v>230</v>
      </c>
      <c r="B22" t="s">
        <v>516</v>
      </c>
      <c r="C22" t="s">
        <v>64</v>
      </c>
      <c r="D22" t="s">
        <v>239</v>
      </c>
      <c r="E22" t="s">
        <v>46</v>
      </c>
    </row>
    <row r="23" spans="1:5" x14ac:dyDescent="0.25">
      <c r="A23" t="s">
        <v>231</v>
      </c>
      <c r="B23" t="s">
        <v>516</v>
      </c>
      <c r="C23" t="s">
        <v>64</v>
      </c>
      <c r="D23" t="s">
        <v>240</v>
      </c>
      <c r="E23" t="s">
        <v>46</v>
      </c>
    </row>
    <row r="25" spans="1:5" ht="18" thickBot="1" x14ac:dyDescent="0.4">
      <c r="A25" s="89" t="s">
        <v>578</v>
      </c>
      <c r="B25" s="89"/>
      <c r="C25" s="89"/>
      <c r="D25" s="89"/>
      <c r="E25" s="89"/>
    </row>
    <row r="26" spans="1:5" ht="13.8" thickTop="1" x14ac:dyDescent="0.25">
      <c r="A26" t="s">
        <v>222</v>
      </c>
      <c r="B26" t="s">
        <v>516</v>
      </c>
      <c r="C26" t="s">
        <v>64</v>
      </c>
      <c r="D26" t="s">
        <v>221</v>
      </c>
      <c r="E26" t="s">
        <v>46</v>
      </c>
    </row>
    <row r="27" spans="1:5" x14ac:dyDescent="0.25">
      <c r="A27" t="s">
        <v>223</v>
      </c>
      <c r="B27" t="s">
        <v>516</v>
      </c>
      <c r="C27" t="s">
        <v>64</v>
      </c>
      <c r="D27" t="s">
        <v>232</v>
      </c>
      <c r="E27" t="s">
        <v>46</v>
      </c>
    </row>
    <row r="28" spans="1:5" x14ac:dyDescent="0.25">
      <c r="A28" t="s">
        <v>502</v>
      </c>
      <c r="B28" t="s">
        <v>516</v>
      </c>
      <c r="C28" t="s">
        <v>64</v>
      </c>
      <c r="D28" t="s">
        <v>449</v>
      </c>
      <c r="E28" t="s">
        <v>46</v>
      </c>
    </row>
    <row r="29" spans="1:5" x14ac:dyDescent="0.25">
      <c r="A29" t="s">
        <v>503</v>
      </c>
      <c r="B29" t="s">
        <v>516</v>
      </c>
      <c r="C29" t="s">
        <v>64</v>
      </c>
      <c r="D29" t="s">
        <v>450</v>
      </c>
      <c r="E29" t="s">
        <v>46</v>
      </c>
    </row>
    <row r="30" spans="1:5" x14ac:dyDescent="0.25">
      <c r="A30" t="s">
        <v>224</v>
      </c>
      <c r="B30" t="s">
        <v>516</v>
      </c>
      <c r="C30" t="s">
        <v>64</v>
      </c>
      <c r="D30" t="s">
        <v>233</v>
      </c>
      <c r="E30" t="s">
        <v>46</v>
      </c>
    </row>
    <row r="31" spans="1:5" x14ac:dyDescent="0.25">
      <c r="A31" t="s">
        <v>225</v>
      </c>
      <c r="B31" t="s">
        <v>516</v>
      </c>
      <c r="C31" t="s">
        <v>64</v>
      </c>
      <c r="D31" t="s">
        <v>234</v>
      </c>
      <c r="E31" t="s">
        <v>46</v>
      </c>
    </row>
    <row r="32" spans="1:5" x14ac:dyDescent="0.25">
      <c r="A32" t="s">
        <v>226</v>
      </c>
      <c r="B32" t="s">
        <v>516</v>
      </c>
      <c r="C32" t="s">
        <v>64</v>
      </c>
      <c r="D32" t="s">
        <v>235</v>
      </c>
      <c r="E32" t="s">
        <v>46</v>
      </c>
    </row>
    <row r="33" spans="1:5" x14ac:dyDescent="0.25">
      <c r="A33" t="s">
        <v>227</v>
      </c>
      <c r="B33" t="s">
        <v>516</v>
      </c>
      <c r="C33" t="s">
        <v>64</v>
      </c>
      <c r="D33" t="s">
        <v>236</v>
      </c>
      <c r="E33" t="s">
        <v>46</v>
      </c>
    </row>
    <row r="34" spans="1:5" x14ac:dyDescent="0.25">
      <c r="A34" t="s">
        <v>504</v>
      </c>
      <c r="B34" t="s">
        <v>516</v>
      </c>
      <c r="C34" t="s">
        <v>64</v>
      </c>
      <c r="D34" t="s">
        <v>418</v>
      </c>
      <c r="E34" t="s">
        <v>46</v>
      </c>
    </row>
    <row r="35" spans="1:5" x14ac:dyDescent="0.25">
      <c r="A35" t="s">
        <v>505</v>
      </c>
      <c r="B35" t="s">
        <v>516</v>
      </c>
      <c r="C35" t="s">
        <v>64</v>
      </c>
      <c r="D35" t="s">
        <v>419</v>
      </c>
      <c r="E35" t="s">
        <v>46</v>
      </c>
    </row>
    <row r="36" spans="1:5" x14ac:dyDescent="0.25">
      <c r="A36" t="s">
        <v>228</v>
      </c>
      <c r="B36" t="s">
        <v>516</v>
      </c>
      <c r="C36" t="s">
        <v>64</v>
      </c>
      <c r="D36" t="s">
        <v>237</v>
      </c>
      <c r="E36" t="s">
        <v>46</v>
      </c>
    </row>
    <row r="37" spans="1:5" x14ac:dyDescent="0.25">
      <c r="A37" t="s">
        <v>229</v>
      </c>
      <c r="B37" t="s">
        <v>516</v>
      </c>
      <c r="C37" t="s">
        <v>64</v>
      </c>
      <c r="D37" t="s">
        <v>238</v>
      </c>
      <c r="E37" t="s">
        <v>46</v>
      </c>
    </row>
    <row r="38" spans="1:5" x14ac:dyDescent="0.25">
      <c r="A38" t="s">
        <v>351</v>
      </c>
      <c r="B38" t="s">
        <v>516</v>
      </c>
      <c r="C38" t="s">
        <v>64</v>
      </c>
      <c r="D38" t="s">
        <v>352</v>
      </c>
      <c r="E38" t="s">
        <v>46</v>
      </c>
    </row>
    <row r="39" spans="1:5" x14ac:dyDescent="0.25">
      <c r="A39" t="s">
        <v>353</v>
      </c>
      <c r="B39" t="s">
        <v>516</v>
      </c>
      <c r="C39" t="s">
        <v>64</v>
      </c>
      <c r="D39" t="s">
        <v>354</v>
      </c>
      <c r="E39" t="s">
        <v>46</v>
      </c>
    </row>
    <row r="40" spans="1:5" x14ac:dyDescent="0.25">
      <c r="A40" t="s">
        <v>355</v>
      </c>
      <c r="B40" t="s">
        <v>516</v>
      </c>
      <c r="C40" t="s">
        <v>64</v>
      </c>
      <c r="D40" t="s">
        <v>356</v>
      </c>
      <c r="E40" t="s">
        <v>46</v>
      </c>
    </row>
    <row r="41" spans="1:5" x14ac:dyDescent="0.25">
      <c r="A41" t="s">
        <v>357</v>
      </c>
      <c r="B41" t="s">
        <v>516</v>
      </c>
      <c r="C41" t="s">
        <v>64</v>
      </c>
      <c r="D41" t="s">
        <v>358</v>
      </c>
      <c r="E41" t="s">
        <v>46</v>
      </c>
    </row>
    <row r="42" spans="1:5" x14ac:dyDescent="0.25">
      <c r="A42" t="s">
        <v>230</v>
      </c>
      <c r="B42" t="s">
        <v>516</v>
      </c>
      <c r="C42" t="s">
        <v>64</v>
      </c>
      <c r="D42" t="s">
        <v>239</v>
      </c>
      <c r="E42" t="s">
        <v>46</v>
      </c>
    </row>
    <row r="43" spans="1:5" x14ac:dyDescent="0.25">
      <c r="A43" t="s">
        <v>231</v>
      </c>
      <c r="B43" t="s">
        <v>516</v>
      </c>
      <c r="C43" t="s">
        <v>64</v>
      </c>
      <c r="D43" t="s">
        <v>240</v>
      </c>
      <c r="E43" t="s">
        <v>46</v>
      </c>
    </row>
    <row r="45" spans="1:5" ht="18" thickBot="1" x14ac:dyDescent="0.4">
      <c r="A45" s="89" t="s">
        <v>614</v>
      </c>
      <c r="B45" s="89"/>
      <c r="C45" s="89"/>
      <c r="D45" s="89"/>
      <c r="E45" s="89"/>
    </row>
    <row r="46" spans="1:5" ht="13.8" thickTop="1" x14ac:dyDescent="0.25">
      <c r="A46" t="s">
        <v>218</v>
      </c>
      <c r="B46" t="s">
        <v>13</v>
      </c>
      <c r="C46" t="s">
        <v>299</v>
      </c>
      <c r="D46" t="s">
        <v>139</v>
      </c>
      <c r="E46" t="s">
        <v>12</v>
      </c>
    </row>
    <row r="47" spans="1:5" x14ac:dyDescent="0.25">
      <c r="A47" t="s">
        <v>219</v>
      </c>
      <c r="B47" t="s">
        <v>13</v>
      </c>
      <c r="C47" t="s">
        <v>299</v>
      </c>
      <c r="D47" t="s">
        <v>70</v>
      </c>
      <c r="E47" t="s">
        <v>39</v>
      </c>
    </row>
    <row r="48" spans="1:5" x14ac:dyDescent="0.25">
      <c r="A48" t="s">
        <v>506</v>
      </c>
      <c r="B48" t="s">
        <v>13</v>
      </c>
      <c r="C48" t="s">
        <v>299</v>
      </c>
      <c r="D48" t="s">
        <v>473</v>
      </c>
      <c r="E48" t="s">
        <v>39</v>
      </c>
    </row>
    <row r="49" spans="1:5" x14ac:dyDescent="0.25">
      <c r="A49" t="s">
        <v>220</v>
      </c>
      <c r="B49" t="s">
        <v>13</v>
      </c>
      <c r="C49" t="s">
        <v>299</v>
      </c>
      <c r="D49" t="s">
        <v>71</v>
      </c>
      <c r="E49" t="s">
        <v>39</v>
      </c>
    </row>
    <row r="51" spans="1:5" ht="18" thickBot="1" x14ac:dyDescent="0.4">
      <c r="A51" s="89" t="s">
        <v>629</v>
      </c>
      <c r="B51" s="89"/>
      <c r="C51" s="89"/>
      <c r="D51" s="89"/>
      <c r="E51" s="89"/>
    </row>
    <row r="52" spans="1:5" ht="13.8" thickTop="1" x14ac:dyDescent="0.25">
      <c r="A52" t="s">
        <v>101</v>
      </c>
      <c r="B52" t="s">
        <v>516</v>
      </c>
      <c r="C52" t="s">
        <v>64</v>
      </c>
      <c r="D52" t="s">
        <v>451</v>
      </c>
      <c r="E52" t="s">
        <v>46</v>
      </c>
    </row>
    <row r="54" spans="1:5" ht="18" thickBot="1" x14ac:dyDescent="0.4">
      <c r="A54" s="89" t="s">
        <v>645</v>
      </c>
      <c r="B54" s="89"/>
      <c r="C54" s="89"/>
      <c r="D54" s="89"/>
      <c r="E54" s="89"/>
    </row>
    <row r="55" spans="1:5" ht="13.8" thickTop="1" x14ac:dyDescent="0.25">
      <c r="A55" t="s">
        <v>166</v>
      </c>
      <c r="B55" t="s">
        <v>516</v>
      </c>
      <c r="C55" t="s">
        <v>64</v>
      </c>
      <c r="D55" t="s">
        <v>167</v>
      </c>
      <c r="E55" t="s">
        <v>46</v>
      </c>
    </row>
    <row r="57" spans="1:5" ht="18" thickBot="1" x14ac:dyDescent="0.4">
      <c r="A57" s="89" t="s">
        <v>646</v>
      </c>
      <c r="B57" s="89"/>
      <c r="C57" s="89"/>
      <c r="D57" s="89"/>
      <c r="E57" s="89"/>
    </row>
    <row r="58" spans="1:5" ht="13.8" thickTop="1" x14ac:dyDescent="0.25">
      <c r="A58" t="s">
        <v>399</v>
      </c>
      <c r="B58" t="s">
        <v>516</v>
      </c>
      <c r="C58" t="s">
        <v>64</v>
      </c>
      <c r="D58" t="s">
        <v>400</v>
      </c>
      <c r="E58" t="s">
        <v>410</v>
      </c>
    </row>
    <row r="59" spans="1:5" x14ac:dyDescent="0.25">
      <c r="A59" t="s">
        <v>401</v>
      </c>
      <c r="B59" t="s">
        <v>13</v>
      </c>
      <c r="C59" t="s">
        <v>299</v>
      </c>
      <c r="D59" t="s">
        <v>402</v>
      </c>
      <c r="E59" t="s">
        <v>12</v>
      </c>
    </row>
    <row r="61" spans="1:5" ht="18" thickBot="1" x14ac:dyDescent="0.4">
      <c r="A61" s="89" t="s">
        <v>615</v>
      </c>
      <c r="B61" s="89"/>
      <c r="C61" s="89"/>
      <c r="D61" s="89"/>
      <c r="E61" s="89"/>
    </row>
    <row r="62" spans="1:5" ht="13.8" thickTop="1" x14ac:dyDescent="0.25">
      <c r="A62" t="s">
        <v>79</v>
      </c>
      <c r="B62" t="s">
        <v>516</v>
      </c>
      <c r="C62" t="s">
        <v>64</v>
      </c>
      <c r="D62" t="s">
        <v>171</v>
      </c>
      <c r="E62" t="s">
        <v>80</v>
      </c>
    </row>
    <row r="63" spans="1:5" x14ac:dyDescent="0.25">
      <c r="A63" t="s">
        <v>87</v>
      </c>
      <c r="B63" t="s">
        <v>516</v>
      </c>
      <c r="C63" t="s">
        <v>64</v>
      </c>
      <c r="D63" t="s">
        <v>305</v>
      </c>
      <c r="E63" t="s">
        <v>408</v>
      </c>
    </row>
    <row r="64" spans="1:5" x14ac:dyDescent="0.25">
      <c r="A64" t="s">
        <v>88</v>
      </c>
      <c r="B64" t="s">
        <v>516</v>
      </c>
      <c r="C64" t="s">
        <v>64</v>
      </c>
      <c r="D64" t="s">
        <v>92</v>
      </c>
      <c r="E64" t="s">
        <v>46</v>
      </c>
    </row>
    <row r="66" spans="1:5" ht="18" thickBot="1" x14ac:dyDescent="0.4">
      <c r="A66" s="89" t="s">
        <v>635</v>
      </c>
      <c r="B66" s="89"/>
      <c r="C66" s="89"/>
      <c r="D66" s="89"/>
      <c r="E66" s="89"/>
    </row>
    <row r="67" spans="1:5" ht="13.8" thickTop="1" x14ac:dyDescent="0.25">
      <c r="A67" t="s">
        <v>541</v>
      </c>
      <c r="B67" t="s">
        <v>516</v>
      </c>
      <c r="C67" t="s">
        <v>64</v>
      </c>
      <c r="D67" t="s">
        <v>211</v>
      </c>
      <c r="E67" t="s">
        <v>46</v>
      </c>
    </row>
    <row r="69" spans="1:5" ht="18" thickBot="1" x14ac:dyDescent="0.4">
      <c r="A69" s="89" t="s">
        <v>590</v>
      </c>
      <c r="B69" s="89"/>
      <c r="C69" s="89"/>
      <c r="D69" s="89"/>
      <c r="E69" s="89"/>
    </row>
    <row r="70" spans="1:5" ht="13.8" thickTop="1" x14ac:dyDescent="0.25">
      <c r="A70" t="s">
        <v>155</v>
      </c>
      <c r="B70" t="s">
        <v>13</v>
      </c>
      <c r="C70" t="s">
        <v>299</v>
      </c>
      <c r="D70" t="s">
        <v>158</v>
      </c>
      <c r="E70" t="s">
        <v>99</v>
      </c>
    </row>
  </sheetData>
  <mergeCells count="1">
    <mergeCell ref="A1:E3"/>
  </mergeCells>
  <phoneticPr fontId="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E148"/>
  <sheetViews>
    <sheetView workbookViewId="0">
      <selection activeCell="A4" sqref="A4:D4"/>
    </sheetView>
  </sheetViews>
  <sheetFormatPr baseColWidth="10" defaultColWidth="11.44140625" defaultRowHeight="13.2" x14ac:dyDescent="0.25"/>
  <cols>
    <col min="1" max="1" width="49.33203125" bestFit="1" customWidth="1"/>
    <col min="2" max="2" width="7.5546875" bestFit="1" customWidth="1"/>
    <col min="3" max="3" width="10.88671875" bestFit="1" customWidth="1"/>
    <col min="4" max="4" width="72.109375" bestFit="1" customWidth="1"/>
  </cols>
  <sheetData>
    <row r="1" spans="1:5" ht="19.5" customHeight="1" x14ac:dyDescent="0.25">
      <c r="A1" s="117" t="s">
        <v>555</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606</v>
      </c>
      <c r="B10" s="89"/>
      <c r="C10" s="89"/>
      <c r="D10" s="89"/>
      <c r="E10" s="89"/>
    </row>
    <row r="11" spans="1:5" ht="13.8" thickTop="1" x14ac:dyDescent="0.25">
      <c r="A11" t="s">
        <v>116</v>
      </c>
      <c r="B11" t="s">
        <v>13</v>
      </c>
      <c r="C11" t="s">
        <v>299</v>
      </c>
      <c r="D11" t="s">
        <v>117</v>
      </c>
      <c r="E11" t="s">
        <v>39</v>
      </c>
    </row>
    <row r="12" spans="1:5" x14ac:dyDescent="0.25">
      <c r="A12" t="s">
        <v>485</v>
      </c>
      <c r="B12" t="s">
        <v>13</v>
      </c>
      <c r="C12" t="s">
        <v>299</v>
      </c>
      <c r="D12" t="s">
        <v>457</v>
      </c>
      <c r="E12" t="s">
        <v>39</v>
      </c>
    </row>
    <row r="13" spans="1:5" x14ac:dyDescent="0.25">
      <c r="A13" t="s">
        <v>118</v>
      </c>
      <c r="B13" t="s">
        <v>13</v>
      </c>
      <c r="C13" t="s">
        <v>299</v>
      </c>
      <c r="D13" t="s">
        <v>119</v>
      </c>
      <c r="E13" t="s">
        <v>39</v>
      </c>
    </row>
    <row r="14" spans="1:5" x14ac:dyDescent="0.25">
      <c r="A14" t="s">
        <v>120</v>
      </c>
      <c r="B14" t="s">
        <v>13</v>
      </c>
      <c r="C14" t="s">
        <v>299</v>
      </c>
      <c r="D14" t="s">
        <v>121</v>
      </c>
      <c r="E14" t="s">
        <v>39</v>
      </c>
    </row>
    <row r="15" spans="1:5" x14ac:dyDescent="0.25">
      <c r="A15" t="s">
        <v>486</v>
      </c>
      <c r="B15" t="s">
        <v>13</v>
      </c>
      <c r="C15" t="s">
        <v>299</v>
      </c>
      <c r="D15" t="s">
        <v>458</v>
      </c>
      <c r="E15" t="s">
        <v>39</v>
      </c>
    </row>
    <row r="16" spans="1:5" x14ac:dyDescent="0.25">
      <c r="A16" t="s">
        <v>122</v>
      </c>
      <c r="B16" t="s">
        <v>13</v>
      </c>
      <c r="C16" t="s">
        <v>299</v>
      </c>
      <c r="D16" t="s">
        <v>68</v>
      </c>
      <c r="E16" t="s">
        <v>46</v>
      </c>
    </row>
    <row r="17" spans="1:5" x14ac:dyDescent="0.25">
      <c r="A17" t="s">
        <v>489</v>
      </c>
      <c r="B17" t="s">
        <v>13</v>
      </c>
      <c r="C17" t="s">
        <v>299</v>
      </c>
      <c r="D17" t="s">
        <v>461</v>
      </c>
      <c r="E17" t="s">
        <v>46</v>
      </c>
    </row>
    <row r="18" spans="1:5" x14ac:dyDescent="0.25">
      <c r="A18" t="s">
        <v>123</v>
      </c>
      <c r="B18" t="s">
        <v>13</v>
      </c>
      <c r="C18" t="s">
        <v>299</v>
      </c>
      <c r="D18" t="s">
        <v>69</v>
      </c>
      <c r="E18" t="s">
        <v>46</v>
      </c>
    </row>
    <row r="19" spans="1:5" x14ac:dyDescent="0.25">
      <c r="A19" t="s">
        <v>528</v>
      </c>
      <c r="B19" t="s">
        <v>13</v>
      </c>
      <c r="C19" t="s">
        <v>299</v>
      </c>
      <c r="D19" t="s">
        <v>306</v>
      </c>
      <c r="E19" t="s">
        <v>46</v>
      </c>
    </row>
    <row r="20" spans="1:5" x14ac:dyDescent="0.25">
      <c r="A20" t="s">
        <v>529</v>
      </c>
      <c r="B20" t="s">
        <v>13</v>
      </c>
      <c r="C20" t="s">
        <v>299</v>
      </c>
      <c r="D20" t="s">
        <v>307</v>
      </c>
      <c r="E20" t="s">
        <v>46</v>
      </c>
    </row>
    <row r="21" spans="1:5" x14ac:dyDescent="0.25">
      <c r="A21" t="s">
        <v>10</v>
      </c>
      <c r="B21" t="s">
        <v>13</v>
      </c>
      <c r="C21" t="s">
        <v>299</v>
      </c>
      <c r="D21" t="s">
        <v>318</v>
      </c>
      <c r="E21" t="s">
        <v>12</v>
      </c>
    </row>
    <row r="22" spans="1:5" x14ac:dyDescent="0.25">
      <c r="A22" t="s">
        <v>494</v>
      </c>
      <c r="B22" t="s">
        <v>13</v>
      </c>
      <c r="C22" t="s">
        <v>299</v>
      </c>
      <c r="D22" t="s">
        <v>466</v>
      </c>
      <c r="E22" t="s">
        <v>12</v>
      </c>
    </row>
    <row r="23" spans="1:5" x14ac:dyDescent="0.25">
      <c r="A23" t="s">
        <v>11</v>
      </c>
      <c r="B23" t="s">
        <v>13</v>
      </c>
      <c r="C23" t="s">
        <v>299</v>
      </c>
      <c r="D23" t="s">
        <v>359</v>
      </c>
      <c r="E23" t="s">
        <v>12</v>
      </c>
    </row>
    <row r="24" spans="1:5" x14ac:dyDescent="0.25">
      <c r="A24" t="s">
        <v>495</v>
      </c>
      <c r="B24" t="s">
        <v>13</v>
      </c>
      <c r="C24" t="s">
        <v>299</v>
      </c>
      <c r="D24" t="s">
        <v>472</v>
      </c>
      <c r="E24" t="s">
        <v>12</v>
      </c>
    </row>
    <row r="25" spans="1:5" x14ac:dyDescent="0.25">
      <c r="A25" t="s">
        <v>49</v>
      </c>
      <c r="B25" t="s">
        <v>13</v>
      </c>
      <c r="C25" t="s">
        <v>299</v>
      </c>
      <c r="D25" t="s">
        <v>360</v>
      </c>
      <c r="E25" t="s">
        <v>12</v>
      </c>
    </row>
    <row r="26" spans="1:5" x14ac:dyDescent="0.25">
      <c r="A26" t="s">
        <v>50</v>
      </c>
      <c r="B26" t="s">
        <v>13</v>
      </c>
      <c r="C26" t="s">
        <v>299</v>
      </c>
      <c r="D26" t="s">
        <v>361</v>
      </c>
      <c r="E26" t="s">
        <v>12</v>
      </c>
    </row>
    <row r="27" spans="1:5" x14ac:dyDescent="0.25">
      <c r="A27" t="s">
        <v>496</v>
      </c>
      <c r="B27" t="s">
        <v>13</v>
      </c>
      <c r="C27" t="s">
        <v>299</v>
      </c>
      <c r="D27" t="s">
        <v>467</v>
      </c>
      <c r="E27" t="s">
        <v>12</v>
      </c>
    </row>
    <row r="28" spans="1:5" x14ac:dyDescent="0.25">
      <c r="A28" t="s">
        <v>51</v>
      </c>
      <c r="B28" t="s">
        <v>13</v>
      </c>
      <c r="C28" t="s">
        <v>299</v>
      </c>
      <c r="D28" t="s">
        <v>474</v>
      </c>
      <c r="E28" t="s">
        <v>12</v>
      </c>
    </row>
    <row r="29" spans="1:5" x14ac:dyDescent="0.25">
      <c r="A29" t="s">
        <v>497</v>
      </c>
      <c r="B29" t="s">
        <v>13</v>
      </c>
      <c r="C29" t="s">
        <v>299</v>
      </c>
      <c r="D29" t="s">
        <v>468</v>
      </c>
      <c r="E29" t="s">
        <v>12</v>
      </c>
    </row>
    <row r="30" spans="1:5" x14ac:dyDescent="0.25">
      <c r="A30" t="s">
        <v>52</v>
      </c>
      <c r="B30" t="s">
        <v>13</v>
      </c>
      <c r="C30" t="s">
        <v>299</v>
      </c>
      <c r="D30" t="s">
        <v>65</v>
      </c>
      <c r="E30" t="s">
        <v>12</v>
      </c>
    </row>
    <row r="31" spans="1:5" x14ac:dyDescent="0.25">
      <c r="A31" t="s">
        <v>53</v>
      </c>
      <c r="B31" t="s">
        <v>13</v>
      </c>
      <c r="C31" t="s">
        <v>299</v>
      </c>
      <c r="D31" t="s">
        <v>66</v>
      </c>
      <c r="E31" t="s">
        <v>12</v>
      </c>
    </row>
    <row r="32" spans="1:5" x14ac:dyDescent="0.25">
      <c r="A32" t="s">
        <v>498</v>
      </c>
      <c r="B32" t="s">
        <v>13</v>
      </c>
      <c r="C32" t="s">
        <v>299</v>
      </c>
      <c r="D32" t="s">
        <v>469</v>
      </c>
      <c r="E32" t="s">
        <v>12</v>
      </c>
    </row>
    <row r="33" spans="1:5" x14ac:dyDescent="0.25">
      <c r="A33" t="s">
        <v>54</v>
      </c>
      <c r="B33" t="s">
        <v>13</v>
      </c>
      <c r="C33" t="s">
        <v>299</v>
      </c>
      <c r="D33" t="s">
        <v>67</v>
      </c>
      <c r="E33" t="s">
        <v>12</v>
      </c>
    </row>
    <row r="34" spans="1:5" x14ac:dyDescent="0.25">
      <c r="A34" t="s">
        <v>128</v>
      </c>
      <c r="B34" t="s">
        <v>13</v>
      </c>
      <c r="C34" t="s">
        <v>299</v>
      </c>
      <c r="D34" t="s">
        <v>129</v>
      </c>
      <c r="E34" t="s">
        <v>39</v>
      </c>
    </row>
    <row r="35" spans="1:5" x14ac:dyDescent="0.25">
      <c r="A35" t="s">
        <v>130</v>
      </c>
      <c r="B35" t="s">
        <v>13</v>
      </c>
      <c r="C35" t="s">
        <v>299</v>
      </c>
      <c r="D35" t="s">
        <v>131</v>
      </c>
      <c r="E35" t="s">
        <v>12</v>
      </c>
    </row>
    <row r="36" spans="1:5" x14ac:dyDescent="0.25">
      <c r="A36" t="s">
        <v>499</v>
      </c>
      <c r="B36" t="s">
        <v>13</v>
      </c>
      <c r="C36" t="s">
        <v>299</v>
      </c>
      <c r="D36" t="s">
        <v>470</v>
      </c>
      <c r="E36" t="s">
        <v>12</v>
      </c>
    </row>
    <row r="37" spans="1:5" x14ac:dyDescent="0.25">
      <c r="A37" t="s">
        <v>132</v>
      </c>
      <c r="B37" t="s">
        <v>13</v>
      </c>
      <c r="C37" t="s">
        <v>299</v>
      </c>
      <c r="D37" t="s">
        <v>133</v>
      </c>
      <c r="E37" t="s">
        <v>12</v>
      </c>
    </row>
    <row r="38" spans="1:5" x14ac:dyDescent="0.25">
      <c r="A38" t="s">
        <v>134</v>
      </c>
      <c r="B38" t="s">
        <v>13</v>
      </c>
      <c r="C38" t="s">
        <v>299</v>
      </c>
      <c r="D38" t="s">
        <v>135</v>
      </c>
      <c r="E38" t="s">
        <v>12</v>
      </c>
    </row>
    <row r="39" spans="1:5" x14ac:dyDescent="0.25">
      <c r="A39" t="s">
        <v>500</v>
      </c>
      <c r="B39" t="s">
        <v>13</v>
      </c>
      <c r="C39" t="s">
        <v>299</v>
      </c>
      <c r="D39" t="s">
        <v>471</v>
      </c>
      <c r="E39" t="s">
        <v>12</v>
      </c>
    </row>
    <row r="40" spans="1:5" x14ac:dyDescent="0.25">
      <c r="A40" t="s">
        <v>136</v>
      </c>
      <c r="B40" t="s">
        <v>13</v>
      </c>
      <c r="C40" t="s">
        <v>299</v>
      </c>
      <c r="D40" t="s">
        <v>137</v>
      </c>
      <c r="E40" t="s">
        <v>12</v>
      </c>
    </row>
    <row r="41" spans="1:5" x14ac:dyDescent="0.25">
      <c r="A41" t="s">
        <v>138</v>
      </c>
      <c r="B41" t="s">
        <v>13</v>
      </c>
      <c r="C41" t="s">
        <v>299</v>
      </c>
      <c r="D41" t="s">
        <v>72</v>
      </c>
      <c r="E41" t="s">
        <v>12</v>
      </c>
    </row>
    <row r="43" spans="1:5" ht="18" thickBot="1" x14ac:dyDescent="0.4">
      <c r="A43" s="89" t="s">
        <v>607</v>
      </c>
      <c r="B43" s="89"/>
      <c r="C43" s="89"/>
      <c r="D43" s="89"/>
      <c r="E43" s="89"/>
    </row>
    <row r="44" spans="1:5" ht="13.8" thickTop="1" x14ac:dyDescent="0.25">
      <c r="A44" t="s">
        <v>20</v>
      </c>
      <c r="B44" t="s">
        <v>13</v>
      </c>
      <c r="C44" t="s">
        <v>299</v>
      </c>
      <c r="D44" t="s">
        <v>21</v>
      </c>
      <c r="E44" t="s">
        <v>12</v>
      </c>
    </row>
    <row r="45" spans="1:5" x14ac:dyDescent="0.25">
      <c r="A45" t="s">
        <v>24</v>
      </c>
      <c r="B45" t="s">
        <v>13</v>
      </c>
      <c r="C45" t="s">
        <v>299</v>
      </c>
      <c r="D45" t="s">
        <v>26</v>
      </c>
      <c r="E45" t="s">
        <v>12</v>
      </c>
    </row>
    <row r="46" spans="1:5" x14ac:dyDescent="0.25">
      <c r="A46" t="s">
        <v>23</v>
      </c>
      <c r="B46" t="s">
        <v>13</v>
      </c>
      <c r="C46" t="s">
        <v>299</v>
      </c>
      <c r="D46" t="s">
        <v>25</v>
      </c>
      <c r="E46" t="s">
        <v>12</v>
      </c>
    </row>
    <row r="47" spans="1:5" x14ac:dyDescent="0.25">
      <c r="A47" t="s">
        <v>443</v>
      </c>
      <c r="B47" t="s">
        <v>13</v>
      </c>
      <c r="C47" t="s">
        <v>299</v>
      </c>
      <c r="D47" t="s">
        <v>444</v>
      </c>
      <c r="E47" t="s">
        <v>12</v>
      </c>
    </row>
    <row r="48" spans="1:5" x14ac:dyDescent="0.25">
      <c r="A48" t="s">
        <v>501</v>
      </c>
      <c r="B48" t="s">
        <v>13</v>
      </c>
      <c r="C48" t="s">
        <v>299</v>
      </c>
      <c r="D48" t="s">
        <v>425</v>
      </c>
      <c r="E48" t="s">
        <v>12</v>
      </c>
    </row>
    <row r="49" spans="1:5" x14ac:dyDescent="0.25">
      <c r="A49" t="s">
        <v>42</v>
      </c>
      <c r="B49" t="s">
        <v>13</v>
      </c>
      <c r="C49" t="s">
        <v>299</v>
      </c>
      <c r="D49" t="s">
        <v>43</v>
      </c>
      <c r="E49" t="s">
        <v>12</v>
      </c>
    </row>
    <row r="50" spans="1:5" x14ac:dyDescent="0.25">
      <c r="A50" t="s">
        <v>40</v>
      </c>
      <c r="B50" t="s">
        <v>13</v>
      </c>
      <c r="C50" t="s">
        <v>299</v>
      </c>
      <c r="D50" t="s">
        <v>41</v>
      </c>
      <c r="E50" t="s">
        <v>12</v>
      </c>
    </row>
    <row r="51" spans="1:5" x14ac:dyDescent="0.25">
      <c r="A51" t="s">
        <v>27</v>
      </c>
      <c r="B51" t="s">
        <v>13</v>
      </c>
      <c r="C51" t="s">
        <v>299</v>
      </c>
      <c r="D51" t="s">
        <v>28</v>
      </c>
      <c r="E51" t="s">
        <v>12</v>
      </c>
    </row>
    <row r="52" spans="1:5" x14ac:dyDescent="0.25">
      <c r="A52" t="s">
        <v>29</v>
      </c>
      <c r="B52" t="s">
        <v>13</v>
      </c>
      <c r="C52" t="s">
        <v>299</v>
      </c>
      <c r="D52" t="s">
        <v>36</v>
      </c>
      <c r="E52" t="s">
        <v>12</v>
      </c>
    </row>
    <row r="53" spans="1:5" x14ac:dyDescent="0.25">
      <c r="A53" t="s">
        <v>73</v>
      </c>
      <c r="B53" t="s">
        <v>13</v>
      </c>
      <c r="C53" t="s">
        <v>299</v>
      </c>
      <c r="D53" t="s">
        <v>22</v>
      </c>
      <c r="E53" t="s">
        <v>12</v>
      </c>
    </row>
    <row r="54" spans="1:5" x14ac:dyDescent="0.25">
      <c r="A54" t="s">
        <v>30</v>
      </c>
      <c r="B54" t="s">
        <v>13</v>
      </c>
      <c r="C54" t="s">
        <v>299</v>
      </c>
      <c r="D54" t="s">
        <v>31</v>
      </c>
      <c r="E54" t="s">
        <v>12</v>
      </c>
    </row>
    <row r="55" spans="1:5" x14ac:dyDescent="0.25">
      <c r="A55" t="s">
        <v>37</v>
      </c>
      <c r="B55" t="s">
        <v>13</v>
      </c>
      <c r="C55" t="s">
        <v>299</v>
      </c>
      <c r="D55" t="s">
        <v>38</v>
      </c>
      <c r="E55" t="s">
        <v>12</v>
      </c>
    </row>
    <row r="57" spans="1:5" ht="18" thickBot="1" x14ac:dyDescent="0.4">
      <c r="A57" s="89" t="s">
        <v>608</v>
      </c>
      <c r="B57" s="89"/>
      <c r="C57" s="89"/>
      <c r="D57" s="89"/>
      <c r="E57" s="89"/>
    </row>
    <row r="58" spans="1:5" ht="13.8" thickTop="1" x14ac:dyDescent="0.25">
      <c r="A58" t="s">
        <v>32</v>
      </c>
      <c r="B58" t="s">
        <v>13</v>
      </c>
      <c r="C58" t="s">
        <v>299</v>
      </c>
      <c r="D58" t="s">
        <v>33</v>
      </c>
      <c r="E58" t="s">
        <v>12</v>
      </c>
    </row>
    <row r="59" spans="1:5" x14ac:dyDescent="0.25">
      <c r="A59" t="s">
        <v>417</v>
      </c>
      <c r="B59" t="s">
        <v>13</v>
      </c>
      <c r="C59" t="s">
        <v>299</v>
      </c>
      <c r="D59" t="s">
        <v>442</v>
      </c>
      <c r="E59" t="s">
        <v>12</v>
      </c>
    </row>
    <row r="60" spans="1:5" x14ac:dyDescent="0.25">
      <c r="A60" t="s">
        <v>34</v>
      </c>
      <c r="B60" t="s">
        <v>13</v>
      </c>
      <c r="C60" t="s">
        <v>299</v>
      </c>
      <c r="D60" t="s">
        <v>35</v>
      </c>
      <c r="E60" t="s">
        <v>12</v>
      </c>
    </row>
    <row r="62" spans="1:5" ht="18" thickBot="1" x14ac:dyDescent="0.4">
      <c r="A62" s="89" t="s">
        <v>609</v>
      </c>
      <c r="B62" s="89"/>
      <c r="C62" s="89"/>
      <c r="D62" s="89"/>
      <c r="E62" s="89"/>
    </row>
    <row r="63" spans="1:5" ht="13.8" thickTop="1" x14ac:dyDescent="0.25">
      <c r="A63" t="s">
        <v>187</v>
      </c>
      <c r="B63" t="s">
        <v>13</v>
      </c>
      <c r="C63" t="s">
        <v>299</v>
      </c>
      <c r="D63" t="s">
        <v>184</v>
      </c>
      <c r="E63" t="s">
        <v>12</v>
      </c>
    </row>
    <row r="64" spans="1:5" x14ac:dyDescent="0.25">
      <c r="A64" t="s">
        <v>188</v>
      </c>
      <c r="B64" t="s">
        <v>13</v>
      </c>
      <c r="C64" t="s">
        <v>299</v>
      </c>
      <c r="D64" t="s">
        <v>185</v>
      </c>
      <c r="E64" t="s">
        <v>12</v>
      </c>
    </row>
    <row r="65" spans="1:5" x14ac:dyDescent="0.25">
      <c r="A65" t="s">
        <v>196</v>
      </c>
      <c r="B65" t="s">
        <v>13</v>
      </c>
      <c r="C65" t="s">
        <v>299</v>
      </c>
      <c r="D65" t="s">
        <v>197</v>
      </c>
      <c r="E65" t="s">
        <v>12</v>
      </c>
    </row>
    <row r="66" spans="1:5" x14ac:dyDescent="0.25">
      <c r="A66" t="s">
        <v>189</v>
      </c>
      <c r="B66" t="s">
        <v>13</v>
      </c>
      <c r="C66" t="s">
        <v>299</v>
      </c>
      <c r="D66" t="s">
        <v>186</v>
      </c>
      <c r="E66" t="s">
        <v>12</v>
      </c>
    </row>
    <row r="67" spans="1:5" x14ac:dyDescent="0.25">
      <c r="A67" t="s">
        <v>193</v>
      </c>
      <c r="B67" t="s">
        <v>13</v>
      </c>
      <c r="C67" t="s">
        <v>299</v>
      </c>
      <c r="D67" t="s">
        <v>192</v>
      </c>
      <c r="E67" t="s">
        <v>12</v>
      </c>
    </row>
    <row r="68" spans="1:5" x14ac:dyDescent="0.25">
      <c r="A68" t="s">
        <v>194</v>
      </c>
      <c r="B68" t="s">
        <v>13</v>
      </c>
      <c r="C68" t="s">
        <v>299</v>
      </c>
      <c r="D68" t="s">
        <v>195</v>
      </c>
      <c r="E68" t="s">
        <v>12</v>
      </c>
    </row>
    <row r="69" spans="1:5" x14ac:dyDescent="0.25">
      <c r="A69" t="s">
        <v>190</v>
      </c>
      <c r="B69" t="s">
        <v>13</v>
      </c>
      <c r="C69" t="s">
        <v>299</v>
      </c>
      <c r="D69" t="s">
        <v>191</v>
      </c>
      <c r="E69" t="s">
        <v>39</v>
      </c>
    </row>
    <row r="71" spans="1:5" ht="18" thickBot="1" x14ac:dyDescent="0.4">
      <c r="A71" s="89" t="s">
        <v>610</v>
      </c>
      <c r="B71" s="89"/>
      <c r="C71" s="89"/>
      <c r="D71" s="89"/>
      <c r="E71" s="89"/>
    </row>
    <row r="72" spans="1:5" ht="13.8" thickTop="1" x14ac:dyDescent="0.25">
      <c r="A72" t="s">
        <v>47</v>
      </c>
      <c r="B72" t="s">
        <v>13</v>
      </c>
      <c r="C72" t="s">
        <v>299</v>
      </c>
      <c r="D72" t="s">
        <v>319</v>
      </c>
      <c r="E72" t="s">
        <v>12</v>
      </c>
    </row>
    <row r="73" spans="1:5" x14ac:dyDescent="0.25">
      <c r="A73" t="s">
        <v>48</v>
      </c>
      <c r="B73" t="s">
        <v>13</v>
      </c>
      <c r="C73" t="s">
        <v>299</v>
      </c>
      <c r="D73" t="s">
        <v>320</v>
      </c>
      <c r="E73" t="s">
        <v>12</v>
      </c>
    </row>
    <row r="75" spans="1:5" ht="18" thickBot="1" x14ac:dyDescent="0.4">
      <c r="A75" s="89" t="s">
        <v>611</v>
      </c>
      <c r="B75" s="89"/>
      <c r="C75" s="89"/>
      <c r="D75" s="89"/>
      <c r="E75" s="89"/>
    </row>
    <row r="76" spans="1:5" ht="13.8" thickTop="1" x14ac:dyDescent="0.25">
      <c r="A76" t="s">
        <v>44</v>
      </c>
      <c r="B76" t="s">
        <v>511</v>
      </c>
      <c r="C76" t="s">
        <v>299</v>
      </c>
      <c r="D76" t="s">
        <v>45</v>
      </c>
      <c r="E76" t="s">
        <v>46</v>
      </c>
    </row>
    <row r="78" spans="1:5" ht="18" thickBot="1" x14ac:dyDescent="0.4">
      <c r="A78" s="89" t="s">
        <v>612</v>
      </c>
      <c r="B78" s="89"/>
      <c r="C78" s="89"/>
      <c r="D78" s="89"/>
      <c r="E78" s="89"/>
    </row>
    <row r="79" spans="1:5" ht="13.8" thickTop="1" x14ac:dyDescent="0.25">
      <c r="A79" t="s">
        <v>77</v>
      </c>
      <c r="B79" t="s">
        <v>13</v>
      </c>
      <c r="C79" t="s">
        <v>299</v>
      </c>
      <c r="D79" t="s">
        <v>78</v>
      </c>
      <c r="E79" t="s">
        <v>56</v>
      </c>
    </row>
    <row r="81" spans="1:5" ht="18" thickBot="1" x14ac:dyDescent="0.4">
      <c r="A81" s="89" t="s">
        <v>613</v>
      </c>
      <c r="B81" s="89"/>
      <c r="C81" s="89"/>
      <c r="D81" s="89"/>
      <c r="E81" s="89"/>
    </row>
    <row r="82" spans="1:5" ht="13.8" thickTop="1" x14ac:dyDescent="0.25">
      <c r="A82" t="s">
        <v>241</v>
      </c>
      <c r="B82" t="s">
        <v>511</v>
      </c>
      <c r="C82" t="s">
        <v>299</v>
      </c>
      <c r="D82" t="s">
        <v>243</v>
      </c>
      <c r="E82" t="s">
        <v>46</v>
      </c>
    </row>
    <row r="83" spans="1:5" x14ac:dyDescent="0.25">
      <c r="A83" t="s">
        <v>226</v>
      </c>
      <c r="B83" t="s">
        <v>516</v>
      </c>
      <c r="C83" t="s">
        <v>64</v>
      </c>
      <c r="D83" t="s">
        <v>235</v>
      </c>
      <c r="E83" t="s">
        <v>46</v>
      </c>
    </row>
    <row r="84" spans="1:5" x14ac:dyDescent="0.25">
      <c r="A84" t="s">
        <v>227</v>
      </c>
      <c r="B84" t="s">
        <v>516</v>
      </c>
      <c r="C84" t="s">
        <v>64</v>
      </c>
      <c r="D84" t="s">
        <v>236</v>
      </c>
      <c r="E84" t="s">
        <v>46</v>
      </c>
    </row>
    <row r="85" spans="1:5" x14ac:dyDescent="0.25">
      <c r="A85" t="s">
        <v>504</v>
      </c>
      <c r="B85" t="s">
        <v>516</v>
      </c>
      <c r="C85" t="s">
        <v>64</v>
      </c>
      <c r="D85" t="s">
        <v>418</v>
      </c>
      <c r="E85" t="s">
        <v>46</v>
      </c>
    </row>
    <row r="86" spans="1:5" x14ac:dyDescent="0.25">
      <c r="A86" t="s">
        <v>505</v>
      </c>
      <c r="B86" t="s">
        <v>516</v>
      </c>
      <c r="C86" t="s">
        <v>64</v>
      </c>
      <c r="D86" t="s">
        <v>419</v>
      </c>
      <c r="E86" t="s">
        <v>46</v>
      </c>
    </row>
    <row r="87" spans="1:5" x14ac:dyDescent="0.25">
      <c r="A87" t="s">
        <v>228</v>
      </c>
      <c r="B87" t="s">
        <v>516</v>
      </c>
      <c r="C87" t="s">
        <v>64</v>
      </c>
      <c r="D87" t="s">
        <v>237</v>
      </c>
      <c r="E87" t="s">
        <v>46</v>
      </c>
    </row>
    <row r="88" spans="1:5" x14ac:dyDescent="0.25">
      <c r="A88" t="s">
        <v>229</v>
      </c>
      <c r="B88" t="s">
        <v>516</v>
      </c>
      <c r="C88" t="s">
        <v>64</v>
      </c>
      <c r="D88" t="s">
        <v>238</v>
      </c>
      <c r="E88" t="s">
        <v>46</v>
      </c>
    </row>
    <row r="89" spans="1:5" x14ac:dyDescent="0.25">
      <c r="A89" t="s">
        <v>242</v>
      </c>
      <c r="B89" t="s">
        <v>511</v>
      </c>
      <c r="C89" t="s">
        <v>299</v>
      </c>
      <c r="D89" t="s">
        <v>244</v>
      </c>
      <c r="E89" t="s">
        <v>46</v>
      </c>
    </row>
    <row r="90" spans="1:5" x14ac:dyDescent="0.25">
      <c r="A90" t="s">
        <v>230</v>
      </c>
      <c r="B90" t="s">
        <v>516</v>
      </c>
      <c r="C90" t="s">
        <v>64</v>
      </c>
      <c r="D90" t="s">
        <v>239</v>
      </c>
      <c r="E90" t="s">
        <v>46</v>
      </c>
    </row>
    <row r="91" spans="1:5" x14ac:dyDescent="0.25">
      <c r="A91" t="s">
        <v>231</v>
      </c>
      <c r="B91" t="s">
        <v>516</v>
      </c>
      <c r="C91" t="s">
        <v>64</v>
      </c>
      <c r="D91" t="s">
        <v>240</v>
      </c>
      <c r="E91" t="s">
        <v>46</v>
      </c>
    </row>
    <row r="93" spans="1:5" ht="18" thickBot="1" x14ac:dyDescent="0.4">
      <c r="A93" s="89" t="s">
        <v>614</v>
      </c>
      <c r="B93" s="89"/>
      <c r="C93" s="89"/>
      <c r="D93" s="89"/>
      <c r="E93" s="89"/>
    </row>
    <row r="94" spans="1:5" ht="13.8" thickTop="1" x14ac:dyDescent="0.25">
      <c r="A94" t="s">
        <v>218</v>
      </c>
      <c r="B94" t="s">
        <v>13</v>
      </c>
      <c r="C94" t="s">
        <v>299</v>
      </c>
      <c r="D94" t="s">
        <v>139</v>
      </c>
      <c r="E94" t="s">
        <v>12</v>
      </c>
    </row>
    <row r="95" spans="1:5" x14ac:dyDescent="0.25">
      <c r="A95" t="s">
        <v>219</v>
      </c>
      <c r="B95" t="s">
        <v>13</v>
      </c>
      <c r="C95" t="s">
        <v>299</v>
      </c>
      <c r="D95" t="s">
        <v>70</v>
      </c>
      <c r="E95" t="s">
        <v>39</v>
      </c>
    </row>
    <row r="96" spans="1:5" x14ac:dyDescent="0.25">
      <c r="A96" t="s">
        <v>506</v>
      </c>
      <c r="B96" t="s">
        <v>13</v>
      </c>
      <c r="C96" t="s">
        <v>299</v>
      </c>
      <c r="D96" t="s">
        <v>473</v>
      </c>
      <c r="E96" t="s">
        <v>39</v>
      </c>
    </row>
    <row r="97" spans="1:5" x14ac:dyDescent="0.25">
      <c r="A97" t="s">
        <v>220</v>
      </c>
      <c r="B97" t="s">
        <v>13</v>
      </c>
      <c r="C97" t="s">
        <v>299</v>
      </c>
      <c r="D97" t="s">
        <v>71</v>
      </c>
      <c r="E97" t="s">
        <v>39</v>
      </c>
    </row>
    <row r="99" spans="1:5" ht="18" thickBot="1" x14ac:dyDescent="0.4">
      <c r="A99" s="89" t="s">
        <v>615</v>
      </c>
      <c r="B99" s="89"/>
      <c r="C99" s="89"/>
      <c r="D99" s="89"/>
      <c r="E99" s="89"/>
    </row>
    <row r="100" spans="1:5" ht="13.8" thickTop="1" x14ac:dyDescent="0.25">
      <c r="A100" t="s">
        <v>79</v>
      </c>
      <c r="B100" t="s">
        <v>516</v>
      </c>
      <c r="C100" t="s">
        <v>64</v>
      </c>
      <c r="D100" t="s">
        <v>171</v>
      </c>
      <c r="E100" t="s">
        <v>80</v>
      </c>
    </row>
    <row r="101" spans="1:5" x14ac:dyDescent="0.25">
      <c r="A101" t="s">
        <v>87</v>
      </c>
      <c r="B101" t="s">
        <v>516</v>
      </c>
      <c r="C101" t="s">
        <v>64</v>
      </c>
      <c r="D101" t="s">
        <v>305</v>
      </c>
      <c r="E101" t="s">
        <v>408</v>
      </c>
    </row>
    <row r="102" spans="1:5" x14ac:dyDescent="0.25">
      <c r="A102" t="s">
        <v>88</v>
      </c>
      <c r="B102" t="s">
        <v>516</v>
      </c>
      <c r="C102" t="s">
        <v>64</v>
      </c>
      <c r="D102" t="s">
        <v>92</v>
      </c>
      <c r="E102" t="s">
        <v>46</v>
      </c>
    </row>
    <row r="104" spans="1:5" ht="18" thickBot="1" x14ac:dyDescent="0.4">
      <c r="A104" s="89" t="s">
        <v>616</v>
      </c>
      <c r="B104" s="89"/>
      <c r="C104" s="89"/>
      <c r="D104" s="89"/>
      <c r="E104" s="89"/>
    </row>
    <row r="105" spans="1:5" ht="13.8" thickTop="1" x14ac:dyDescent="0.25">
      <c r="A105" t="s">
        <v>89</v>
      </c>
      <c r="B105" t="s">
        <v>13</v>
      </c>
      <c r="C105" t="s">
        <v>299</v>
      </c>
      <c r="D105" t="s">
        <v>90</v>
      </c>
      <c r="E105" t="s">
        <v>56</v>
      </c>
    </row>
    <row r="106" spans="1:5" x14ac:dyDescent="0.25">
      <c r="A106" t="s">
        <v>204</v>
      </c>
      <c r="B106" t="s">
        <v>13</v>
      </c>
      <c r="C106" t="s">
        <v>299</v>
      </c>
      <c r="D106" t="s">
        <v>205</v>
      </c>
      <c r="E106" t="s">
        <v>56</v>
      </c>
    </row>
    <row r="107" spans="1:5" x14ac:dyDescent="0.25">
      <c r="A107" t="s">
        <v>206</v>
      </c>
      <c r="B107" t="s">
        <v>13</v>
      </c>
      <c r="C107" t="s">
        <v>299</v>
      </c>
      <c r="D107" t="s">
        <v>207</v>
      </c>
      <c r="E107" t="s">
        <v>56</v>
      </c>
    </row>
    <row r="109" spans="1:5" ht="18" thickBot="1" x14ac:dyDescent="0.4">
      <c r="A109" s="89" t="s">
        <v>617</v>
      </c>
      <c r="B109" s="89"/>
      <c r="C109" s="89"/>
      <c r="D109" s="89"/>
      <c r="E109" s="89"/>
    </row>
    <row r="110" spans="1:5" ht="13.8" thickTop="1" x14ac:dyDescent="0.25">
      <c r="A110" t="s">
        <v>507</v>
      </c>
      <c r="B110" t="s">
        <v>516</v>
      </c>
      <c r="C110" t="s">
        <v>64</v>
      </c>
      <c r="D110" t="s">
        <v>253</v>
      </c>
      <c r="E110" t="s">
        <v>12</v>
      </c>
    </row>
    <row r="111" spans="1:5" x14ac:dyDescent="0.25">
      <c r="A111" t="s">
        <v>252</v>
      </c>
      <c r="B111" t="s">
        <v>516</v>
      </c>
      <c r="C111" t="s">
        <v>64</v>
      </c>
      <c r="D111" t="s">
        <v>254</v>
      </c>
      <c r="E111" t="s">
        <v>12</v>
      </c>
    </row>
    <row r="112" spans="1:5" x14ac:dyDescent="0.25">
      <c r="A112" t="s">
        <v>293</v>
      </c>
      <c r="B112" t="s">
        <v>516</v>
      </c>
      <c r="C112" t="s">
        <v>64</v>
      </c>
      <c r="D112" t="s">
        <v>255</v>
      </c>
      <c r="E112" t="s">
        <v>12</v>
      </c>
    </row>
    <row r="113" spans="1:5" x14ac:dyDescent="0.25">
      <c r="A113" t="s">
        <v>294</v>
      </c>
      <c r="B113" t="s">
        <v>516</v>
      </c>
      <c r="C113" t="s">
        <v>64</v>
      </c>
      <c r="D113" t="s">
        <v>256</v>
      </c>
      <c r="E113" t="s">
        <v>12</v>
      </c>
    </row>
    <row r="115" spans="1:5" ht="18" thickBot="1" x14ac:dyDescent="0.4">
      <c r="A115" s="89" t="s">
        <v>618</v>
      </c>
      <c r="B115" s="89"/>
      <c r="C115" s="89"/>
      <c r="D115" s="89"/>
      <c r="E115" s="89"/>
    </row>
    <row r="116" spans="1:5" ht="13.8" thickTop="1" x14ac:dyDescent="0.25">
      <c r="A116" t="s">
        <v>362</v>
      </c>
      <c r="B116" t="s">
        <v>516</v>
      </c>
      <c r="C116" t="s">
        <v>64</v>
      </c>
      <c r="D116" t="s">
        <v>363</v>
      </c>
      <c r="E116" t="s">
        <v>12</v>
      </c>
    </row>
    <row r="117" spans="1:5" x14ac:dyDescent="0.25">
      <c r="A117" t="s">
        <v>364</v>
      </c>
      <c r="B117" t="s">
        <v>516</v>
      </c>
      <c r="C117" t="s">
        <v>64</v>
      </c>
      <c r="D117" t="s">
        <v>365</v>
      </c>
      <c r="E117" t="s">
        <v>12</v>
      </c>
    </row>
    <row r="119" spans="1:5" ht="18" thickBot="1" x14ac:dyDescent="0.4">
      <c r="A119" s="89" t="s">
        <v>619</v>
      </c>
      <c r="B119" s="89"/>
      <c r="C119" s="89"/>
      <c r="D119" s="89"/>
      <c r="E119" s="89"/>
    </row>
    <row r="120" spans="1:5" ht="13.8" thickTop="1" x14ac:dyDescent="0.25">
      <c r="A120" t="s">
        <v>257</v>
      </c>
      <c r="B120" t="s">
        <v>516</v>
      </c>
      <c r="C120" t="s">
        <v>64</v>
      </c>
      <c r="D120" t="s">
        <v>258</v>
      </c>
      <c r="E120" t="s">
        <v>12</v>
      </c>
    </row>
    <row r="122" spans="1:5" ht="18" thickBot="1" x14ac:dyDescent="0.4">
      <c r="A122" s="89" t="s">
        <v>620</v>
      </c>
      <c r="B122" s="89"/>
      <c r="C122" s="89"/>
      <c r="D122" s="89"/>
      <c r="E122" s="89"/>
    </row>
    <row r="123" spans="1:5" ht="13.8" thickTop="1" x14ac:dyDescent="0.25">
      <c r="A123" t="s">
        <v>245</v>
      </c>
      <c r="B123" t="s">
        <v>511</v>
      </c>
      <c r="C123" t="s">
        <v>299</v>
      </c>
      <c r="D123" t="s">
        <v>291</v>
      </c>
      <c r="E123" t="s">
        <v>46</v>
      </c>
    </row>
    <row r="124" spans="1:5" x14ac:dyDescent="0.25">
      <c r="A124" t="s">
        <v>246</v>
      </c>
      <c r="B124" t="s">
        <v>511</v>
      </c>
      <c r="C124" t="s">
        <v>299</v>
      </c>
      <c r="D124" t="s">
        <v>292</v>
      </c>
      <c r="E124" t="s">
        <v>46</v>
      </c>
    </row>
    <row r="125" spans="1:5" x14ac:dyDescent="0.25">
      <c r="A125" t="s">
        <v>282</v>
      </c>
      <c r="B125" t="s">
        <v>511</v>
      </c>
      <c r="C125" t="s">
        <v>299</v>
      </c>
      <c r="D125" t="s">
        <v>148</v>
      </c>
      <c r="E125" t="s">
        <v>46</v>
      </c>
    </row>
    <row r="126" spans="1:5" x14ac:dyDescent="0.25">
      <c r="A126" t="s">
        <v>145</v>
      </c>
      <c r="B126" t="s">
        <v>511</v>
      </c>
      <c r="C126" t="s">
        <v>299</v>
      </c>
      <c r="D126" t="s">
        <v>150</v>
      </c>
      <c r="E126" t="s">
        <v>46</v>
      </c>
    </row>
    <row r="127" spans="1:5" x14ac:dyDescent="0.25">
      <c r="A127" t="s">
        <v>283</v>
      </c>
      <c r="B127" t="s">
        <v>511</v>
      </c>
      <c r="C127" t="s">
        <v>299</v>
      </c>
      <c r="D127" t="s">
        <v>151</v>
      </c>
      <c r="E127" t="s">
        <v>46</v>
      </c>
    </row>
    <row r="128" spans="1:5" x14ac:dyDescent="0.25">
      <c r="A128" t="s">
        <v>542</v>
      </c>
      <c r="B128" t="s">
        <v>511</v>
      </c>
      <c r="C128" t="s">
        <v>299</v>
      </c>
      <c r="D128" t="s">
        <v>248</v>
      </c>
      <c r="E128" t="s">
        <v>46</v>
      </c>
    </row>
    <row r="129" spans="1:5" x14ac:dyDescent="0.25">
      <c r="A129" t="s">
        <v>247</v>
      </c>
      <c r="B129" t="s">
        <v>511</v>
      </c>
      <c r="C129" t="s">
        <v>299</v>
      </c>
      <c r="D129" t="s">
        <v>249</v>
      </c>
      <c r="E129" t="s">
        <v>46</v>
      </c>
    </row>
    <row r="130" spans="1:5" x14ac:dyDescent="0.25">
      <c r="A130" t="s">
        <v>284</v>
      </c>
      <c r="B130" t="s">
        <v>511</v>
      </c>
      <c r="C130" t="s">
        <v>299</v>
      </c>
      <c r="D130" t="s">
        <v>250</v>
      </c>
      <c r="E130" t="s">
        <v>46</v>
      </c>
    </row>
    <row r="131" spans="1:5" x14ac:dyDescent="0.25">
      <c r="A131" t="s">
        <v>285</v>
      </c>
      <c r="B131" t="s">
        <v>511</v>
      </c>
      <c r="C131" t="s">
        <v>299</v>
      </c>
      <c r="D131" t="s">
        <v>251</v>
      </c>
      <c r="E131" t="s">
        <v>46</v>
      </c>
    </row>
    <row r="133" spans="1:5" ht="18" thickBot="1" x14ac:dyDescent="0.4">
      <c r="A133" s="89" t="s">
        <v>621</v>
      </c>
      <c r="B133" s="89"/>
      <c r="C133" s="89"/>
      <c r="D133" s="89"/>
      <c r="E133" s="89"/>
    </row>
    <row r="134" spans="1:5" ht="13.8" thickTop="1" x14ac:dyDescent="0.25">
      <c r="A134" t="s">
        <v>403</v>
      </c>
      <c r="B134" t="s">
        <v>13</v>
      </c>
      <c r="C134" t="s">
        <v>299</v>
      </c>
      <c r="D134" t="s">
        <v>81</v>
      </c>
      <c r="E134" t="s">
        <v>12</v>
      </c>
    </row>
    <row r="136" spans="1:5" ht="18" thickBot="1" x14ac:dyDescent="0.4">
      <c r="A136" s="89" t="s">
        <v>622</v>
      </c>
      <c r="B136" s="89"/>
      <c r="C136" s="89"/>
      <c r="D136" s="89"/>
      <c r="E136" s="89"/>
    </row>
    <row r="137" spans="1:5" ht="13.8" thickTop="1" x14ac:dyDescent="0.25">
      <c r="A137" t="s">
        <v>404</v>
      </c>
      <c r="B137" t="s">
        <v>13</v>
      </c>
      <c r="C137" t="s">
        <v>299</v>
      </c>
      <c r="D137" t="s">
        <v>405</v>
      </c>
      <c r="E137" t="s">
        <v>46</v>
      </c>
    </row>
    <row r="138" spans="1:5" x14ac:dyDescent="0.25">
      <c r="A138" t="s">
        <v>83</v>
      </c>
      <c r="B138" t="s">
        <v>13</v>
      </c>
      <c r="C138" t="s">
        <v>299</v>
      </c>
      <c r="D138" t="s">
        <v>85</v>
      </c>
      <c r="E138" t="s">
        <v>12</v>
      </c>
    </row>
    <row r="139" spans="1:5" x14ac:dyDescent="0.25">
      <c r="A139" t="s">
        <v>84</v>
      </c>
      <c r="B139" t="s">
        <v>13</v>
      </c>
      <c r="C139" t="s">
        <v>299</v>
      </c>
      <c r="D139" t="s">
        <v>86</v>
      </c>
      <c r="E139" t="s">
        <v>12</v>
      </c>
    </row>
    <row r="141" spans="1:5" ht="18" thickBot="1" x14ac:dyDescent="0.4">
      <c r="A141" s="89" t="s">
        <v>623</v>
      </c>
      <c r="B141" s="89"/>
      <c r="C141" s="89"/>
      <c r="D141" s="89"/>
      <c r="E141" s="89"/>
    </row>
    <row r="142" spans="1:5" ht="13.8" thickTop="1" x14ac:dyDescent="0.25">
      <c r="A142" t="s">
        <v>286</v>
      </c>
      <c r="B142" t="s">
        <v>511</v>
      </c>
      <c r="C142" t="s">
        <v>299</v>
      </c>
      <c r="D142" t="s">
        <v>266</v>
      </c>
      <c r="E142" t="s">
        <v>46</v>
      </c>
    </row>
    <row r="143" spans="1:5" x14ac:dyDescent="0.25">
      <c r="A143" t="s">
        <v>295</v>
      </c>
      <c r="B143" t="s">
        <v>516</v>
      </c>
      <c r="C143" t="s">
        <v>64</v>
      </c>
      <c r="D143" t="s">
        <v>267</v>
      </c>
      <c r="E143" t="s">
        <v>12</v>
      </c>
    </row>
    <row r="144" spans="1:5" x14ac:dyDescent="0.25">
      <c r="A144" t="s">
        <v>296</v>
      </c>
      <c r="B144" t="s">
        <v>516</v>
      </c>
      <c r="C144" t="s">
        <v>64</v>
      </c>
      <c r="D144" t="s">
        <v>268</v>
      </c>
      <c r="E144" t="s">
        <v>12</v>
      </c>
    </row>
    <row r="145" spans="1:5" x14ac:dyDescent="0.25">
      <c r="A145" t="s">
        <v>297</v>
      </c>
      <c r="B145" t="s">
        <v>516</v>
      </c>
      <c r="C145" t="s">
        <v>64</v>
      </c>
      <c r="D145" t="s">
        <v>269</v>
      </c>
      <c r="E145" t="s">
        <v>12</v>
      </c>
    </row>
    <row r="147" spans="1:5" ht="18" thickBot="1" x14ac:dyDescent="0.4">
      <c r="A147" s="89" t="s">
        <v>624</v>
      </c>
      <c r="B147" s="89"/>
      <c r="C147" s="89"/>
      <c r="D147" s="89"/>
      <c r="E147" s="89"/>
    </row>
    <row r="148" spans="1:5" ht="13.8" thickTop="1" x14ac:dyDescent="0.25">
      <c r="A148" t="s">
        <v>271</v>
      </c>
      <c r="B148" t="s">
        <v>13</v>
      </c>
      <c r="C148" t="s">
        <v>299</v>
      </c>
      <c r="D148" t="s">
        <v>272</v>
      </c>
      <c r="E148" t="s">
        <v>12</v>
      </c>
    </row>
  </sheetData>
  <mergeCells count="1">
    <mergeCell ref="A1:E3"/>
  </mergeCells>
  <phoneticPr fontId="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E96"/>
  <sheetViews>
    <sheetView workbookViewId="0">
      <selection activeCell="A4" sqref="A4:D4"/>
    </sheetView>
  </sheetViews>
  <sheetFormatPr baseColWidth="10" defaultColWidth="11.44140625" defaultRowHeight="13.2" x14ac:dyDescent="0.25"/>
  <cols>
    <col min="1" max="1" width="36.33203125" bestFit="1" customWidth="1"/>
    <col min="2" max="2" width="7.5546875" bestFit="1" customWidth="1"/>
    <col min="3" max="3" width="10.88671875" bestFit="1" customWidth="1"/>
    <col min="4" max="4" width="76.109375" bestFit="1" customWidth="1"/>
  </cols>
  <sheetData>
    <row r="1" spans="1:5" ht="19.5" customHeight="1" x14ac:dyDescent="0.25">
      <c r="A1" s="117" t="s">
        <v>561</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570</v>
      </c>
      <c r="B10" s="89"/>
      <c r="C10" s="89"/>
      <c r="D10" s="89"/>
      <c r="E10" s="89"/>
    </row>
    <row r="11" spans="1:5" ht="13.8" thickTop="1" x14ac:dyDescent="0.25">
      <c r="A11" t="s">
        <v>308</v>
      </c>
      <c r="B11" t="s">
        <v>13</v>
      </c>
      <c r="C11" t="s">
        <v>299</v>
      </c>
      <c r="D11" t="s">
        <v>309</v>
      </c>
      <c r="E11" t="s">
        <v>12</v>
      </c>
    </row>
    <row r="12" spans="1:5" x14ac:dyDescent="0.25">
      <c r="A12" t="s">
        <v>310</v>
      </c>
      <c r="B12" t="s">
        <v>13</v>
      </c>
      <c r="C12" t="s">
        <v>299</v>
      </c>
      <c r="D12" t="s">
        <v>311</v>
      </c>
      <c r="E12" t="s">
        <v>12</v>
      </c>
    </row>
    <row r="13" spans="1:5" x14ac:dyDescent="0.25">
      <c r="A13" t="s">
        <v>491</v>
      </c>
      <c r="B13" t="s">
        <v>13</v>
      </c>
      <c r="C13" t="s">
        <v>299</v>
      </c>
      <c r="D13" t="s">
        <v>463</v>
      </c>
      <c r="E13" t="s">
        <v>12</v>
      </c>
    </row>
    <row r="14" spans="1:5" x14ac:dyDescent="0.25">
      <c r="A14" t="s">
        <v>492</v>
      </c>
      <c r="B14" t="s">
        <v>13</v>
      </c>
      <c r="C14" t="s">
        <v>299</v>
      </c>
      <c r="D14" t="s">
        <v>464</v>
      </c>
      <c r="E14" t="s">
        <v>12</v>
      </c>
    </row>
    <row r="15" spans="1:5" x14ac:dyDescent="0.25">
      <c r="A15" t="s">
        <v>312</v>
      </c>
      <c r="B15" t="s">
        <v>13</v>
      </c>
      <c r="C15" t="s">
        <v>299</v>
      </c>
      <c r="D15" t="s">
        <v>313</v>
      </c>
      <c r="E15" t="s">
        <v>12</v>
      </c>
    </row>
    <row r="16" spans="1:5" x14ac:dyDescent="0.25">
      <c r="A16" t="s">
        <v>314</v>
      </c>
      <c r="B16" t="s">
        <v>13</v>
      </c>
      <c r="C16" t="s">
        <v>299</v>
      </c>
      <c r="D16" t="s">
        <v>315</v>
      </c>
      <c r="E16" t="s">
        <v>12</v>
      </c>
    </row>
    <row r="17" spans="1:5" x14ac:dyDescent="0.25">
      <c r="A17" t="s">
        <v>15</v>
      </c>
      <c r="B17" t="s">
        <v>13</v>
      </c>
      <c r="C17" t="s">
        <v>299</v>
      </c>
      <c r="D17" t="s">
        <v>316</v>
      </c>
      <c r="E17" t="s">
        <v>12</v>
      </c>
    </row>
    <row r="18" spans="1:5" x14ac:dyDescent="0.25">
      <c r="A18" t="s">
        <v>493</v>
      </c>
      <c r="B18" t="s">
        <v>13</v>
      </c>
      <c r="C18" t="s">
        <v>299</v>
      </c>
      <c r="D18" t="s">
        <v>465</v>
      </c>
      <c r="E18" t="s">
        <v>12</v>
      </c>
    </row>
    <row r="19" spans="1:5" x14ac:dyDescent="0.25">
      <c r="A19" t="s">
        <v>16</v>
      </c>
      <c r="B19" t="s">
        <v>13</v>
      </c>
      <c r="C19" t="s">
        <v>299</v>
      </c>
      <c r="D19" t="s">
        <v>317</v>
      </c>
      <c r="E19" t="s">
        <v>12</v>
      </c>
    </row>
    <row r="21" spans="1:5" ht="18" thickBot="1" x14ac:dyDescent="0.4">
      <c r="A21" s="89" t="s">
        <v>592</v>
      </c>
      <c r="B21" s="89"/>
      <c r="C21" s="89"/>
      <c r="D21" s="89"/>
      <c r="E21" s="89"/>
    </row>
    <row r="22" spans="1:5" ht="13.8" thickTop="1" x14ac:dyDescent="0.25">
      <c r="A22" t="s">
        <v>15</v>
      </c>
      <c r="B22" t="s">
        <v>13</v>
      </c>
      <c r="C22" t="s">
        <v>299</v>
      </c>
      <c r="D22" t="s">
        <v>316</v>
      </c>
      <c r="E22" t="s">
        <v>12</v>
      </c>
    </row>
    <row r="23" spans="1:5" x14ac:dyDescent="0.25">
      <c r="A23" t="s">
        <v>493</v>
      </c>
      <c r="B23" t="s">
        <v>13</v>
      </c>
      <c r="C23" t="s">
        <v>299</v>
      </c>
      <c r="D23" t="s">
        <v>465</v>
      </c>
      <c r="E23" t="s">
        <v>12</v>
      </c>
    </row>
    <row r="24" spans="1:5" x14ac:dyDescent="0.25">
      <c r="A24" t="s">
        <v>16</v>
      </c>
      <c r="B24" t="s">
        <v>13</v>
      </c>
      <c r="C24" t="s">
        <v>299</v>
      </c>
      <c r="D24" t="s">
        <v>317</v>
      </c>
      <c r="E24" t="s">
        <v>12</v>
      </c>
    </row>
    <row r="26" spans="1:5" ht="18" thickBot="1" x14ac:dyDescent="0.4">
      <c r="A26" s="89" t="s">
        <v>571</v>
      </c>
      <c r="B26" s="89"/>
      <c r="C26" s="89"/>
      <c r="D26" s="89"/>
      <c r="E26" s="89"/>
    </row>
    <row r="27" spans="1:5" ht="13.8" thickTop="1" x14ac:dyDescent="0.25">
      <c r="A27" t="s">
        <v>74</v>
      </c>
      <c r="B27" t="s">
        <v>13</v>
      </c>
      <c r="C27" t="s">
        <v>299</v>
      </c>
      <c r="D27" t="s">
        <v>75</v>
      </c>
      <c r="E27" t="s">
        <v>12</v>
      </c>
    </row>
    <row r="28" spans="1:5" x14ac:dyDescent="0.25">
      <c r="A28" t="s">
        <v>153</v>
      </c>
      <c r="B28" t="s">
        <v>13</v>
      </c>
      <c r="C28" t="s">
        <v>299</v>
      </c>
      <c r="D28" t="s">
        <v>76</v>
      </c>
      <c r="E28" t="s">
        <v>39</v>
      </c>
    </row>
    <row r="30" spans="1:5" ht="18" thickBot="1" x14ac:dyDescent="0.4">
      <c r="A30" s="89" t="s">
        <v>575</v>
      </c>
      <c r="B30" s="89"/>
      <c r="C30" s="89"/>
      <c r="D30" s="89"/>
      <c r="E30" s="89"/>
    </row>
    <row r="31" spans="1:5" ht="13.8" thickTop="1" x14ac:dyDescent="0.25">
      <c r="A31" t="s">
        <v>332</v>
      </c>
      <c r="B31" t="s">
        <v>13</v>
      </c>
      <c r="C31" t="s">
        <v>299</v>
      </c>
      <c r="D31" t="s">
        <v>333</v>
      </c>
      <c r="E31" t="s">
        <v>12</v>
      </c>
    </row>
    <row r="32" spans="1:5" x14ac:dyDescent="0.25">
      <c r="A32" t="s">
        <v>334</v>
      </c>
      <c r="B32" t="s">
        <v>13</v>
      </c>
      <c r="C32" t="s">
        <v>299</v>
      </c>
      <c r="D32" t="s">
        <v>335</v>
      </c>
      <c r="E32" t="s">
        <v>12</v>
      </c>
    </row>
    <row r="33" spans="1:5" x14ac:dyDescent="0.25">
      <c r="A33" t="s">
        <v>55</v>
      </c>
      <c r="B33" t="s">
        <v>13</v>
      </c>
      <c r="C33" t="s">
        <v>299</v>
      </c>
      <c r="D33" t="s">
        <v>336</v>
      </c>
      <c r="E33" t="s">
        <v>12</v>
      </c>
    </row>
    <row r="34" spans="1:5" x14ac:dyDescent="0.25">
      <c r="A34" t="s">
        <v>341</v>
      </c>
      <c r="B34" t="s">
        <v>13</v>
      </c>
      <c r="C34" t="s">
        <v>299</v>
      </c>
      <c r="D34" t="s">
        <v>342</v>
      </c>
      <c r="E34" t="s">
        <v>12</v>
      </c>
    </row>
    <row r="35" spans="1:5" x14ac:dyDescent="0.25">
      <c r="A35" t="s">
        <v>343</v>
      </c>
      <c r="B35" t="s">
        <v>13</v>
      </c>
      <c r="C35" t="s">
        <v>299</v>
      </c>
      <c r="D35" t="s">
        <v>344</v>
      </c>
      <c r="E35" t="s">
        <v>12</v>
      </c>
    </row>
    <row r="36" spans="1:5" x14ac:dyDescent="0.25">
      <c r="A36" t="s">
        <v>208</v>
      </c>
      <c r="B36" t="s">
        <v>13</v>
      </c>
      <c r="C36" t="s">
        <v>299</v>
      </c>
      <c r="D36" t="s">
        <v>345</v>
      </c>
      <c r="E36" t="s">
        <v>12</v>
      </c>
    </row>
    <row r="38" spans="1:5" ht="18" thickBot="1" x14ac:dyDescent="0.4">
      <c r="A38" s="89" t="s">
        <v>647</v>
      </c>
      <c r="B38" s="89"/>
      <c r="C38" s="89"/>
      <c r="D38" s="89"/>
      <c r="E38" s="89"/>
    </row>
    <row r="39" spans="1:5" ht="13.8" thickTop="1" x14ac:dyDescent="0.25">
      <c r="A39" t="s">
        <v>60</v>
      </c>
      <c r="B39" t="s">
        <v>13</v>
      </c>
      <c r="C39" t="s">
        <v>299</v>
      </c>
      <c r="D39" t="s">
        <v>57</v>
      </c>
      <c r="E39" t="s">
        <v>407</v>
      </c>
    </row>
    <row r="40" spans="1:5" x14ac:dyDescent="0.25">
      <c r="A40" t="s">
        <v>61</v>
      </c>
      <c r="B40" t="s">
        <v>13</v>
      </c>
      <c r="C40" t="s">
        <v>299</v>
      </c>
      <c r="D40" t="s">
        <v>58</v>
      </c>
      <c r="E40" t="s">
        <v>407</v>
      </c>
    </row>
    <row r="41" spans="1:5" x14ac:dyDescent="0.25">
      <c r="A41" t="s">
        <v>62</v>
      </c>
      <c r="B41" t="s">
        <v>13</v>
      </c>
      <c r="C41" t="s">
        <v>299</v>
      </c>
      <c r="D41" t="s">
        <v>59</v>
      </c>
      <c r="E41" t="s">
        <v>407</v>
      </c>
    </row>
    <row r="43" spans="1:5" ht="18" thickBot="1" x14ac:dyDescent="0.4">
      <c r="A43" s="89" t="s">
        <v>576</v>
      </c>
      <c r="B43" s="89"/>
      <c r="C43" s="89"/>
      <c r="D43" s="89"/>
      <c r="E43" s="89"/>
    </row>
    <row r="44" spans="1:5" ht="13.8" thickTop="1" x14ac:dyDescent="0.25">
      <c r="A44" t="s">
        <v>63</v>
      </c>
      <c r="B44" t="s">
        <v>13</v>
      </c>
      <c r="C44" t="s">
        <v>299</v>
      </c>
      <c r="D44" t="s">
        <v>346</v>
      </c>
      <c r="E44" t="s">
        <v>12</v>
      </c>
    </row>
    <row r="45" spans="1:5" x14ac:dyDescent="0.25">
      <c r="A45" t="s">
        <v>347</v>
      </c>
      <c r="B45" t="s">
        <v>13</v>
      </c>
      <c r="C45" t="s">
        <v>299</v>
      </c>
      <c r="D45" t="s">
        <v>348</v>
      </c>
      <c r="E45" t="s">
        <v>12</v>
      </c>
    </row>
    <row r="46" spans="1:5" x14ac:dyDescent="0.25">
      <c r="A46" t="s">
        <v>349</v>
      </c>
      <c r="B46" t="s">
        <v>13</v>
      </c>
      <c r="C46" t="s">
        <v>299</v>
      </c>
      <c r="D46" t="s">
        <v>350</v>
      </c>
      <c r="E46" t="s">
        <v>12</v>
      </c>
    </row>
    <row r="48" spans="1:5" ht="18" thickBot="1" x14ac:dyDescent="0.4">
      <c r="A48" s="89" t="s">
        <v>598</v>
      </c>
      <c r="B48" s="89"/>
      <c r="C48" s="89"/>
      <c r="D48" s="89"/>
      <c r="E48" s="89"/>
    </row>
    <row r="49" spans="1:5" ht="13.8" thickTop="1" x14ac:dyDescent="0.25">
      <c r="A49" t="s">
        <v>222</v>
      </c>
      <c r="B49" t="s">
        <v>516</v>
      </c>
      <c r="C49" t="s">
        <v>64</v>
      </c>
      <c r="D49" t="s">
        <v>221</v>
      </c>
      <c r="E49" t="s">
        <v>46</v>
      </c>
    </row>
    <row r="50" spans="1:5" x14ac:dyDescent="0.25">
      <c r="A50" t="s">
        <v>223</v>
      </c>
      <c r="B50" t="s">
        <v>516</v>
      </c>
      <c r="C50" t="s">
        <v>64</v>
      </c>
      <c r="D50" t="s">
        <v>232</v>
      </c>
      <c r="E50" t="s">
        <v>46</v>
      </c>
    </row>
    <row r="51" spans="1:5" x14ac:dyDescent="0.25">
      <c r="A51" t="s">
        <v>502</v>
      </c>
      <c r="B51" t="s">
        <v>516</v>
      </c>
      <c r="C51" t="s">
        <v>64</v>
      </c>
      <c r="D51" t="s">
        <v>449</v>
      </c>
      <c r="E51" t="s">
        <v>46</v>
      </c>
    </row>
    <row r="52" spans="1:5" x14ac:dyDescent="0.25">
      <c r="A52" t="s">
        <v>503</v>
      </c>
      <c r="B52" t="s">
        <v>516</v>
      </c>
      <c r="C52" t="s">
        <v>64</v>
      </c>
      <c r="D52" t="s">
        <v>450</v>
      </c>
      <c r="E52" t="s">
        <v>46</v>
      </c>
    </row>
    <row r="53" spans="1:5" x14ac:dyDescent="0.25">
      <c r="A53" t="s">
        <v>224</v>
      </c>
      <c r="B53" t="s">
        <v>516</v>
      </c>
      <c r="C53" t="s">
        <v>64</v>
      </c>
      <c r="D53" t="s">
        <v>233</v>
      </c>
      <c r="E53" t="s">
        <v>46</v>
      </c>
    </row>
    <row r="54" spans="1:5" x14ac:dyDescent="0.25">
      <c r="A54" t="s">
        <v>225</v>
      </c>
      <c r="B54" t="s">
        <v>516</v>
      </c>
      <c r="C54" t="s">
        <v>64</v>
      </c>
      <c r="D54" t="s">
        <v>234</v>
      </c>
      <c r="E54" t="s">
        <v>46</v>
      </c>
    </row>
    <row r="55" spans="1:5" x14ac:dyDescent="0.25">
      <c r="A55" t="s">
        <v>351</v>
      </c>
      <c r="B55" t="s">
        <v>516</v>
      </c>
      <c r="C55" t="s">
        <v>64</v>
      </c>
      <c r="D55" t="s">
        <v>352</v>
      </c>
      <c r="E55" t="s">
        <v>46</v>
      </c>
    </row>
    <row r="56" spans="1:5" x14ac:dyDescent="0.25">
      <c r="A56" t="s">
        <v>353</v>
      </c>
      <c r="B56" t="s">
        <v>516</v>
      </c>
      <c r="C56" t="s">
        <v>64</v>
      </c>
      <c r="D56" t="s">
        <v>354</v>
      </c>
      <c r="E56" t="s">
        <v>46</v>
      </c>
    </row>
    <row r="57" spans="1:5" x14ac:dyDescent="0.25">
      <c r="A57" t="s">
        <v>355</v>
      </c>
      <c r="B57" t="s">
        <v>516</v>
      </c>
      <c r="C57" t="s">
        <v>64</v>
      </c>
      <c r="D57" t="s">
        <v>356</v>
      </c>
      <c r="E57" t="s">
        <v>46</v>
      </c>
    </row>
    <row r="58" spans="1:5" x14ac:dyDescent="0.25">
      <c r="A58" t="s">
        <v>357</v>
      </c>
      <c r="B58" t="s">
        <v>516</v>
      </c>
      <c r="C58" t="s">
        <v>64</v>
      </c>
      <c r="D58" t="s">
        <v>358</v>
      </c>
      <c r="E58" t="s">
        <v>46</v>
      </c>
    </row>
    <row r="60" spans="1:5" ht="18" thickBot="1" x14ac:dyDescent="0.4">
      <c r="A60" s="89" t="s">
        <v>648</v>
      </c>
      <c r="B60" s="89"/>
      <c r="C60" s="89"/>
      <c r="D60" s="89"/>
      <c r="E60" s="89"/>
    </row>
    <row r="61" spans="1:5" ht="13.8" thickTop="1" x14ac:dyDescent="0.25">
      <c r="A61" t="s">
        <v>103</v>
      </c>
      <c r="B61" t="s">
        <v>516</v>
      </c>
      <c r="C61" t="s">
        <v>64</v>
      </c>
      <c r="D61" t="s">
        <v>104</v>
      </c>
      <c r="E61" t="s">
        <v>56</v>
      </c>
    </row>
    <row r="62" spans="1:5" x14ac:dyDescent="0.25">
      <c r="A62" t="s">
        <v>440</v>
      </c>
      <c r="B62" t="s">
        <v>13</v>
      </c>
      <c r="C62" t="s">
        <v>299</v>
      </c>
      <c r="D62" t="s">
        <v>441</v>
      </c>
      <c r="E62" t="s">
        <v>56</v>
      </c>
    </row>
    <row r="64" spans="1:5" ht="18" thickBot="1" x14ac:dyDescent="0.4">
      <c r="A64" s="89" t="s">
        <v>630</v>
      </c>
      <c r="B64" s="89"/>
      <c r="C64" s="89"/>
      <c r="D64" s="89"/>
      <c r="E64" s="89"/>
    </row>
    <row r="65" spans="1:5" ht="13.8" thickTop="1" x14ac:dyDescent="0.25">
      <c r="A65" t="s">
        <v>89</v>
      </c>
      <c r="B65" t="s">
        <v>13</v>
      </c>
      <c r="C65" t="s">
        <v>299</v>
      </c>
      <c r="D65" t="s">
        <v>90</v>
      </c>
      <c r="E65" t="s">
        <v>56</v>
      </c>
    </row>
    <row r="66" spans="1:5" x14ac:dyDescent="0.25">
      <c r="A66" t="s">
        <v>204</v>
      </c>
      <c r="B66" t="s">
        <v>13</v>
      </c>
      <c r="C66" t="s">
        <v>299</v>
      </c>
      <c r="D66" t="s">
        <v>205</v>
      </c>
      <c r="E66" t="s">
        <v>56</v>
      </c>
    </row>
    <row r="67" spans="1:5" x14ac:dyDescent="0.25">
      <c r="A67" t="s">
        <v>206</v>
      </c>
      <c r="B67" t="s">
        <v>13</v>
      </c>
      <c r="C67" t="s">
        <v>299</v>
      </c>
      <c r="D67" t="s">
        <v>207</v>
      </c>
      <c r="E67" t="s">
        <v>56</v>
      </c>
    </row>
    <row r="69" spans="1:5" ht="18" thickBot="1" x14ac:dyDescent="0.4">
      <c r="A69" s="89" t="s">
        <v>636</v>
      </c>
      <c r="B69" s="89"/>
      <c r="C69" s="89"/>
      <c r="D69" s="89"/>
      <c r="E69" s="89"/>
    </row>
    <row r="70" spans="1:5" ht="13.8" thickTop="1" x14ac:dyDescent="0.25">
      <c r="A70" t="s">
        <v>89</v>
      </c>
      <c r="B70" t="s">
        <v>13</v>
      </c>
      <c r="C70" t="s">
        <v>299</v>
      </c>
      <c r="D70" t="s">
        <v>90</v>
      </c>
      <c r="E70" t="s">
        <v>56</v>
      </c>
    </row>
    <row r="71" spans="1:5" x14ac:dyDescent="0.25">
      <c r="A71" t="s">
        <v>204</v>
      </c>
      <c r="B71" t="s">
        <v>13</v>
      </c>
      <c r="C71" t="s">
        <v>299</v>
      </c>
      <c r="D71" t="s">
        <v>205</v>
      </c>
      <c r="E71" t="s">
        <v>56</v>
      </c>
    </row>
    <row r="72" spans="1:5" x14ac:dyDescent="0.25">
      <c r="A72" t="s">
        <v>206</v>
      </c>
      <c r="B72" t="s">
        <v>13</v>
      </c>
      <c r="C72" t="s">
        <v>299</v>
      </c>
      <c r="D72" t="s">
        <v>207</v>
      </c>
      <c r="E72" t="s">
        <v>56</v>
      </c>
    </row>
    <row r="74" spans="1:5" ht="18" thickBot="1" x14ac:dyDescent="0.4">
      <c r="A74" s="89" t="s">
        <v>580</v>
      </c>
      <c r="B74" s="89"/>
      <c r="C74" s="89"/>
      <c r="D74" s="89"/>
      <c r="E74" s="89"/>
    </row>
    <row r="75" spans="1:5" ht="13.8" thickTop="1" x14ac:dyDescent="0.25">
      <c r="A75" t="s">
        <v>337</v>
      </c>
      <c r="B75" t="s">
        <v>516</v>
      </c>
      <c r="C75" t="s">
        <v>64</v>
      </c>
      <c r="D75" t="s">
        <v>338</v>
      </c>
      <c r="E75" t="s">
        <v>12</v>
      </c>
    </row>
    <row r="76" spans="1:5" x14ac:dyDescent="0.25">
      <c r="A76" t="s">
        <v>339</v>
      </c>
      <c r="B76" t="s">
        <v>516</v>
      </c>
      <c r="C76" t="s">
        <v>64</v>
      </c>
      <c r="D76" t="s">
        <v>340</v>
      </c>
      <c r="E76" t="s">
        <v>12</v>
      </c>
    </row>
    <row r="78" spans="1:5" ht="18" thickBot="1" x14ac:dyDescent="0.4">
      <c r="A78" s="89" t="s">
        <v>581</v>
      </c>
      <c r="B78" s="89"/>
      <c r="C78" s="89"/>
      <c r="D78" s="89"/>
      <c r="E78" s="89"/>
    </row>
    <row r="79" spans="1:5" ht="13.8" thickTop="1" x14ac:dyDescent="0.25">
      <c r="A79" t="s">
        <v>301</v>
      </c>
      <c r="B79" t="s">
        <v>516</v>
      </c>
      <c r="C79" t="s">
        <v>64</v>
      </c>
      <c r="D79" t="s">
        <v>303</v>
      </c>
      <c r="E79" t="s">
        <v>12</v>
      </c>
    </row>
    <row r="80" spans="1:5" x14ac:dyDescent="0.25">
      <c r="A80" t="s">
        <v>302</v>
      </c>
      <c r="B80" t="s">
        <v>516</v>
      </c>
      <c r="C80" t="s">
        <v>64</v>
      </c>
      <c r="D80" t="s">
        <v>304</v>
      </c>
      <c r="E80" t="s">
        <v>12</v>
      </c>
    </row>
    <row r="82" spans="1:5" ht="18" thickBot="1" x14ac:dyDescent="0.4">
      <c r="A82" s="89" t="s">
        <v>637</v>
      </c>
      <c r="B82" s="89"/>
      <c r="C82" s="89"/>
      <c r="D82" s="89"/>
      <c r="E82" s="89"/>
    </row>
    <row r="83" spans="1:5" ht="13.8" thickTop="1" x14ac:dyDescent="0.25">
      <c r="A83" t="s">
        <v>259</v>
      </c>
      <c r="B83" t="s">
        <v>516</v>
      </c>
      <c r="C83" t="s">
        <v>64</v>
      </c>
      <c r="D83" t="s">
        <v>262</v>
      </c>
      <c r="E83" t="s">
        <v>12</v>
      </c>
    </row>
    <row r="84" spans="1:5" x14ac:dyDescent="0.25">
      <c r="A84" t="s">
        <v>260</v>
      </c>
      <c r="B84" t="s">
        <v>516</v>
      </c>
      <c r="C84" t="s">
        <v>64</v>
      </c>
      <c r="D84" t="s">
        <v>263</v>
      </c>
      <c r="E84" t="s">
        <v>12</v>
      </c>
    </row>
    <row r="85" spans="1:5" x14ac:dyDescent="0.25">
      <c r="A85" t="s">
        <v>261</v>
      </c>
      <c r="B85" t="s">
        <v>516</v>
      </c>
      <c r="C85" t="s">
        <v>64</v>
      </c>
      <c r="D85" t="s">
        <v>264</v>
      </c>
      <c r="E85" t="s">
        <v>12</v>
      </c>
    </row>
    <row r="87" spans="1:5" ht="18" thickBot="1" x14ac:dyDescent="0.4">
      <c r="A87" s="89" t="s">
        <v>638</v>
      </c>
      <c r="B87" s="89"/>
      <c r="C87" s="89"/>
      <c r="D87" s="89"/>
      <c r="E87" s="89"/>
    </row>
    <row r="88" spans="1:5" ht="13.8" thickTop="1" x14ac:dyDescent="0.25">
      <c r="A88" t="s">
        <v>105</v>
      </c>
      <c r="B88" t="s">
        <v>516</v>
      </c>
      <c r="C88" t="s">
        <v>64</v>
      </c>
      <c r="D88" t="s">
        <v>106</v>
      </c>
      <c r="E88" t="s">
        <v>409</v>
      </c>
    </row>
    <row r="89" spans="1:5" x14ac:dyDescent="0.25">
      <c r="A89" t="s">
        <v>107</v>
      </c>
      <c r="B89" t="s">
        <v>516</v>
      </c>
      <c r="C89" t="s">
        <v>64</v>
      </c>
      <c r="D89" t="s">
        <v>108</v>
      </c>
      <c r="E89" t="s">
        <v>409</v>
      </c>
    </row>
    <row r="90" spans="1:5" x14ac:dyDescent="0.25">
      <c r="A90" t="s">
        <v>202</v>
      </c>
      <c r="B90" t="s">
        <v>516</v>
      </c>
      <c r="C90" t="s">
        <v>64</v>
      </c>
      <c r="D90" t="s">
        <v>203</v>
      </c>
      <c r="E90" t="s">
        <v>409</v>
      </c>
    </row>
    <row r="92" spans="1:5" ht="18" thickBot="1" x14ac:dyDescent="0.4">
      <c r="A92" s="89" t="s">
        <v>649</v>
      </c>
      <c r="B92" s="89"/>
      <c r="C92" s="89"/>
      <c r="D92" s="89"/>
      <c r="E92" s="89"/>
    </row>
    <row r="93" spans="1:5" ht="13.8" thickTop="1" x14ac:dyDescent="0.25">
      <c r="A93" t="s">
        <v>91</v>
      </c>
      <c r="B93" t="s">
        <v>516</v>
      </c>
      <c r="C93" t="s">
        <v>64</v>
      </c>
      <c r="D93" t="s">
        <v>95</v>
      </c>
      <c r="E93" t="s">
        <v>46</v>
      </c>
    </row>
    <row r="95" spans="1:5" ht="18" thickBot="1" x14ac:dyDescent="0.4">
      <c r="A95" s="89" t="s">
        <v>650</v>
      </c>
      <c r="B95" s="89"/>
      <c r="C95" s="89"/>
      <c r="D95" s="89"/>
      <c r="E95" s="89"/>
    </row>
    <row r="96" spans="1:5" ht="13.8" thickTop="1" x14ac:dyDescent="0.25">
      <c r="A96" t="s">
        <v>93</v>
      </c>
      <c r="B96" t="s">
        <v>300</v>
      </c>
      <c r="C96" t="s">
        <v>300</v>
      </c>
      <c r="D96" t="s">
        <v>94</v>
      </c>
      <c r="E96" t="s">
        <v>46</v>
      </c>
    </row>
  </sheetData>
  <mergeCells count="1">
    <mergeCell ref="A1:E3"/>
  </mergeCells>
  <phoneticPr fontId="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E44"/>
  <sheetViews>
    <sheetView topLeftCell="D1" workbookViewId="0">
      <selection activeCell="A4" sqref="A4:D4"/>
    </sheetView>
  </sheetViews>
  <sheetFormatPr baseColWidth="10" defaultColWidth="11.44140625" defaultRowHeight="13.2" x14ac:dyDescent="0.25"/>
  <cols>
    <col min="1" max="1" width="31" bestFit="1" customWidth="1"/>
    <col min="2" max="2" width="7.5546875" bestFit="1" customWidth="1"/>
    <col min="3" max="3" width="10.88671875" bestFit="1" customWidth="1"/>
    <col min="4" max="4" width="69.6640625" bestFit="1" customWidth="1"/>
  </cols>
  <sheetData>
    <row r="1" spans="1:5" ht="19.5" customHeight="1" x14ac:dyDescent="0.25">
      <c r="A1" s="117" t="s">
        <v>556</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625</v>
      </c>
      <c r="B10" s="89"/>
      <c r="C10" s="89"/>
      <c r="D10" s="89"/>
      <c r="E10" s="89"/>
    </row>
    <row r="11" spans="1:5" ht="13.8" thickTop="1" x14ac:dyDescent="0.25">
      <c r="A11" t="s">
        <v>109</v>
      </c>
      <c r="B11" t="s">
        <v>13</v>
      </c>
      <c r="C11" t="s">
        <v>299</v>
      </c>
      <c r="D11" t="s">
        <v>110</v>
      </c>
      <c r="E11" t="s">
        <v>406</v>
      </c>
    </row>
    <row r="13" spans="1:5" ht="18" thickBot="1" x14ac:dyDescent="0.4">
      <c r="A13" s="89" t="s">
        <v>626</v>
      </c>
      <c r="B13" s="89"/>
      <c r="C13" s="89"/>
      <c r="D13" s="89"/>
      <c r="E13" s="89"/>
    </row>
    <row r="14" spans="1:5" ht="13.8" thickTop="1" x14ac:dyDescent="0.25">
      <c r="A14" t="s">
        <v>44</v>
      </c>
      <c r="B14" t="s">
        <v>511</v>
      </c>
      <c r="C14" t="s">
        <v>299</v>
      </c>
      <c r="D14" t="s">
        <v>45</v>
      </c>
      <c r="E14" t="s">
        <v>46</v>
      </c>
    </row>
    <row r="16" spans="1:5" ht="18" thickBot="1" x14ac:dyDescent="0.4">
      <c r="A16" s="89" t="s">
        <v>627</v>
      </c>
      <c r="B16" s="89"/>
      <c r="C16" s="89"/>
      <c r="D16" s="89"/>
      <c r="E16" s="89"/>
    </row>
    <row r="17" spans="1:5" ht="13.8" thickTop="1" x14ac:dyDescent="0.25">
      <c r="A17" t="s">
        <v>532</v>
      </c>
      <c r="B17" t="s">
        <v>13</v>
      </c>
      <c r="C17" t="s">
        <v>299</v>
      </c>
      <c r="D17" t="s">
        <v>427</v>
      </c>
      <c r="E17" t="s">
        <v>99</v>
      </c>
    </row>
    <row r="18" spans="1:5" x14ac:dyDescent="0.25">
      <c r="A18" t="s">
        <v>533</v>
      </c>
      <c r="B18" t="s">
        <v>516</v>
      </c>
      <c r="C18" t="s">
        <v>64</v>
      </c>
      <c r="D18" t="s">
        <v>430</v>
      </c>
      <c r="E18" t="s">
        <v>99</v>
      </c>
    </row>
    <row r="19" spans="1:5" x14ac:dyDescent="0.25">
      <c r="A19" t="s">
        <v>534</v>
      </c>
      <c r="B19" t="s">
        <v>516</v>
      </c>
      <c r="C19" t="s">
        <v>64</v>
      </c>
      <c r="D19" t="s">
        <v>431</v>
      </c>
      <c r="E19" t="s">
        <v>99</v>
      </c>
    </row>
    <row r="20" spans="1:5" x14ac:dyDescent="0.25">
      <c r="A20" t="s">
        <v>535</v>
      </c>
      <c r="B20" t="s">
        <v>516</v>
      </c>
      <c r="C20" t="s">
        <v>64</v>
      </c>
      <c r="D20" t="s">
        <v>432</v>
      </c>
      <c r="E20" t="s">
        <v>99</v>
      </c>
    </row>
    <row r="21" spans="1:5" x14ac:dyDescent="0.25">
      <c r="A21" t="s">
        <v>536</v>
      </c>
      <c r="B21" t="s">
        <v>516</v>
      </c>
      <c r="C21" t="s">
        <v>64</v>
      </c>
      <c r="D21" t="s">
        <v>433</v>
      </c>
      <c r="E21" t="s">
        <v>99</v>
      </c>
    </row>
    <row r="23" spans="1:5" ht="18" thickBot="1" x14ac:dyDescent="0.4">
      <c r="A23" s="89" t="s">
        <v>628</v>
      </c>
      <c r="B23" s="89"/>
      <c r="C23" s="89"/>
      <c r="D23" s="89"/>
      <c r="E23" s="89"/>
    </row>
    <row r="24" spans="1:5" ht="13.8" thickTop="1" x14ac:dyDescent="0.25">
      <c r="A24" t="s">
        <v>426</v>
      </c>
      <c r="B24" t="s">
        <v>13</v>
      </c>
      <c r="C24" t="s">
        <v>299</v>
      </c>
      <c r="D24" t="s">
        <v>452</v>
      </c>
      <c r="E24" t="s">
        <v>100</v>
      </c>
    </row>
    <row r="25" spans="1:5" x14ac:dyDescent="0.25">
      <c r="A25" t="s">
        <v>437</v>
      </c>
      <c r="B25" t="s">
        <v>516</v>
      </c>
      <c r="C25" t="s">
        <v>64</v>
      </c>
      <c r="D25" t="s">
        <v>453</v>
      </c>
      <c r="E25" t="s">
        <v>100</v>
      </c>
    </row>
    <row r="26" spans="1:5" x14ac:dyDescent="0.25">
      <c r="A26" t="s">
        <v>438</v>
      </c>
      <c r="B26" t="s">
        <v>516</v>
      </c>
      <c r="C26" t="s">
        <v>64</v>
      </c>
      <c r="D26" t="s">
        <v>454</v>
      </c>
      <c r="E26" t="s">
        <v>100</v>
      </c>
    </row>
    <row r="27" spans="1:5" x14ac:dyDescent="0.25">
      <c r="A27" t="s">
        <v>428</v>
      </c>
      <c r="B27" t="s">
        <v>516</v>
      </c>
      <c r="C27" t="s">
        <v>64</v>
      </c>
      <c r="D27" t="s">
        <v>455</v>
      </c>
      <c r="E27" t="s">
        <v>100</v>
      </c>
    </row>
    <row r="28" spans="1:5" x14ac:dyDescent="0.25">
      <c r="A28" t="s">
        <v>439</v>
      </c>
      <c r="B28" t="s">
        <v>516</v>
      </c>
      <c r="C28" t="s">
        <v>64</v>
      </c>
      <c r="D28" t="s">
        <v>456</v>
      </c>
      <c r="E28" t="s">
        <v>100</v>
      </c>
    </row>
    <row r="30" spans="1:5" ht="18" thickBot="1" x14ac:dyDescent="0.4">
      <c r="A30" s="89" t="s">
        <v>629</v>
      </c>
      <c r="B30" s="89"/>
      <c r="C30" s="89"/>
      <c r="D30" s="89"/>
      <c r="E30" s="89"/>
    </row>
    <row r="31" spans="1:5" ht="13.8" thickTop="1" x14ac:dyDescent="0.25">
      <c r="A31" t="s">
        <v>101</v>
      </c>
      <c r="B31" t="s">
        <v>516</v>
      </c>
      <c r="C31" t="s">
        <v>64</v>
      </c>
      <c r="D31" t="s">
        <v>451</v>
      </c>
      <c r="E31" t="s">
        <v>46</v>
      </c>
    </row>
    <row r="33" spans="1:5" ht="18" thickBot="1" x14ac:dyDescent="0.4">
      <c r="A33" s="89" t="s">
        <v>630</v>
      </c>
      <c r="B33" s="89"/>
      <c r="C33" s="89"/>
      <c r="D33" s="89"/>
      <c r="E33" s="89"/>
    </row>
    <row r="34" spans="1:5" ht="13.8" thickTop="1" x14ac:dyDescent="0.25">
      <c r="A34" t="s">
        <v>89</v>
      </c>
      <c r="B34" t="s">
        <v>13</v>
      </c>
      <c r="C34" t="s">
        <v>299</v>
      </c>
      <c r="D34" t="s">
        <v>90</v>
      </c>
      <c r="E34" t="s">
        <v>56</v>
      </c>
    </row>
    <row r="35" spans="1:5" x14ac:dyDescent="0.25">
      <c r="A35" t="s">
        <v>204</v>
      </c>
      <c r="B35" t="s">
        <v>13</v>
      </c>
      <c r="C35" t="s">
        <v>299</v>
      </c>
      <c r="D35" t="s">
        <v>205</v>
      </c>
      <c r="E35" t="s">
        <v>56</v>
      </c>
    </row>
    <row r="36" spans="1:5" x14ac:dyDescent="0.25">
      <c r="A36" t="s">
        <v>206</v>
      </c>
      <c r="B36" t="s">
        <v>13</v>
      </c>
      <c r="C36" t="s">
        <v>299</v>
      </c>
      <c r="D36" t="s">
        <v>207</v>
      </c>
      <c r="E36" t="s">
        <v>56</v>
      </c>
    </row>
    <row r="38" spans="1:5" ht="18" thickBot="1" x14ac:dyDescent="0.4">
      <c r="A38" s="89" t="s">
        <v>631</v>
      </c>
      <c r="B38" s="89"/>
      <c r="C38" s="89"/>
      <c r="D38" s="89"/>
      <c r="E38" s="89"/>
    </row>
    <row r="39" spans="1:5" ht="13.8" thickTop="1" x14ac:dyDescent="0.25">
      <c r="A39" t="s">
        <v>156</v>
      </c>
      <c r="B39" t="s">
        <v>13</v>
      </c>
      <c r="C39" t="s">
        <v>299</v>
      </c>
      <c r="D39" t="s">
        <v>159</v>
      </c>
      <c r="E39" t="s">
        <v>46</v>
      </c>
    </row>
    <row r="40" spans="1:5" x14ac:dyDescent="0.25">
      <c r="A40" t="s">
        <v>157</v>
      </c>
      <c r="B40" t="s">
        <v>13</v>
      </c>
      <c r="C40" t="s">
        <v>299</v>
      </c>
      <c r="D40" t="s">
        <v>160</v>
      </c>
      <c r="E40" t="s">
        <v>12</v>
      </c>
    </row>
    <row r="42" spans="1:5" ht="18" thickBot="1" x14ac:dyDescent="0.4">
      <c r="A42" s="89" t="s">
        <v>632</v>
      </c>
      <c r="B42" s="89"/>
      <c r="C42" s="89"/>
      <c r="D42" s="89"/>
      <c r="E42" s="89"/>
    </row>
    <row r="43" spans="1:5" ht="13.8" thickTop="1" x14ac:dyDescent="0.25">
      <c r="A43" t="s">
        <v>8</v>
      </c>
      <c r="B43" t="s">
        <v>516</v>
      </c>
      <c r="C43" t="s">
        <v>64</v>
      </c>
      <c r="D43" t="s">
        <v>172</v>
      </c>
      <c r="E43" t="s">
        <v>46</v>
      </c>
    </row>
    <row r="44" spans="1:5" x14ac:dyDescent="0.25">
      <c r="A44" t="s">
        <v>96</v>
      </c>
      <c r="B44" t="s">
        <v>516</v>
      </c>
      <c r="C44" t="s">
        <v>64</v>
      </c>
      <c r="D44" t="s">
        <v>173</v>
      </c>
      <c r="E44" t="s">
        <v>46</v>
      </c>
    </row>
  </sheetData>
  <mergeCells count="1">
    <mergeCell ref="A1:E3"/>
  </mergeCells>
  <phoneticPr fontId="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E24"/>
  <sheetViews>
    <sheetView workbookViewId="0">
      <selection activeCell="A4" sqref="A4:D4"/>
    </sheetView>
  </sheetViews>
  <sheetFormatPr baseColWidth="10" defaultColWidth="11.44140625" defaultRowHeight="13.2" x14ac:dyDescent="0.25"/>
  <cols>
    <col min="1" max="1" width="35.5546875" bestFit="1" customWidth="1"/>
    <col min="2" max="2" width="7.5546875" bestFit="1" customWidth="1"/>
    <col min="3" max="3" width="10.88671875" bestFit="1" customWidth="1"/>
    <col min="4" max="4" width="59.6640625" bestFit="1" customWidth="1"/>
  </cols>
  <sheetData>
    <row r="1" spans="1:5" ht="19.5" customHeight="1" x14ac:dyDescent="0.25">
      <c r="A1" s="117" t="s">
        <v>562</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616</v>
      </c>
      <c r="B10" s="89"/>
      <c r="C10" s="89"/>
      <c r="D10" s="89"/>
      <c r="E10" s="89"/>
    </row>
    <row r="11" spans="1:5" ht="13.8" thickTop="1" x14ac:dyDescent="0.25">
      <c r="A11" t="s">
        <v>89</v>
      </c>
      <c r="B11" t="s">
        <v>13</v>
      </c>
      <c r="C11" t="s">
        <v>299</v>
      </c>
      <c r="D11" t="s">
        <v>90</v>
      </c>
      <c r="E11" t="s">
        <v>56</v>
      </c>
    </row>
    <row r="12" spans="1:5" x14ac:dyDescent="0.25">
      <c r="A12" t="s">
        <v>204</v>
      </c>
      <c r="B12" t="s">
        <v>13</v>
      </c>
      <c r="C12" t="s">
        <v>299</v>
      </c>
      <c r="D12" t="s">
        <v>205</v>
      </c>
      <c r="E12" t="s">
        <v>56</v>
      </c>
    </row>
    <row r="13" spans="1:5" x14ac:dyDescent="0.25">
      <c r="A13" t="s">
        <v>206</v>
      </c>
      <c r="B13" t="s">
        <v>13</v>
      </c>
      <c r="C13" t="s">
        <v>299</v>
      </c>
      <c r="D13" t="s">
        <v>207</v>
      </c>
      <c r="E13" t="s">
        <v>56</v>
      </c>
    </row>
    <row r="15" spans="1:5" ht="18" thickBot="1" x14ac:dyDescent="0.4">
      <c r="A15" s="89" t="s">
        <v>603</v>
      </c>
      <c r="B15" s="89"/>
      <c r="C15" s="89"/>
      <c r="D15" s="89"/>
      <c r="E15" s="89"/>
    </row>
    <row r="16" spans="1:5" ht="13.8" thickTop="1" x14ac:dyDescent="0.25">
      <c r="A16" t="s">
        <v>164</v>
      </c>
      <c r="B16" t="s">
        <v>13</v>
      </c>
      <c r="C16" t="s">
        <v>299</v>
      </c>
      <c r="D16" t="s">
        <v>165</v>
      </c>
      <c r="E16" t="s">
        <v>46</v>
      </c>
    </row>
    <row r="18" spans="1:5" ht="18" thickBot="1" x14ac:dyDescent="0.4">
      <c r="A18" s="89" t="s">
        <v>622</v>
      </c>
      <c r="B18" s="89"/>
      <c r="C18" s="89"/>
      <c r="D18" s="89"/>
      <c r="E18" s="89"/>
    </row>
    <row r="19" spans="1:5" ht="13.8" thickTop="1" x14ac:dyDescent="0.25">
      <c r="A19" t="s">
        <v>404</v>
      </c>
      <c r="B19" t="s">
        <v>13</v>
      </c>
      <c r="C19" t="s">
        <v>299</v>
      </c>
      <c r="D19" t="s">
        <v>405</v>
      </c>
      <c r="E19" t="s">
        <v>46</v>
      </c>
    </row>
    <row r="20" spans="1:5" x14ac:dyDescent="0.25">
      <c r="A20" t="s">
        <v>83</v>
      </c>
      <c r="B20" t="s">
        <v>13</v>
      </c>
      <c r="C20" t="s">
        <v>299</v>
      </c>
      <c r="D20" t="s">
        <v>85</v>
      </c>
      <c r="E20" t="s">
        <v>12</v>
      </c>
    </row>
    <row r="21" spans="1:5" x14ac:dyDescent="0.25">
      <c r="A21" t="s">
        <v>84</v>
      </c>
      <c r="B21" t="s">
        <v>13</v>
      </c>
      <c r="C21" t="s">
        <v>299</v>
      </c>
      <c r="D21" t="s">
        <v>86</v>
      </c>
      <c r="E21" t="s">
        <v>12</v>
      </c>
    </row>
    <row r="23" spans="1:5" ht="18" thickBot="1" x14ac:dyDescent="0.4">
      <c r="A23" s="89" t="s">
        <v>651</v>
      </c>
      <c r="B23" s="89"/>
      <c r="C23" s="89"/>
      <c r="D23" s="89"/>
      <c r="E23" s="89"/>
    </row>
    <row r="24" spans="1:5" ht="13.8" thickTop="1" x14ac:dyDescent="0.25">
      <c r="A24" t="s">
        <v>97</v>
      </c>
      <c r="B24" t="s">
        <v>516</v>
      </c>
      <c r="C24" t="s">
        <v>64</v>
      </c>
      <c r="D24" t="s">
        <v>174</v>
      </c>
      <c r="E24" t="s">
        <v>46</v>
      </c>
    </row>
  </sheetData>
  <mergeCells count="1">
    <mergeCell ref="A1:E3"/>
  </mergeCells>
  <phoneticPr fontId="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E45"/>
  <sheetViews>
    <sheetView workbookViewId="0">
      <selection activeCell="A4" sqref="A4:D4"/>
    </sheetView>
  </sheetViews>
  <sheetFormatPr baseColWidth="10" defaultColWidth="11.44140625" defaultRowHeight="13.2" x14ac:dyDescent="0.25"/>
  <cols>
    <col min="1" max="1" width="41" bestFit="1" customWidth="1"/>
    <col min="2" max="2" width="7.5546875" bestFit="1" customWidth="1"/>
    <col min="3" max="3" width="10.88671875" bestFit="1" customWidth="1"/>
    <col min="4" max="4" width="70.109375" bestFit="1" customWidth="1"/>
  </cols>
  <sheetData>
    <row r="1" spans="1:5" ht="19.5" customHeight="1" x14ac:dyDescent="0.25">
      <c r="A1" s="117" t="s">
        <v>557</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633</v>
      </c>
      <c r="B10" s="89"/>
      <c r="C10" s="89"/>
      <c r="D10" s="89"/>
      <c r="E10" s="89"/>
    </row>
    <row r="11" spans="1:5" ht="13.8" thickTop="1" x14ac:dyDescent="0.25">
      <c r="A11" t="s">
        <v>44</v>
      </c>
      <c r="B11" t="s">
        <v>511</v>
      </c>
      <c r="C11" t="s">
        <v>299</v>
      </c>
      <c r="D11" t="s">
        <v>45</v>
      </c>
      <c r="E11" t="s">
        <v>46</v>
      </c>
    </row>
    <row r="13" spans="1:5" ht="18" thickBot="1" x14ac:dyDescent="0.4">
      <c r="A13" s="89" t="s">
        <v>634</v>
      </c>
      <c r="B13" s="89"/>
      <c r="C13" s="89"/>
      <c r="D13" s="89"/>
      <c r="E13" s="89"/>
    </row>
    <row r="14" spans="1:5" ht="13.8" thickTop="1" x14ac:dyDescent="0.25">
      <c r="A14" t="s">
        <v>532</v>
      </c>
      <c r="B14" t="s">
        <v>13</v>
      </c>
      <c r="C14" t="s">
        <v>299</v>
      </c>
      <c r="D14" t="s">
        <v>427</v>
      </c>
      <c r="E14" t="s">
        <v>99</v>
      </c>
    </row>
    <row r="15" spans="1:5" x14ac:dyDescent="0.25">
      <c r="A15" t="s">
        <v>533</v>
      </c>
      <c r="B15" t="s">
        <v>516</v>
      </c>
      <c r="C15" t="s">
        <v>64</v>
      </c>
      <c r="D15" t="s">
        <v>430</v>
      </c>
      <c r="E15" t="s">
        <v>99</v>
      </c>
    </row>
    <row r="16" spans="1:5" x14ac:dyDescent="0.25">
      <c r="A16" t="s">
        <v>534</v>
      </c>
      <c r="B16" t="s">
        <v>516</v>
      </c>
      <c r="C16" t="s">
        <v>64</v>
      </c>
      <c r="D16" t="s">
        <v>431</v>
      </c>
      <c r="E16" t="s">
        <v>99</v>
      </c>
    </row>
    <row r="17" spans="1:5" x14ac:dyDescent="0.25">
      <c r="A17" t="s">
        <v>535</v>
      </c>
      <c r="B17" t="s">
        <v>516</v>
      </c>
      <c r="C17" t="s">
        <v>64</v>
      </c>
      <c r="D17" t="s">
        <v>432</v>
      </c>
      <c r="E17" t="s">
        <v>99</v>
      </c>
    </row>
    <row r="18" spans="1:5" x14ac:dyDescent="0.25">
      <c r="A18" t="s">
        <v>536</v>
      </c>
      <c r="B18" t="s">
        <v>516</v>
      </c>
      <c r="C18" t="s">
        <v>64</v>
      </c>
      <c r="D18" t="s">
        <v>433</v>
      </c>
      <c r="E18" t="s">
        <v>99</v>
      </c>
    </row>
    <row r="20" spans="1:5" ht="18" thickBot="1" x14ac:dyDescent="0.4">
      <c r="A20" s="89" t="s">
        <v>635</v>
      </c>
      <c r="B20" s="89"/>
      <c r="C20" s="89"/>
      <c r="D20" s="89"/>
      <c r="E20" s="89"/>
    </row>
    <row r="21" spans="1:5" ht="13.8" thickTop="1" x14ac:dyDescent="0.25">
      <c r="A21" t="s">
        <v>541</v>
      </c>
      <c r="B21" t="s">
        <v>516</v>
      </c>
      <c r="C21" t="s">
        <v>64</v>
      </c>
      <c r="D21" t="s">
        <v>211</v>
      </c>
      <c r="E21" t="s">
        <v>46</v>
      </c>
    </row>
    <row r="23" spans="1:5" ht="18" thickBot="1" x14ac:dyDescent="0.4">
      <c r="A23" s="89" t="s">
        <v>636</v>
      </c>
      <c r="B23" s="89"/>
      <c r="C23" s="89"/>
      <c r="D23" s="89"/>
      <c r="E23" s="89"/>
    </row>
    <row r="24" spans="1:5" ht="13.8" thickTop="1" x14ac:dyDescent="0.25">
      <c r="A24" t="s">
        <v>89</v>
      </c>
      <c r="B24" t="s">
        <v>13</v>
      </c>
      <c r="C24" t="s">
        <v>299</v>
      </c>
      <c r="D24" t="s">
        <v>90</v>
      </c>
      <c r="E24" t="s">
        <v>56</v>
      </c>
    </row>
    <row r="25" spans="1:5" x14ac:dyDescent="0.25">
      <c r="A25" t="s">
        <v>204</v>
      </c>
      <c r="B25" t="s">
        <v>13</v>
      </c>
      <c r="C25" t="s">
        <v>299</v>
      </c>
      <c r="D25" t="s">
        <v>205</v>
      </c>
      <c r="E25" t="s">
        <v>56</v>
      </c>
    </row>
    <row r="26" spans="1:5" x14ac:dyDescent="0.25">
      <c r="A26" t="s">
        <v>206</v>
      </c>
      <c r="B26" t="s">
        <v>13</v>
      </c>
      <c r="C26" t="s">
        <v>299</v>
      </c>
      <c r="D26" t="s">
        <v>207</v>
      </c>
      <c r="E26" t="s">
        <v>56</v>
      </c>
    </row>
    <row r="28" spans="1:5" ht="18" thickBot="1" x14ac:dyDescent="0.4">
      <c r="A28" s="89" t="s">
        <v>637</v>
      </c>
      <c r="B28" s="89"/>
      <c r="C28" s="89"/>
      <c r="D28" s="89"/>
      <c r="E28" s="89"/>
    </row>
    <row r="29" spans="1:5" ht="13.8" thickTop="1" x14ac:dyDescent="0.25">
      <c r="A29" t="s">
        <v>259</v>
      </c>
      <c r="B29" t="s">
        <v>516</v>
      </c>
      <c r="C29" t="s">
        <v>64</v>
      </c>
      <c r="D29" t="s">
        <v>262</v>
      </c>
      <c r="E29" t="s">
        <v>12</v>
      </c>
    </row>
    <row r="30" spans="1:5" x14ac:dyDescent="0.25">
      <c r="A30" t="s">
        <v>260</v>
      </c>
      <c r="B30" t="s">
        <v>516</v>
      </c>
      <c r="C30" t="s">
        <v>64</v>
      </c>
      <c r="D30" t="s">
        <v>263</v>
      </c>
      <c r="E30" t="s">
        <v>12</v>
      </c>
    </row>
    <row r="31" spans="1:5" x14ac:dyDescent="0.25">
      <c r="A31" t="s">
        <v>261</v>
      </c>
      <c r="B31" t="s">
        <v>516</v>
      </c>
      <c r="C31" t="s">
        <v>64</v>
      </c>
      <c r="D31" t="s">
        <v>264</v>
      </c>
      <c r="E31" t="s">
        <v>12</v>
      </c>
    </row>
    <row r="33" spans="1:5" ht="18" thickBot="1" x14ac:dyDescent="0.4">
      <c r="A33" s="89" t="s">
        <v>638</v>
      </c>
      <c r="B33" s="89"/>
      <c r="C33" s="89"/>
      <c r="D33" s="89"/>
      <c r="E33" s="89"/>
    </row>
    <row r="34" spans="1:5" ht="13.8" thickTop="1" x14ac:dyDescent="0.25">
      <c r="A34" t="s">
        <v>105</v>
      </c>
      <c r="B34" t="s">
        <v>516</v>
      </c>
      <c r="C34" t="s">
        <v>64</v>
      </c>
      <c r="D34" t="s">
        <v>106</v>
      </c>
      <c r="E34" t="s">
        <v>409</v>
      </c>
    </row>
    <row r="35" spans="1:5" x14ac:dyDescent="0.25">
      <c r="A35" t="s">
        <v>107</v>
      </c>
      <c r="B35" t="s">
        <v>516</v>
      </c>
      <c r="C35" t="s">
        <v>64</v>
      </c>
      <c r="D35" t="s">
        <v>108</v>
      </c>
      <c r="E35" t="s">
        <v>409</v>
      </c>
    </row>
    <row r="36" spans="1:5" x14ac:dyDescent="0.25">
      <c r="A36" t="s">
        <v>202</v>
      </c>
      <c r="B36" t="s">
        <v>516</v>
      </c>
      <c r="C36" t="s">
        <v>64</v>
      </c>
      <c r="D36" t="s">
        <v>203</v>
      </c>
      <c r="E36" t="s">
        <v>409</v>
      </c>
    </row>
    <row r="38" spans="1:5" ht="18" thickBot="1" x14ac:dyDescent="0.4">
      <c r="A38" s="89" t="s">
        <v>639</v>
      </c>
      <c r="B38" s="89"/>
      <c r="C38" s="89"/>
      <c r="D38" s="89"/>
      <c r="E38" s="89"/>
    </row>
    <row r="39" spans="1:5" ht="13.8" thickTop="1" x14ac:dyDescent="0.25">
      <c r="A39" t="s">
        <v>169</v>
      </c>
      <c r="B39" t="s">
        <v>516</v>
      </c>
      <c r="C39" t="s">
        <v>64</v>
      </c>
      <c r="D39" t="s">
        <v>168</v>
      </c>
      <c r="E39" t="s">
        <v>46</v>
      </c>
    </row>
    <row r="41" spans="1:5" ht="18" thickBot="1" x14ac:dyDescent="0.4">
      <c r="A41" s="89" t="s">
        <v>640</v>
      </c>
      <c r="B41" s="89"/>
      <c r="C41" s="89"/>
      <c r="D41" s="89"/>
      <c r="E41" s="89"/>
    </row>
    <row r="42" spans="1:5" ht="13.8" thickTop="1" x14ac:dyDescent="0.25">
      <c r="A42" t="s">
        <v>508</v>
      </c>
      <c r="B42" t="s">
        <v>300</v>
      </c>
      <c r="C42" t="s">
        <v>300</v>
      </c>
      <c r="D42" t="s">
        <v>270</v>
      </c>
      <c r="E42" t="s">
        <v>46</v>
      </c>
    </row>
    <row r="44" spans="1:5" ht="18" thickBot="1" x14ac:dyDescent="0.4">
      <c r="A44" s="89" t="s">
        <v>641</v>
      </c>
      <c r="B44" s="89"/>
      <c r="C44" s="89"/>
      <c r="D44" s="89"/>
      <c r="E44" s="89"/>
    </row>
    <row r="45" spans="1:5" ht="13.8" thickTop="1" x14ac:dyDescent="0.25">
      <c r="A45" t="s">
        <v>509</v>
      </c>
      <c r="B45" t="s">
        <v>300</v>
      </c>
      <c r="C45" t="s">
        <v>300</v>
      </c>
      <c r="D45" t="s">
        <v>273</v>
      </c>
      <c r="E45" t="s">
        <v>46</v>
      </c>
    </row>
  </sheetData>
  <mergeCells count="1">
    <mergeCell ref="A1:E3"/>
  </mergeCells>
  <phoneticPr fontId="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E11"/>
  <sheetViews>
    <sheetView workbookViewId="0">
      <selection activeCell="A4" sqref="A4:D4"/>
    </sheetView>
  </sheetViews>
  <sheetFormatPr baseColWidth="10" defaultColWidth="11.44140625" defaultRowHeight="13.2" x14ac:dyDescent="0.25"/>
  <cols>
    <col min="1" max="1" width="23" bestFit="1" customWidth="1"/>
    <col min="2" max="2" width="7.5546875" bestFit="1" customWidth="1"/>
    <col min="3" max="3" width="10.88671875" bestFit="1" customWidth="1"/>
    <col min="4" max="4" width="28.88671875" bestFit="1" customWidth="1"/>
  </cols>
  <sheetData>
    <row r="1" spans="1:5" ht="19.5" customHeight="1" x14ac:dyDescent="0.25">
      <c r="A1" s="117" t="s">
        <v>563</v>
      </c>
      <c r="B1" s="117"/>
      <c r="C1" s="117"/>
      <c r="D1" s="117"/>
      <c r="E1" s="117"/>
    </row>
    <row r="2" spans="1:5" x14ac:dyDescent="0.25">
      <c r="A2" s="117"/>
      <c r="B2" s="117"/>
      <c r="C2" s="117"/>
      <c r="D2" s="117"/>
      <c r="E2" s="117"/>
    </row>
    <row r="3" spans="1:5" ht="13.8" thickBot="1" x14ac:dyDescent="0.3">
      <c r="A3" s="118"/>
      <c r="B3" s="118"/>
      <c r="C3" s="118"/>
      <c r="D3" s="118"/>
      <c r="E3" s="118"/>
    </row>
    <row r="4" spans="1:5" ht="13.8" thickTop="1" x14ac:dyDescent="0.25">
      <c r="A4" s="88" t="s">
        <v>653</v>
      </c>
      <c r="B4" s="88" t="s">
        <v>567</v>
      </c>
      <c r="C4" s="88" t="s">
        <v>656</v>
      </c>
      <c r="D4" s="88" t="s">
        <v>566</v>
      </c>
      <c r="E4" t="s">
        <v>654</v>
      </c>
    </row>
    <row r="10" spans="1:5" ht="18" thickBot="1" x14ac:dyDescent="0.4">
      <c r="A10" s="89" t="s">
        <v>652</v>
      </c>
      <c r="B10" s="89"/>
      <c r="C10" s="89"/>
      <c r="D10" s="89"/>
      <c r="E10" s="89"/>
    </row>
    <row r="11" spans="1:5" ht="13.8" thickTop="1" x14ac:dyDescent="0.25">
      <c r="A11" t="s">
        <v>201</v>
      </c>
      <c r="B11" t="s">
        <v>516</v>
      </c>
      <c r="C11" t="s">
        <v>64</v>
      </c>
      <c r="D11" t="s">
        <v>198</v>
      </c>
      <c r="E11" t="s">
        <v>46</v>
      </c>
    </row>
  </sheetData>
  <mergeCells count="1">
    <mergeCell ref="A1:E3"/>
  </mergeCells>
  <phoneticPr fontId="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D39"/>
  <sheetViews>
    <sheetView workbookViewId="0">
      <selection activeCell="B8" sqref="B8"/>
    </sheetView>
  </sheetViews>
  <sheetFormatPr baseColWidth="10" defaultColWidth="11.44140625" defaultRowHeight="13.2" x14ac:dyDescent="0.25"/>
  <cols>
    <col min="1" max="1" width="12.44140625" customWidth="1"/>
    <col min="2" max="2" width="15.44140625" bestFit="1" customWidth="1"/>
    <col min="3" max="3" width="15.44140625" customWidth="1"/>
  </cols>
  <sheetData>
    <row r="1" spans="2:4" ht="14.4" x14ac:dyDescent="0.3">
      <c r="B1" s="9" t="s">
        <v>517</v>
      </c>
      <c r="C1" s="9"/>
      <c r="D1" s="9" t="s">
        <v>518</v>
      </c>
    </row>
    <row r="2" spans="2:4" x14ac:dyDescent="0.25">
      <c r="B2" t="s">
        <v>696</v>
      </c>
      <c r="D2" t="s">
        <v>688</v>
      </c>
    </row>
    <row r="3" spans="2:4" x14ac:dyDescent="0.25">
      <c r="B3" t="s">
        <v>5</v>
      </c>
      <c r="D3" t="s">
        <v>154</v>
      </c>
    </row>
    <row r="4" spans="2:4" x14ac:dyDescent="0.25">
      <c r="B4" t="s">
        <v>697</v>
      </c>
      <c r="D4" t="s">
        <v>690</v>
      </c>
    </row>
    <row r="5" spans="2:4" x14ac:dyDescent="0.25">
      <c r="B5" t="s">
        <v>8</v>
      </c>
      <c r="D5" t="s">
        <v>683</v>
      </c>
    </row>
    <row r="6" spans="2:4" x14ac:dyDescent="0.25">
      <c r="B6" t="s">
        <v>698</v>
      </c>
      <c r="D6" t="s">
        <v>689</v>
      </c>
    </row>
    <row r="7" spans="2:4" x14ac:dyDescent="0.25">
      <c r="B7" t="s">
        <v>475</v>
      </c>
      <c r="D7" t="s">
        <v>668</v>
      </c>
    </row>
    <row r="8" spans="2:4" x14ac:dyDescent="0.25">
      <c r="B8" t="s">
        <v>699</v>
      </c>
      <c r="D8" t="s">
        <v>476</v>
      </c>
    </row>
    <row r="9" spans="2:4" x14ac:dyDescent="0.25">
      <c r="B9" t="s">
        <v>7</v>
      </c>
      <c r="D9" t="s">
        <v>664</v>
      </c>
    </row>
    <row r="10" spans="2:4" x14ac:dyDescent="0.25">
      <c r="D10" t="s">
        <v>101</v>
      </c>
    </row>
    <row r="11" spans="2:4" x14ac:dyDescent="0.25">
      <c r="D11" t="s">
        <v>671</v>
      </c>
    </row>
    <row r="12" spans="2:4" x14ac:dyDescent="0.25">
      <c r="D12" t="s">
        <v>670</v>
      </c>
    </row>
    <row r="13" spans="2:4" x14ac:dyDescent="0.25">
      <c r="D13" t="s">
        <v>676</v>
      </c>
    </row>
    <row r="14" spans="2:4" x14ac:dyDescent="0.25">
      <c r="D14" t="s">
        <v>694</v>
      </c>
    </row>
    <row r="15" spans="2:4" x14ac:dyDescent="0.25">
      <c r="D15" t="s">
        <v>680</v>
      </c>
    </row>
    <row r="16" spans="2:4" x14ac:dyDescent="0.25">
      <c r="D16" t="s">
        <v>665</v>
      </c>
    </row>
    <row r="17" spans="4:4" x14ac:dyDescent="0.25">
      <c r="D17" t="s">
        <v>685</v>
      </c>
    </row>
    <row r="18" spans="4:4" x14ac:dyDescent="0.25">
      <c r="D18" t="s">
        <v>677</v>
      </c>
    </row>
    <row r="19" spans="4:4" x14ac:dyDescent="0.25">
      <c r="D19" t="s">
        <v>662</v>
      </c>
    </row>
    <row r="20" spans="4:4" x14ac:dyDescent="0.25">
      <c r="D20" t="s">
        <v>667</v>
      </c>
    </row>
    <row r="21" spans="4:4" x14ac:dyDescent="0.25">
      <c r="D21" t="s">
        <v>666</v>
      </c>
    </row>
    <row r="22" spans="4:4" x14ac:dyDescent="0.25">
      <c r="D22" t="s">
        <v>658</v>
      </c>
    </row>
    <row r="23" spans="4:4" x14ac:dyDescent="0.25">
      <c r="D23" t="s">
        <v>669</v>
      </c>
    </row>
    <row r="24" spans="4:4" x14ac:dyDescent="0.25">
      <c r="D24" s="1" t="s">
        <v>672</v>
      </c>
    </row>
    <row r="25" spans="4:4" x14ac:dyDescent="0.25">
      <c r="D25" t="s">
        <v>691</v>
      </c>
    </row>
    <row r="26" spans="4:4" x14ac:dyDescent="0.25">
      <c r="D26" t="s">
        <v>674</v>
      </c>
    </row>
    <row r="27" spans="4:4" x14ac:dyDescent="0.25">
      <c r="D27" t="s">
        <v>695</v>
      </c>
    </row>
    <row r="28" spans="4:4" x14ac:dyDescent="0.25">
      <c r="D28" t="s">
        <v>692</v>
      </c>
    </row>
    <row r="29" spans="4:4" x14ac:dyDescent="0.25">
      <c r="D29" t="s">
        <v>663</v>
      </c>
    </row>
    <row r="30" spans="4:4" x14ac:dyDescent="0.25">
      <c r="D30" t="s">
        <v>681</v>
      </c>
    </row>
    <row r="31" spans="4:4" x14ac:dyDescent="0.25">
      <c r="D31" t="s">
        <v>682</v>
      </c>
    </row>
    <row r="32" spans="4:4" x14ac:dyDescent="0.25">
      <c r="D32" t="s">
        <v>686</v>
      </c>
    </row>
    <row r="33" spans="4:4" x14ac:dyDescent="0.25">
      <c r="D33" t="s">
        <v>675</v>
      </c>
    </row>
    <row r="34" spans="4:4" x14ac:dyDescent="0.25">
      <c r="D34" t="s">
        <v>693</v>
      </c>
    </row>
    <row r="35" spans="4:4" x14ac:dyDescent="0.25">
      <c r="D35" t="s">
        <v>684</v>
      </c>
    </row>
    <row r="36" spans="4:4" x14ac:dyDescent="0.25">
      <c r="D36" t="s">
        <v>678</v>
      </c>
    </row>
    <row r="37" spans="4:4" x14ac:dyDescent="0.25">
      <c r="D37" t="s">
        <v>687</v>
      </c>
    </row>
    <row r="38" spans="4:4" x14ac:dyDescent="0.25">
      <c r="D38" t="s">
        <v>679</v>
      </c>
    </row>
    <row r="39" spans="4:4" x14ac:dyDescent="0.25">
      <c r="D39" s="1" t="s">
        <v>673</v>
      </c>
    </row>
  </sheetData>
  <dataConsolidate/>
  <phoneticPr fontId="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vt:i4>
      </vt:variant>
    </vt:vector>
  </HeadingPairs>
  <TitlesOfParts>
    <vt:vector size="17" baseType="lpstr">
      <vt:lpstr>Arborescence - V3R0</vt:lpstr>
      <vt:lpstr>Inputs Geometry</vt:lpstr>
      <vt:lpstr>Outputs Geometry</vt:lpstr>
      <vt:lpstr>Inputs Aerodynamics</vt:lpstr>
      <vt:lpstr>Outputs Aerodynamics</vt:lpstr>
      <vt:lpstr>Inputs Propulsion</vt:lpstr>
      <vt:lpstr>Outputs Propulsion</vt:lpstr>
      <vt:lpstr>Inputs Structure</vt:lpstr>
      <vt:lpstr>Outputs Structure</vt:lpstr>
      <vt:lpstr>Inputs Mission</vt:lpstr>
      <vt:lpstr>Outputs Mission</vt:lpstr>
      <vt:lpstr>Inputs QdV</vt:lpstr>
      <vt:lpstr>Outputs QdV</vt:lpstr>
      <vt:lpstr>Listes MC</vt:lpstr>
      <vt:lpstr>InputFileKeys</vt:lpstr>
      <vt:lpstr>sousGroupesDisponibles</vt:lpstr>
      <vt:lpstr>variablesAndFlux</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Lafage</cp:lastModifiedBy>
  <cp:lastPrinted>2017-03-07T09:45:17Z</cp:lastPrinted>
  <dcterms:created xsi:type="dcterms:W3CDTF">1996-10-21T11:03:58Z</dcterms:created>
  <dcterms:modified xsi:type="dcterms:W3CDTF">2017-04-17T20:40:05Z</dcterms:modified>
</cp:coreProperties>
</file>