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8C4F1C90-05EB-6A55-5F09-09C24B55AC0B}"/>
  <workbookPr codeName="ThisWorkbook" defaultThemeVersion="124226"/>
  <bookViews>
    <workbookView xWindow="-1260" yWindow="3435" windowWidth="20730" windowHeight="8685" tabRatio="952"/>
  </bookViews>
  <sheets>
    <sheet name="Arborescence - V3R0" sheetId="1" r:id="rId1"/>
    <sheet name="Inputs Geometry" sheetId="27" r:id="rId2"/>
    <sheet name="Outputs Geometry" sheetId="33" r:id="rId3"/>
    <sheet name="Inputs Aerodynamics" sheetId="28" r:id="rId4"/>
    <sheet name="Outputs Aerodynamics" sheetId="34" r:id="rId5"/>
    <sheet name="Inputs Propulsion" sheetId="29" r:id="rId6"/>
    <sheet name="Outputs Propulsion" sheetId="35" r:id="rId7"/>
    <sheet name="Inputs Structure" sheetId="30" r:id="rId8"/>
    <sheet name="Outputs Structure" sheetId="36" r:id="rId9"/>
    <sheet name="Inputs Mission" sheetId="31" r:id="rId10"/>
    <sheet name="Outputs Mission" sheetId="37" r:id="rId11"/>
    <sheet name="Inputs QdV" sheetId="32" r:id="rId12"/>
    <sheet name="Outputs QdV" sheetId="38" r:id="rId13"/>
    <sheet name="Listes MC" sheetId="2" r:id="rId14"/>
  </sheets>
  <definedNames>
    <definedName name="_xlnm._FilterDatabase" localSheetId="0" hidden="1">'Arborescence - V3R0'!$B$15:$S$248</definedName>
    <definedName name="InputFileKeys">'Arborescence - V3R0'!$AL$16:$AN$27</definedName>
    <definedName name="sousGroupesDisponibles">'Listes MC'!$D$2:$D$39</definedName>
    <definedName name="variablesAndFlux">'Arborescence - V3R0'!$Y$15:$AJ$248</definedName>
  </definedNames>
  <calcPr calcId="145621"/>
</workbook>
</file>

<file path=xl/calcChain.xml><?xml version="1.0" encoding="utf-8"?>
<calcChain xmlns="http://schemas.openxmlformats.org/spreadsheetml/2006/main">
  <c r="AA17" i="1"/>
  <c r="AA18"/>
  <c r="AA19"/>
  <c r="AA20"/>
  <c r="AA21"/>
  <c r="AA22"/>
  <c r="AA23"/>
  <c r="AA24"/>
  <c r="AA25"/>
  <c r="AA26"/>
  <c r="AA27"/>
  <c r="AA28"/>
  <c r="AA29"/>
  <c r="AA30"/>
  <c r="AA31"/>
  <c r="AA32"/>
  <c r="AA33"/>
  <c r="AA34"/>
  <c r="AA35"/>
  <c r="AA36"/>
  <c r="AA37"/>
  <c r="AA38"/>
  <c r="AA39"/>
  <c r="AA40"/>
  <c r="AA41"/>
  <c r="AA42"/>
  <c r="AA43"/>
  <c r="AA44"/>
  <c r="AA45"/>
  <c r="AA46"/>
  <c r="AA47"/>
  <c r="AA48"/>
  <c r="AA49"/>
  <c r="AA50"/>
  <c r="AA51"/>
  <c r="AA52"/>
  <c r="AA53"/>
  <c r="AA54"/>
  <c r="AA55"/>
  <c r="AA56"/>
  <c r="AA57"/>
  <c r="AA58"/>
  <c r="AA59"/>
  <c r="AA60"/>
  <c r="AA61"/>
  <c r="AA62"/>
  <c r="AA63"/>
  <c r="AA64"/>
  <c r="AA65"/>
  <c r="AA66"/>
  <c r="AA67"/>
  <c r="AA68"/>
  <c r="AA69"/>
  <c r="AA70"/>
  <c r="AA71"/>
  <c r="AA72"/>
  <c r="AA73"/>
  <c r="AA74"/>
  <c r="AA75"/>
  <c r="AA76"/>
  <c r="AA77"/>
  <c r="AA78"/>
  <c r="AA79"/>
  <c r="AA80"/>
  <c r="AA81"/>
  <c r="AA82"/>
  <c r="AA83"/>
  <c r="AA84"/>
  <c r="AA85"/>
  <c r="AA86"/>
  <c r="AA87"/>
  <c r="AA88"/>
  <c r="AA89"/>
  <c r="AA90"/>
  <c r="AA91"/>
  <c r="AA92"/>
  <c r="AA93"/>
  <c r="AA94"/>
  <c r="AA95"/>
  <c r="AA96"/>
  <c r="AA97"/>
  <c r="AA98"/>
  <c r="AA99"/>
  <c r="AA100"/>
  <c r="AA101"/>
  <c r="AA102"/>
  <c r="AA103"/>
  <c r="AA104"/>
  <c r="AA105"/>
  <c r="AA106"/>
  <c r="AA107"/>
  <c r="AA108"/>
  <c r="AA109"/>
  <c r="AA110"/>
  <c r="AA111"/>
  <c r="AA112"/>
  <c r="AA113"/>
  <c r="AA114"/>
  <c r="AA115"/>
  <c r="AA116"/>
  <c r="AA117"/>
  <c r="AA118"/>
  <c r="AA119"/>
  <c r="AA120"/>
  <c r="AA121"/>
  <c r="AA122"/>
  <c r="AA123"/>
  <c r="AA124"/>
  <c r="AA125"/>
  <c r="AA126"/>
  <c r="AA127"/>
  <c r="AA128"/>
  <c r="AA129"/>
  <c r="AA130"/>
  <c r="AA131"/>
  <c r="AA132"/>
  <c r="AA133"/>
  <c r="AA134"/>
  <c r="AA135"/>
  <c r="AA136"/>
  <c r="AA137"/>
  <c r="AA138"/>
  <c r="AA139"/>
  <c r="AA140"/>
  <c r="AA141"/>
  <c r="AA142"/>
  <c r="AA143"/>
  <c r="AA144"/>
  <c r="AA145"/>
  <c r="AA146"/>
  <c r="AA147"/>
  <c r="AA148"/>
  <c r="AA149"/>
  <c r="AA150"/>
  <c r="AA151"/>
  <c r="AA152"/>
  <c r="AA153"/>
  <c r="AA154"/>
  <c r="AA155"/>
  <c r="AA156"/>
  <c r="AA157"/>
  <c r="AA158"/>
  <c r="AA159"/>
  <c r="AA160"/>
  <c r="AA161"/>
  <c r="AA162"/>
  <c r="AA163"/>
  <c r="AA164"/>
  <c r="AA165"/>
  <c r="AA166"/>
  <c r="AA167"/>
  <c r="AA168"/>
  <c r="AA169"/>
  <c r="AA170"/>
  <c r="AA171"/>
  <c r="AA172"/>
  <c r="AA173"/>
  <c r="AA174"/>
  <c r="AA175"/>
  <c r="AA176"/>
  <c r="AA177"/>
  <c r="AA178"/>
  <c r="AA179"/>
  <c r="AA180"/>
  <c r="AA181"/>
  <c r="AA182"/>
  <c r="AA183"/>
  <c r="AA184"/>
  <c r="AA185"/>
  <c r="AA186"/>
  <c r="AA187"/>
  <c r="AA188"/>
  <c r="AA189"/>
  <c r="AA190"/>
  <c r="AA191"/>
  <c r="AA192"/>
  <c r="AA193"/>
  <c r="AA194"/>
  <c r="AA195"/>
  <c r="AA196"/>
  <c r="AA197"/>
  <c r="AA198"/>
  <c r="AA199"/>
  <c r="AA200"/>
  <c r="AA201"/>
  <c r="AA202"/>
  <c r="AA203"/>
  <c r="AA204"/>
  <c r="AA205"/>
  <c r="AA206"/>
  <c r="AA207"/>
  <c r="AA208"/>
  <c r="AA209"/>
  <c r="AA210"/>
  <c r="AA211"/>
  <c r="AA212"/>
  <c r="AA213"/>
  <c r="AA214"/>
  <c r="AA215"/>
  <c r="AA216"/>
  <c r="AA217"/>
  <c r="AA218"/>
  <c r="AA219"/>
  <c r="AA220"/>
  <c r="AA221"/>
  <c r="AA222"/>
  <c r="AA223"/>
  <c r="AA224"/>
  <c r="AA225"/>
  <c r="AA226"/>
  <c r="AA227"/>
  <c r="AA228"/>
  <c r="AA229"/>
  <c r="AA230"/>
  <c r="AA231"/>
  <c r="AA232"/>
  <c r="AA233"/>
  <c r="AA234"/>
  <c r="AA235"/>
  <c r="AA236"/>
  <c r="AA237"/>
  <c r="AA238"/>
  <c r="AA239"/>
  <c r="AA240"/>
  <c r="AA241"/>
  <c r="AA242"/>
  <c r="AA243"/>
  <c r="AA244"/>
  <c r="AA245"/>
  <c r="AA246"/>
  <c r="AA247"/>
  <c r="AA248"/>
  <c r="AA16"/>
  <c r="Y17"/>
  <c r="AD17"/>
  <c r="Z17"/>
  <c r="AB17"/>
  <c r="AC17"/>
  <c r="Y18"/>
  <c r="AD18"/>
  <c r="Z18"/>
  <c r="AB18"/>
  <c r="AC18"/>
  <c r="Y19"/>
  <c r="AD19"/>
  <c r="Z19"/>
  <c r="AB19"/>
  <c r="AC19"/>
  <c r="Y20"/>
  <c r="AD20"/>
  <c r="Z20"/>
  <c r="AB20"/>
  <c r="AC20"/>
  <c r="Y21"/>
  <c r="AD21"/>
  <c r="Z21"/>
  <c r="AB21"/>
  <c r="AC21"/>
  <c r="Y22"/>
  <c r="AD22"/>
  <c r="Z22"/>
  <c r="AB22"/>
  <c r="AC22"/>
  <c r="Y23"/>
  <c r="AD23"/>
  <c r="Z23"/>
  <c r="AB23"/>
  <c r="AC23"/>
  <c r="Y24"/>
  <c r="AD24"/>
  <c r="Z24"/>
  <c r="AB24"/>
  <c r="AC24"/>
  <c r="Y25"/>
  <c r="AD25"/>
  <c r="Z25"/>
  <c r="AB25"/>
  <c r="AC25"/>
  <c r="Y26"/>
  <c r="AD26"/>
  <c r="Z26"/>
  <c r="AB26"/>
  <c r="AC26"/>
  <c r="Y27"/>
  <c r="AD27"/>
  <c r="Z27"/>
  <c r="AB27"/>
  <c r="AC27"/>
  <c r="Y28"/>
  <c r="AD28"/>
  <c r="Z28"/>
  <c r="AB28"/>
  <c r="AC28"/>
  <c r="Y29"/>
  <c r="AD29"/>
  <c r="Z29"/>
  <c r="AB29"/>
  <c r="AC29"/>
  <c r="Y30"/>
  <c r="AD30"/>
  <c r="Z30"/>
  <c r="AB30"/>
  <c r="AC30"/>
  <c r="Y31"/>
  <c r="AD31"/>
  <c r="Z31"/>
  <c r="AB31"/>
  <c r="AC31"/>
  <c r="Y32"/>
  <c r="AD32"/>
  <c r="Z32"/>
  <c r="AB32"/>
  <c r="AC32"/>
  <c r="Y33"/>
  <c r="AD33"/>
  <c r="Z33"/>
  <c r="AB33"/>
  <c r="AC33"/>
  <c r="Y34"/>
  <c r="AD34"/>
  <c r="Z34"/>
  <c r="AB34"/>
  <c r="AC34"/>
  <c r="Y35"/>
  <c r="AD35"/>
  <c r="Z35"/>
  <c r="AB35"/>
  <c r="AC35"/>
  <c r="Y36"/>
  <c r="AD36"/>
  <c r="Z36"/>
  <c r="AB36"/>
  <c r="AC36"/>
  <c r="Y37"/>
  <c r="AD37"/>
  <c r="Z37"/>
  <c r="AB37"/>
  <c r="AC37"/>
  <c r="Y38"/>
  <c r="AD38"/>
  <c r="Z38"/>
  <c r="AB38"/>
  <c r="AC38"/>
  <c r="Y39"/>
  <c r="AD39"/>
  <c r="Z39"/>
  <c r="AB39"/>
  <c r="AC39"/>
  <c r="Y40"/>
  <c r="AD40"/>
  <c r="Z40"/>
  <c r="AB40"/>
  <c r="AC40"/>
  <c r="Y41"/>
  <c r="AD41"/>
  <c r="Z41"/>
  <c r="AB41"/>
  <c r="AC41"/>
  <c r="Y42"/>
  <c r="AD42"/>
  <c r="Z42"/>
  <c r="AB42"/>
  <c r="AC42"/>
  <c r="Y43"/>
  <c r="AD43"/>
  <c r="Z43"/>
  <c r="AB43"/>
  <c r="AC43"/>
  <c r="Y44"/>
  <c r="AD44"/>
  <c r="Z44"/>
  <c r="AB44"/>
  <c r="AC44"/>
  <c r="Y45"/>
  <c r="AD45"/>
  <c r="Z45"/>
  <c r="AB45"/>
  <c r="AC45"/>
  <c r="Y46"/>
  <c r="AD46"/>
  <c r="Z46"/>
  <c r="AB46"/>
  <c r="AC46"/>
  <c r="Y47"/>
  <c r="AD47"/>
  <c r="Z47"/>
  <c r="AB47"/>
  <c r="AC47"/>
  <c r="Y48"/>
  <c r="AD48"/>
  <c r="Z48"/>
  <c r="AB48"/>
  <c r="AC48"/>
  <c r="Y49"/>
  <c r="AD49"/>
  <c r="Z49"/>
  <c r="AB49"/>
  <c r="AC49"/>
  <c r="Y50"/>
  <c r="AD50"/>
  <c r="Z50"/>
  <c r="AB50"/>
  <c r="AC50"/>
  <c r="Y51"/>
  <c r="AD51"/>
  <c r="Z51"/>
  <c r="AB51"/>
  <c r="AC51"/>
  <c r="Y52"/>
  <c r="AD52"/>
  <c r="Z52"/>
  <c r="AB52"/>
  <c r="AC52"/>
  <c r="Y53"/>
  <c r="AD53"/>
  <c r="Z53"/>
  <c r="AB53"/>
  <c r="AC53"/>
  <c r="Y54"/>
  <c r="AD54"/>
  <c r="Z54"/>
  <c r="AB54"/>
  <c r="AC54"/>
  <c r="Y55"/>
  <c r="AD55"/>
  <c r="Z55"/>
  <c r="AB55"/>
  <c r="AC55"/>
  <c r="Y56"/>
  <c r="AD56"/>
  <c r="Z56"/>
  <c r="AB56"/>
  <c r="AC56"/>
  <c r="Y57"/>
  <c r="AD57"/>
  <c r="Z57"/>
  <c r="AB57"/>
  <c r="AC57"/>
  <c r="Y58"/>
  <c r="AD58"/>
  <c r="Z58"/>
  <c r="AB58"/>
  <c r="AC58"/>
  <c r="Y59"/>
  <c r="AD59"/>
  <c r="Z59"/>
  <c r="AB59"/>
  <c r="AC59"/>
  <c r="Y60"/>
  <c r="AD60"/>
  <c r="Z60"/>
  <c r="AB60"/>
  <c r="AC60"/>
  <c r="Y61"/>
  <c r="AD61"/>
  <c r="Z61"/>
  <c r="AB61"/>
  <c r="AC61"/>
  <c r="Y62"/>
  <c r="AD62"/>
  <c r="Z62"/>
  <c r="AB62"/>
  <c r="AC62"/>
  <c r="Y63"/>
  <c r="AD63"/>
  <c r="Z63"/>
  <c r="AB63"/>
  <c r="AC63"/>
  <c r="Y64"/>
  <c r="AD64"/>
  <c r="Z64"/>
  <c r="AB64"/>
  <c r="AC64"/>
  <c r="Y65"/>
  <c r="AD65"/>
  <c r="Z65"/>
  <c r="AB65"/>
  <c r="AC65"/>
  <c r="Y66"/>
  <c r="AD66"/>
  <c r="Z66"/>
  <c r="AB66"/>
  <c r="AC66"/>
  <c r="Y67"/>
  <c r="AD67"/>
  <c r="Z67"/>
  <c r="AB67"/>
  <c r="AC67"/>
  <c r="Y68"/>
  <c r="AD68"/>
  <c r="Z68"/>
  <c r="AB68"/>
  <c r="AC68"/>
  <c r="Y69"/>
  <c r="AD69"/>
  <c r="Z69"/>
  <c r="AB69"/>
  <c r="AC69"/>
  <c r="Y70"/>
  <c r="AD70"/>
  <c r="Z70"/>
  <c r="AB70"/>
  <c r="AC70"/>
  <c r="Y71"/>
  <c r="AD71"/>
  <c r="Z71"/>
  <c r="AB71"/>
  <c r="AC71"/>
  <c r="Y72"/>
  <c r="AD72"/>
  <c r="Z72"/>
  <c r="AB72"/>
  <c r="AC72"/>
  <c r="Y73"/>
  <c r="AD73"/>
  <c r="Z73"/>
  <c r="AB73"/>
  <c r="AC73"/>
  <c r="Y74"/>
  <c r="AD74"/>
  <c r="Z74"/>
  <c r="AB74"/>
  <c r="AC74"/>
  <c r="Y75"/>
  <c r="AD75"/>
  <c r="Z75"/>
  <c r="AB75"/>
  <c r="AC75"/>
  <c r="Y76"/>
  <c r="AD76"/>
  <c r="Z76"/>
  <c r="AB76"/>
  <c r="AC76"/>
  <c r="Y77"/>
  <c r="AD77"/>
  <c r="Z77"/>
  <c r="AB77"/>
  <c r="AC77"/>
  <c r="Y78"/>
  <c r="AD78"/>
  <c r="Z78"/>
  <c r="AB78"/>
  <c r="AC78"/>
  <c r="Y79"/>
  <c r="AD79"/>
  <c r="Z79"/>
  <c r="AB79"/>
  <c r="AC79"/>
  <c r="Y80"/>
  <c r="AD80"/>
  <c r="Z80"/>
  <c r="AB80"/>
  <c r="AC80"/>
  <c r="Y81"/>
  <c r="AD81"/>
  <c r="Z81"/>
  <c r="AB81"/>
  <c r="AC81"/>
  <c r="Y82"/>
  <c r="AD82"/>
  <c r="Z82"/>
  <c r="AB82"/>
  <c r="AC82"/>
  <c r="Y83"/>
  <c r="AD83"/>
  <c r="Z83"/>
  <c r="AB83"/>
  <c r="AC83"/>
  <c r="Y84"/>
  <c r="AD84"/>
  <c r="Z84"/>
  <c r="AB84"/>
  <c r="AC84"/>
  <c r="Y85"/>
  <c r="AD85"/>
  <c r="Z85"/>
  <c r="AB85"/>
  <c r="AC85"/>
  <c r="Y86"/>
  <c r="AD86"/>
  <c r="Z86"/>
  <c r="AB86"/>
  <c r="AC86"/>
  <c r="Y87"/>
  <c r="AD87"/>
  <c r="Z87"/>
  <c r="AB87"/>
  <c r="AC87"/>
  <c r="Y88"/>
  <c r="AD88"/>
  <c r="Z88"/>
  <c r="AB88"/>
  <c r="AC88"/>
  <c r="Y89"/>
  <c r="AD89"/>
  <c r="Z89"/>
  <c r="AB89"/>
  <c r="AC89"/>
  <c r="Y90"/>
  <c r="AD90"/>
  <c r="Z90"/>
  <c r="AB90"/>
  <c r="AC90"/>
  <c r="Y91"/>
  <c r="AD91"/>
  <c r="Z91"/>
  <c r="AB91"/>
  <c r="AC91"/>
  <c r="Y92"/>
  <c r="AD92"/>
  <c r="Z92"/>
  <c r="AB92"/>
  <c r="AC92"/>
  <c r="Y93"/>
  <c r="AD93"/>
  <c r="Z93"/>
  <c r="AB93"/>
  <c r="AC93"/>
  <c r="Y94"/>
  <c r="AD94"/>
  <c r="Z94"/>
  <c r="AB94"/>
  <c r="AC94"/>
  <c r="Y95"/>
  <c r="AD95"/>
  <c r="Z95"/>
  <c r="AB95"/>
  <c r="AC95"/>
  <c r="Y96"/>
  <c r="AD96"/>
  <c r="Z96"/>
  <c r="AB96"/>
  <c r="AC96"/>
  <c r="Y97"/>
  <c r="AD97"/>
  <c r="Z97"/>
  <c r="AB97"/>
  <c r="AC97"/>
  <c r="Y98"/>
  <c r="AD98"/>
  <c r="Z98"/>
  <c r="AB98"/>
  <c r="AC98"/>
  <c r="Y99"/>
  <c r="AD99"/>
  <c r="Z99"/>
  <c r="AB99"/>
  <c r="AC99"/>
  <c r="Y100"/>
  <c r="AD100"/>
  <c r="Z100"/>
  <c r="AB100"/>
  <c r="AC100"/>
  <c r="Y101"/>
  <c r="AD101"/>
  <c r="Z101"/>
  <c r="AB101"/>
  <c r="AC101"/>
  <c r="Y102"/>
  <c r="AD102"/>
  <c r="Z102"/>
  <c r="AB102"/>
  <c r="AC102"/>
  <c r="Y103"/>
  <c r="AD103"/>
  <c r="Z103"/>
  <c r="AB103"/>
  <c r="AC103"/>
  <c r="Y104"/>
  <c r="AD104"/>
  <c r="Z104"/>
  <c r="AB104"/>
  <c r="AC104"/>
  <c r="Y105"/>
  <c r="AD105"/>
  <c r="Z105"/>
  <c r="AB105"/>
  <c r="AC105"/>
  <c r="Y106"/>
  <c r="AD106"/>
  <c r="Z106"/>
  <c r="AB106"/>
  <c r="AC106"/>
  <c r="Y107"/>
  <c r="AD107"/>
  <c r="Z107"/>
  <c r="AB107"/>
  <c r="AC107"/>
  <c r="Y108"/>
  <c r="AD108"/>
  <c r="Z108"/>
  <c r="AB108"/>
  <c r="AC108"/>
  <c r="Y109"/>
  <c r="AD109"/>
  <c r="Z109"/>
  <c r="AB109"/>
  <c r="AC109"/>
  <c r="Y110"/>
  <c r="AD110"/>
  <c r="Z110"/>
  <c r="AB110"/>
  <c r="AC110"/>
  <c r="Y111"/>
  <c r="AD111"/>
  <c r="Z111"/>
  <c r="AB111"/>
  <c r="AC111"/>
  <c r="Y112"/>
  <c r="AD112"/>
  <c r="Z112"/>
  <c r="AB112"/>
  <c r="AC112"/>
  <c r="Y113"/>
  <c r="AD113"/>
  <c r="Z113"/>
  <c r="AB113"/>
  <c r="AC113"/>
  <c r="Y114"/>
  <c r="AD114"/>
  <c r="Z114"/>
  <c r="AB114"/>
  <c r="AC114"/>
  <c r="Y115"/>
  <c r="AD115"/>
  <c r="Z115"/>
  <c r="AB115"/>
  <c r="AC115"/>
  <c r="Y116"/>
  <c r="AD116"/>
  <c r="Z116"/>
  <c r="AB116"/>
  <c r="AC116"/>
  <c r="Y117"/>
  <c r="AD117"/>
  <c r="Z117"/>
  <c r="AB117"/>
  <c r="AC117"/>
  <c r="Y118"/>
  <c r="AD118"/>
  <c r="Z118"/>
  <c r="AB118"/>
  <c r="AC118"/>
  <c r="Y119"/>
  <c r="AD119"/>
  <c r="Z119"/>
  <c r="AB119"/>
  <c r="AC119"/>
  <c r="Y120"/>
  <c r="AD120"/>
  <c r="Z120"/>
  <c r="AB120"/>
  <c r="AC120"/>
  <c r="Y121"/>
  <c r="AD121"/>
  <c r="Z121"/>
  <c r="AB121"/>
  <c r="AC121"/>
  <c r="Y122"/>
  <c r="AD122"/>
  <c r="Z122"/>
  <c r="AB122"/>
  <c r="AC122"/>
  <c r="Y123"/>
  <c r="AD123"/>
  <c r="Z123"/>
  <c r="AB123"/>
  <c r="AC123"/>
  <c r="Y124"/>
  <c r="AD124"/>
  <c r="Z124"/>
  <c r="AB124"/>
  <c r="AC124"/>
  <c r="Y125"/>
  <c r="AD125"/>
  <c r="Z125"/>
  <c r="AB125"/>
  <c r="AC125"/>
  <c r="Y126"/>
  <c r="AD126"/>
  <c r="Z126"/>
  <c r="AB126"/>
  <c r="AC126"/>
  <c r="Y127"/>
  <c r="AD127"/>
  <c r="Z127"/>
  <c r="AB127"/>
  <c r="AC127"/>
  <c r="Y128"/>
  <c r="AD128"/>
  <c r="Z128"/>
  <c r="AB128"/>
  <c r="AC128"/>
  <c r="Y129"/>
  <c r="AD129"/>
  <c r="Z129"/>
  <c r="AB129"/>
  <c r="AC129"/>
  <c r="Y130"/>
  <c r="AD130"/>
  <c r="Z130"/>
  <c r="AB130"/>
  <c r="AC130"/>
  <c r="Y131"/>
  <c r="AD131"/>
  <c r="Z131"/>
  <c r="AB131"/>
  <c r="AC131"/>
  <c r="Y132"/>
  <c r="AD132"/>
  <c r="Z132"/>
  <c r="AB132"/>
  <c r="AC132"/>
  <c r="Y133"/>
  <c r="AD133"/>
  <c r="Z133"/>
  <c r="AB133"/>
  <c r="AC133"/>
  <c r="Y134"/>
  <c r="AD134"/>
  <c r="Z134"/>
  <c r="AB134"/>
  <c r="AC134"/>
  <c r="Y135"/>
  <c r="AD135"/>
  <c r="Z135"/>
  <c r="AB135"/>
  <c r="AC135"/>
  <c r="Y136"/>
  <c r="AD136"/>
  <c r="Z136"/>
  <c r="AB136"/>
  <c r="AC136"/>
  <c r="Y137"/>
  <c r="AD137"/>
  <c r="Z137"/>
  <c r="AB137"/>
  <c r="AC137"/>
  <c r="Y138"/>
  <c r="AD138"/>
  <c r="Z138"/>
  <c r="AB138"/>
  <c r="AC138"/>
  <c r="Y139"/>
  <c r="AD139"/>
  <c r="Z139"/>
  <c r="AB139"/>
  <c r="AC139"/>
  <c r="Y140"/>
  <c r="AD140"/>
  <c r="Z140"/>
  <c r="AB140"/>
  <c r="AC140"/>
  <c r="Y141"/>
  <c r="AD141"/>
  <c r="Z141"/>
  <c r="AB141"/>
  <c r="AC141"/>
  <c r="Y142"/>
  <c r="AD142"/>
  <c r="Z142"/>
  <c r="AB142"/>
  <c r="AC142"/>
  <c r="Y143"/>
  <c r="AD143"/>
  <c r="Z143"/>
  <c r="AB143"/>
  <c r="AC143"/>
  <c r="Y144"/>
  <c r="AD144"/>
  <c r="Z144"/>
  <c r="AB144"/>
  <c r="AC144"/>
  <c r="Y145"/>
  <c r="AD145"/>
  <c r="Z145"/>
  <c r="AB145"/>
  <c r="AC145"/>
  <c r="Y146"/>
  <c r="AD146"/>
  <c r="Z146"/>
  <c r="AB146"/>
  <c r="AC146"/>
  <c r="Y147"/>
  <c r="AD147"/>
  <c r="Z147"/>
  <c r="AB147"/>
  <c r="AC147"/>
  <c r="Y148"/>
  <c r="AD148"/>
  <c r="Z148"/>
  <c r="AB148"/>
  <c r="AC148"/>
  <c r="Y149"/>
  <c r="AD149"/>
  <c r="Z149"/>
  <c r="AB149"/>
  <c r="AC149"/>
  <c r="Y150"/>
  <c r="AD150"/>
  <c r="Z150"/>
  <c r="AB150"/>
  <c r="AC150"/>
  <c r="Y151"/>
  <c r="AD151"/>
  <c r="Z151"/>
  <c r="AB151"/>
  <c r="AC151"/>
  <c r="Y152"/>
  <c r="AD152"/>
  <c r="Z152"/>
  <c r="AB152"/>
  <c r="AC152"/>
  <c r="Y153"/>
  <c r="AD153"/>
  <c r="Z153"/>
  <c r="AB153"/>
  <c r="AC153"/>
  <c r="Y154"/>
  <c r="AD154"/>
  <c r="Z154"/>
  <c r="AB154"/>
  <c r="AC154"/>
  <c r="Y155"/>
  <c r="AD155"/>
  <c r="Z155"/>
  <c r="AB155"/>
  <c r="AC155"/>
  <c r="Y156"/>
  <c r="AD156"/>
  <c r="Z156"/>
  <c r="AB156"/>
  <c r="AC156"/>
  <c r="Y157"/>
  <c r="AD157"/>
  <c r="Z157"/>
  <c r="AB157"/>
  <c r="AC157"/>
  <c r="Y158"/>
  <c r="AD158"/>
  <c r="Z158"/>
  <c r="AB158"/>
  <c r="AC158"/>
  <c r="Y159"/>
  <c r="AD159"/>
  <c r="Z159"/>
  <c r="AB159"/>
  <c r="AC159"/>
  <c r="Y160"/>
  <c r="AD160"/>
  <c r="Z160"/>
  <c r="AB160"/>
  <c r="AC160"/>
  <c r="Y161"/>
  <c r="AD161"/>
  <c r="Z161"/>
  <c r="AB161"/>
  <c r="AC161"/>
  <c r="Y162"/>
  <c r="AD162"/>
  <c r="Z162"/>
  <c r="AB162"/>
  <c r="AC162"/>
  <c r="Y163"/>
  <c r="AD163"/>
  <c r="Z163"/>
  <c r="AB163"/>
  <c r="AC163"/>
  <c r="Y164"/>
  <c r="AD164"/>
  <c r="Z164"/>
  <c r="AB164"/>
  <c r="AC164"/>
  <c r="Y165"/>
  <c r="AD165"/>
  <c r="Z165"/>
  <c r="AB165"/>
  <c r="AC165"/>
  <c r="Y166"/>
  <c r="AD166"/>
  <c r="Z166"/>
  <c r="AB166"/>
  <c r="AC166"/>
  <c r="Y167"/>
  <c r="AD167"/>
  <c r="Z167"/>
  <c r="AB167"/>
  <c r="AC167"/>
  <c r="Y168"/>
  <c r="AD168"/>
  <c r="Z168"/>
  <c r="AB168"/>
  <c r="AC168"/>
  <c r="Y169"/>
  <c r="AD169"/>
  <c r="Z169"/>
  <c r="AB169"/>
  <c r="AC169"/>
  <c r="Y170"/>
  <c r="AD170"/>
  <c r="Z170"/>
  <c r="AB170"/>
  <c r="AC170"/>
  <c r="Y171"/>
  <c r="AD171"/>
  <c r="Z171"/>
  <c r="AB171"/>
  <c r="AC171"/>
  <c r="Y172"/>
  <c r="AD172"/>
  <c r="Z172"/>
  <c r="AB172"/>
  <c r="AC172"/>
  <c r="Y173"/>
  <c r="AD173"/>
  <c r="Z173"/>
  <c r="AB173"/>
  <c r="AC173"/>
  <c r="Y174"/>
  <c r="AD174"/>
  <c r="Z174"/>
  <c r="AB174"/>
  <c r="AC174"/>
  <c r="Y175"/>
  <c r="AD175"/>
  <c r="Z175"/>
  <c r="AB175"/>
  <c r="AC175"/>
  <c r="Y176"/>
  <c r="AD176"/>
  <c r="Z176"/>
  <c r="AB176"/>
  <c r="AC176"/>
  <c r="Y177"/>
  <c r="AD177"/>
  <c r="Z177"/>
  <c r="AB177"/>
  <c r="AC177"/>
  <c r="Y178"/>
  <c r="AD178"/>
  <c r="Z178"/>
  <c r="AB178"/>
  <c r="AC178"/>
  <c r="Y179"/>
  <c r="AD179"/>
  <c r="Z179"/>
  <c r="AB179"/>
  <c r="AC179"/>
  <c r="Y180"/>
  <c r="AD180"/>
  <c r="Z180"/>
  <c r="AB180"/>
  <c r="AC180"/>
  <c r="Y181"/>
  <c r="AD181"/>
  <c r="Z181"/>
  <c r="AB181"/>
  <c r="AC181"/>
  <c r="Y182"/>
  <c r="AD182"/>
  <c r="Z182"/>
  <c r="AB182"/>
  <c r="AC182"/>
  <c r="Y183"/>
  <c r="AD183"/>
  <c r="Z183"/>
  <c r="AB183"/>
  <c r="AC183"/>
  <c r="Y184"/>
  <c r="AD184"/>
  <c r="Z184"/>
  <c r="AB184"/>
  <c r="AC184"/>
  <c r="Y185"/>
  <c r="AD185"/>
  <c r="Z185"/>
  <c r="AB185"/>
  <c r="AC185"/>
  <c r="Y186"/>
  <c r="AD186"/>
  <c r="Z186"/>
  <c r="AB186"/>
  <c r="AC186"/>
  <c r="Y187"/>
  <c r="AD187"/>
  <c r="Z187"/>
  <c r="AB187"/>
  <c r="AC187"/>
  <c r="Y188"/>
  <c r="AD188"/>
  <c r="Z188"/>
  <c r="AB188"/>
  <c r="AC188"/>
  <c r="Y189"/>
  <c r="AD189"/>
  <c r="Z189"/>
  <c r="AB189"/>
  <c r="AC189"/>
  <c r="Y190"/>
  <c r="AD190"/>
  <c r="Z190"/>
  <c r="AB190"/>
  <c r="AC190"/>
  <c r="Y191"/>
  <c r="AD191"/>
  <c r="Z191"/>
  <c r="AB191"/>
  <c r="AC191"/>
  <c r="Y192"/>
  <c r="AD192"/>
  <c r="Z192"/>
  <c r="AB192"/>
  <c r="AC192"/>
  <c r="Y193"/>
  <c r="AD193"/>
  <c r="Z193"/>
  <c r="AB193"/>
  <c r="AC193"/>
  <c r="Y194"/>
  <c r="AD194"/>
  <c r="Z194"/>
  <c r="AB194"/>
  <c r="AC194"/>
  <c r="Y195"/>
  <c r="AD195"/>
  <c r="Z195"/>
  <c r="AB195"/>
  <c r="AC195"/>
  <c r="Y196"/>
  <c r="AD196"/>
  <c r="Z196"/>
  <c r="AB196"/>
  <c r="AC196"/>
  <c r="Y197"/>
  <c r="AD197"/>
  <c r="Z197"/>
  <c r="AB197"/>
  <c r="AC197"/>
  <c r="Y198"/>
  <c r="AD198"/>
  <c r="Z198"/>
  <c r="AB198"/>
  <c r="AC198"/>
  <c r="Y199"/>
  <c r="AD199"/>
  <c r="Z199"/>
  <c r="AB199"/>
  <c r="AC199"/>
  <c r="Y200"/>
  <c r="AD200"/>
  <c r="Z200"/>
  <c r="AB200"/>
  <c r="AC200"/>
  <c r="Y201"/>
  <c r="AD201"/>
  <c r="Z201"/>
  <c r="AB201"/>
  <c r="AC201"/>
  <c r="Y202"/>
  <c r="AD202"/>
  <c r="Z202"/>
  <c r="AB202"/>
  <c r="AC202"/>
  <c r="Y203"/>
  <c r="AD203"/>
  <c r="Z203"/>
  <c r="AB203"/>
  <c r="AC203"/>
  <c r="Y204"/>
  <c r="AD204"/>
  <c r="Z204"/>
  <c r="AB204"/>
  <c r="AC204"/>
  <c r="Y205"/>
  <c r="AD205"/>
  <c r="Z205"/>
  <c r="AB205"/>
  <c r="AC205"/>
  <c r="Y206"/>
  <c r="AD206"/>
  <c r="Z206"/>
  <c r="AB206"/>
  <c r="AC206"/>
  <c r="Y207"/>
  <c r="AD207"/>
  <c r="Z207"/>
  <c r="AB207"/>
  <c r="AC207"/>
  <c r="Y208"/>
  <c r="AD208"/>
  <c r="Z208"/>
  <c r="AB208"/>
  <c r="AC208"/>
  <c r="Y209"/>
  <c r="AD209"/>
  <c r="Z209"/>
  <c r="AB209"/>
  <c r="AC209"/>
  <c r="Y210"/>
  <c r="AD210"/>
  <c r="Z210"/>
  <c r="AB210"/>
  <c r="AC210"/>
  <c r="Y211"/>
  <c r="AD211"/>
  <c r="Z211"/>
  <c r="AB211"/>
  <c r="AC211"/>
  <c r="Y212"/>
  <c r="AD212"/>
  <c r="Z212"/>
  <c r="AB212"/>
  <c r="AC212"/>
  <c r="Y213"/>
  <c r="AD213"/>
  <c r="Z213"/>
  <c r="AB213"/>
  <c r="AC213"/>
  <c r="Y214"/>
  <c r="AD214"/>
  <c r="Z214"/>
  <c r="AB214"/>
  <c r="AC214"/>
  <c r="Y215"/>
  <c r="AD215"/>
  <c r="Z215"/>
  <c r="AB215"/>
  <c r="AC215"/>
  <c r="Y216"/>
  <c r="AD216"/>
  <c r="Z216"/>
  <c r="AB216"/>
  <c r="AC216"/>
  <c r="Y217"/>
  <c r="AD217"/>
  <c r="Z217"/>
  <c r="AB217"/>
  <c r="AC217"/>
  <c r="Y218"/>
  <c r="AD218"/>
  <c r="Z218"/>
  <c r="AB218"/>
  <c r="AC218"/>
  <c r="Y219"/>
  <c r="AD219"/>
  <c r="Z219"/>
  <c r="AB219"/>
  <c r="AC219"/>
  <c r="Y220"/>
  <c r="AD220"/>
  <c r="Z220"/>
  <c r="AB220"/>
  <c r="AC220"/>
  <c r="Y221"/>
  <c r="AD221"/>
  <c r="Z221"/>
  <c r="AB221"/>
  <c r="AC221"/>
  <c r="Y222"/>
  <c r="AD222"/>
  <c r="Z222"/>
  <c r="AB222"/>
  <c r="AC222"/>
  <c r="Y223"/>
  <c r="AD223"/>
  <c r="Z223"/>
  <c r="AB223"/>
  <c r="AC223"/>
  <c r="Y224"/>
  <c r="AD224"/>
  <c r="Z224"/>
  <c r="AB224"/>
  <c r="AC224"/>
  <c r="Y225"/>
  <c r="AD225"/>
  <c r="Z225"/>
  <c r="AB225"/>
  <c r="AC225"/>
  <c r="Y226"/>
  <c r="AD226"/>
  <c r="Z226"/>
  <c r="AB226"/>
  <c r="AC226"/>
  <c r="Y227"/>
  <c r="AD227"/>
  <c r="Z227"/>
  <c r="AB227"/>
  <c r="AC227"/>
  <c r="Y228"/>
  <c r="AD228"/>
  <c r="Z228"/>
  <c r="AB228"/>
  <c r="AC228"/>
  <c r="Y229"/>
  <c r="AD229"/>
  <c r="Z229"/>
  <c r="AB229"/>
  <c r="AC229"/>
  <c r="Y230"/>
  <c r="AD230"/>
  <c r="Z230"/>
  <c r="AB230"/>
  <c r="AC230"/>
  <c r="Y231"/>
  <c r="AD231"/>
  <c r="Z231"/>
  <c r="AB231"/>
  <c r="AC231"/>
  <c r="Y232"/>
  <c r="AD232"/>
  <c r="Z232"/>
  <c r="AB232"/>
  <c r="AC232"/>
  <c r="Y233"/>
  <c r="AD233"/>
  <c r="Z233"/>
  <c r="AB233"/>
  <c r="AC233"/>
  <c r="Y234"/>
  <c r="AD234"/>
  <c r="Z234"/>
  <c r="AB234"/>
  <c r="AC234"/>
  <c r="Y235"/>
  <c r="AD235"/>
  <c r="Z235"/>
  <c r="AB235"/>
  <c r="AC235"/>
  <c r="Y236"/>
  <c r="AD236"/>
  <c r="Z236"/>
  <c r="AB236"/>
  <c r="AC236"/>
  <c r="Y237"/>
  <c r="AD237"/>
  <c r="Z237"/>
  <c r="AB237"/>
  <c r="AC237"/>
  <c r="Y238"/>
  <c r="AD238"/>
  <c r="Z238"/>
  <c r="AB238"/>
  <c r="AC238"/>
  <c r="Y239"/>
  <c r="AD239"/>
  <c r="Z239"/>
  <c r="AB239"/>
  <c r="AC239"/>
  <c r="Y240"/>
  <c r="AD240"/>
  <c r="Z240"/>
  <c r="AB240"/>
  <c r="AC240"/>
  <c r="Y241"/>
  <c r="AD241"/>
  <c r="Z241"/>
  <c r="AB241"/>
  <c r="AC241"/>
  <c r="Y242"/>
  <c r="AD242"/>
  <c r="Z242"/>
  <c r="AB242"/>
  <c r="AC242"/>
  <c r="Y243"/>
  <c r="AD243"/>
  <c r="Z243"/>
  <c r="AB243"/>
  <c r="AC243"/>
  <c r="Y244"/>
  <c r="AD244"/>
  <c r="Z244"/>
  <c r="AB244"/>
  <c r="AC244"/>
  <c r="Y245"/>
  <c r="AD245"/>
  <c r="Z245"/>
  <c r="AB245"/>
  <c r="AC245"/>
  <c r="Y246"/>
  <c r="AD246"/>
  <c r="Z246"/>
  <c r="AB246"/>
  <c r="AC246"/>
  <c r="Y247"/>
  <c r="AD247"/>
  <c r="Z247"/>
  <c r="AB247"/>
  <c r="AC247"/>
  <c r="Y248"/>
  <c r="AD248"/>
  <c r="Z248"/>
  <c r="AB248"/>
  <c r="AC248"/>
  <c r="AC16"/>
  <c r="Y16"/>
  <c r="Z16"/>
  <c r="AB16"/>
  <c r="AD16"/>
  <c r="AI237"/>
  <c r="AH236"/>
  <c r="AI238"/>
  <c r="AG237"/>
  <c r="AJ236"/>
  <c r="AJ237"/>
  <c r="AH237"/>
  <c r="AJ239"/>
  <c r="AE237"/>
  <c r="AE239"/>
  <c r="AH238"/>
  <c r="AH239"/>
  <c r="AF239"/>
  <c r="AE236"/>
  <c r="AG239"/>
  <c r="AF238"/>
  <c r="AG236"/>
  <c r="AF237"/>
  <c r="AE238"/>
  <c r="AF236"/>
  <c r="AI236"/>
  <c r="AI239"/>
  <c r="AJ238"/>
  <c r="AG238"/>
  <c r="AJ196"/>
  <c r="AG196"/>
  <c r="AI196"/>
  <c r="AE195"/>
  <c r="AF197"/>
  <c r="AF196"/>
  <c r="AH197"/>
  <c r="AG195"/>
  <c r="AJ197"/>
  <c r="AF195"/>
  <c r="AJ195"/>
  <c r="AE196"/>
  <c r="AI195"/>
  <c r="AF194"/>
  <c r="AG194"/>
  <c r="AG197"/>
  <c r="AI197"/>
  <c r="AI194"/>
  <c r="AH196"/>
  <c r="AH194"/>
  <c r="AJ194"/>
  <c r="AE197"/>
  <c r="AH195"/>
  <c r="AE194"/>
  <c r="AI193"/>
  <c r="AH193"/>
  <c r="AJ193"/>
  <c r="AE193"/>
  <c r="AG193"/>
  <c r="AF193"/>
  <c r="AG187"/>
  <c r="AI185"/>
  <c r="AF188"/>
  <c r="AJ188"/>
  <c r="AH188"/>
  <c r="AG185"/>
  <c r="AF185"/>
  <c r="AI187"/>
  <c r="AE188"/>
  <c r="AI186"/>
  <c r="AG188"/>
  <c r="AF187"/>
  <c r="AI188"/>
  <c r="AJ186"/>
  <c r="AH186"/>
  <c r="AF186"/>
  <c r="AH185"/>
  <c r="AH187"/>
  <c r="AE186"/>
  <c r="AE187"/>
  <c r="AE185"/>
  <c r="AJ185"/>
  <c r="AJ187"/>
  <c r="AG186"/>
  <c r="AI135"/>
  <c r="AG139"/>
  <c r="AF138"/>
  <c r="AH135"/>
  <c r="AJ139"/>
  <c r="AI136"/>
  <c r="AH125"/>
  <c r="AI138"/>
  <c r="AI137"/>
  <c r="AG136"/>
  <c r="AE135"/>
  <c r="AG138"/>
  <c r="AE138"/>
  <c r="AF136"/>
  <c r="AE125"/>
  <c r="AI125"/>
  <c r="AJ125"/>
  <c r="AJ138"/>
  <c r="AG135"/>
  <c r="AI139"/>
  <c r="AF135"/>
  <c r="AE139"/>
  <c r="AG137"/>
  <c r="AF139"/>
  <c r="AF137"/>
  <c r="AE136"/>
  <c r="AJ136"/>
  <c r="AF125"/>
  <c r="AG125"/>
  <c r="AJ137"/>
  <c r="AH139"/>
  <c r="AH137"/>
  <c r="AH136"/>
  <c r="AJ135"/>
  <c r="AE137"/>
  <c r="AH138"/>
  <c r="AG248"/>
  <c r="AE248"/>
  <c r="AH248"/>
  <c r="AI248"/>
  <c r="AF248"/>
  <c r="AJ248"/>
  <c r="AG247"/>
  <c r="AJ247"/>
  <c r="AH247"/>
  <c r="AF247"/>
  <c r="AI247"/>
  <c r="AE247"/>
  <c r="AI246"/>
  <c r="AG246"/>
  <c r="AF246"/>
  <c r="AE246"/>
  <c r="AH246"/>
  <c r="AJ246"/>
  <c r="AF243"/>
  <c r="AI245"/>
  <c r="AI244"/>
  <c r="AH244"/>
  <c r="AJ244"/>
  <c r="AJ243"/>
  <c r="AJ245"/>
  <c r="AF242"/>
  <c r="AJ242"/>
  <c r="AH242"/>
  <c r="AG245"/>
  <c r="AE242"/>
  <c r="AG244"/>
  <c r="AE245"/>
  <c r="AI243"/>
  <c r="AI242"/>
  <c r="AG243"/>
  <c r="AF244"/>
  <c r="AH243"/>
  <c r="AE243"/>
  <c r="AE244"/>
  <c r="AG242"/>
  <c r="AF245"/>
  <c r="AH245"/>
  <c r="AI241"/>
  <c r="AF241"/>
  <c r="AJ241"/>
  <c r="AE241"/>
  <c r="AH241"/>
  <c r="AG241"/>
  <c r="AG240"/>
  <c r="AH240"/>
  <c r="AE240"/>
  <c r="AF240"/>
  <c r="AJ240"/>
  <c r="AI240"/>
  <c r="AG232"/>
  <c r="AF235"/>
  <c r="AH235"/>
  <c r="AI234"/>
  <c r="AH232"/>
  <c r="AG234"/>
  <c r="AI232"/>
  <c r="AJ233"/>
  <c r="AF234"/>
  <c r="AI233"/>
  <c r="AI235"/>
  <c r="AG235"/>
  <c r="AF232"/>
  <c r="AE235"/>
  <c r="AJ232"/>
  <c r="AJ235"/>
  <c r="AE234"/>
  <c r="AJ234"/>
  <c r="AF233"/>
  <c r="AH233"/>
  <c r="AH234"/>
  <c r="AG233"/>
  <c r="AE232"/>
  <c r="AE233"/>
  <c r="AF231"/>
  <c r="AJ231"/>
  <c r="AI231"/>
  <c r="AG231"/>
  <c r="AE231"/>
  <c r="AH231"/>
  <c r="AF230"/>
  <c r="AE230"/>
  <c r="AI229"/>
  <c r="AI230"/>
  <c r="AH228"/>
  <c r="AG229"/>
  <c r="AG228"/>
  <c r="AF229"/>
  <c r="AH229"/>
  <c r="AF228"/>
  <c r="AG230"/>
  <c r="AJ228"/>
  <c r="AJ229"/>
  <c r="AE228"/>
  <c r="AE229"/>
  <c r="AI228"/>
  <c r="AJ230"/>
  <c r="AH230"/>
  <c r="AF227"/>
  <c r="AE227"/>
  <c r="AI227"/>
  <c r="AG227"/>
  <c r="AH227"/>
  <c r="AJ227"/>
  <c r="AF216"/>
  <c r="AJ220"/>
  <c r="AI225"/>
  <c r="AI222"/>
  <c r="AJ225"/>
  <c r="AE221"/>
  <c r="AE226"/>
  <c r="AH221"/>
  <c r="AI220"/>
  <c r="AH226"/>
  <c r="AF222"/>
  <c r="AH220"/>
  <c r="AG219"/>
  <c r="AJ224"/>
  <c r="AJ219"/>
  <c r="AJ221"/>
  <c r="AJ217"/>
  <c r="AI224"/>
  <c r="AG222"/>
  <c r="AE216"/>
  <c r="AH219"/>
  <c r="AI223"/>
  <c r="AE225"/>
  <c r="AE218"/>
  <c r="AH222"/>
  <c r="AG224"/>
  <c r="AJ223"/>
  <c r="AH223"/>
  <c r="AF218"/>
  <c r="AF220"/>
  <c r="AF223"/>
  <c r="AG217"/>
  <c r="AE223"/>
  <c r="AJ218"/>
  <c r="AF217"/>
  <c r="AJ226"/>
  <c r="AI218"/>
  <c r="AI217"/>
  <c r="AF221"/>
  <c r="AH217"/>
  <c r="AI216"/>
  <c r="AF219"/>
  <c r="AE224"/>
  <c r="AG221"/>
  <c r="AJ216"/>
  <c r="AH216"/>
  <c r="AG220"/>
  <c r="AH224"/>
  <c r="AG216"/>
  <c r="AI221"/>
  <c r="AG225"/>
  <c r="AH225"/>
  <c r="AI226"/>
  <c r="AE220"/>
  <c r="AG223"/>
  <c r="AF226"/>
  <c r="AI219"/>
  <c r="AE219"/>
  <c r="AH218"/>
  <c r="AJ222"/>
  <c r="AF225"/>
  <c r="AE217"/>
  <c r="AG218"/>
  <c r="AE222"/>
  <c r="AG226"/>
  <c r="AF224"/>
  <c r="AG215"/>
  <c r="AF215"/>
  <c r="AE215"/>
  <c r="AI215"/>
  <c r="AH215"/>
  <c r="AJ215"/>
  <c r="AI214"/>
  <c r="AG214"/>
  <c r="AH214"/>
  <c r="AJ213"/>
  <c r="AI213"/>
  <c r="AH213"/>
  <c r="AF213"/>
  <c r="AE214"/>
  <c r="AE213"/>
  <c r="AG213"/>
  <c r="AJ214"/>
  <c r="AF214"/>
  <c r="AJ212"/>
  <c r="AF212"/>
  <c r="AI212"/>
  <c r="AH212"/>
  <c r="AE212"/>
  <c r="AG212"/>
  <c r="AI211"/>
  <c r="AE211"/>
  <c r="AJ210"/>
  <c r="AG210"/>
  <c r="AG211"/>
  <c r="AH210"/>
  <c r="AJ211"/>
  <c r="AE210"/>
  <c r="AI210"/>
  <c r="AF210"/>
  <c r="AF211"/>
  <c r="AH211"/>
  <c r="AI209"/>
  <c r="AJ209"/>
  <c r="AF209"/>
  <c r="AH209"/>
  <c r="AE209"/>
  <c r="AG209"/>
  <c r="AJ208"/>
  <c r="AF208"/>
  <c r="AE208"/>
  <c r="AI208"/>
  <c r="AG208"/>
  <c r="AH208"/>
  <c r="AJ207"/>
  <c r="AE207"/>
  <c r="AH207"/>
  <c r="AG207"/>
  <c r="AF207"/>
  <c r="AI207"/>
  <c r="AH206"/>
  <c r="AI206"/>
  <c r="AJ206"/>
  <c r="AF206"/>
  <c r="AE206"/>
  <c r="AG206"/>
  <c r="AE205"/>
  <c r="AI205"/>
  <c r="AJ205"/>
  <c r="AH205"/>
  <c r="AF205"/>
  <c r="AG205"/>
  <c r="AH204"/>
  <c r="AJ204"/>
  <c r="AG204"/>
  <c r="AF204"/>
  <c r="AI204"/>
  <c r="AE204"/>
  <c r="AG203"/>
  <c r="AJ203"/>
  <c r="AI203"/>
  <c r="AH203"/>
  <c r="AF203"/>
  <c r="AE203"/>
  <c r="AJ202"/>
  <c r="AI202"/>
  <c r="AG202"/>
  <c r="AF202"/>
  <c r="AH202"/>
  <c r="AE202"/>
  <c r="AF200"/>
  <c r="AG199"/>
  <c r="AI200"/>
  <c r="AJ200"/>
  <c r="AI199"/>
  <c r="AJ201"/>
  <c r="AE201"/>
  <c r="AH199"/>
  <c r="AG200"/>
  <c r="AG201"/>
  <c r="AJ199"/>
  <c r="AH201"/>
  <c r="AH200"/>
  <c r="AF199"/>
  <c r="AE199"/>
  <c r="AE200"/>
  <c r="AF201"/>
  <c r="AI201"/>
  <c r="AH198"/>
  <c r="AI198"/>
  <c r="AF198"/>
  <c r="AJ198"/>
  <c r="AE198"/>
  <c r="AG198"/>
  <c r="AH192"/>
  <c r="AI192"/>
  <c r="AG192"/>
  <c r="AE192"/>
  <c r="AF192"/>
  <c r="AJ192"/>
  <c r="AG191"/>
  <c r="AI190"/>
  <c r="AG190"/>
  <c r="AH191"/>
  <c r="AE191"/>
  <c r="AF191"/>
  <c r="AH190"/>
  <c r="AJ191"/>
  <c r="AF190"/>
  <c r="AI191"/>
  <c r="AJ190"/>
  <c r="AE190"/>
  <c r="AG189"/>
  <c r="AI189"/>
  <c r="AJ189"/>
  <c r="AH189"/>
  <c r="AF189"/>
  <c r="AE189"/>
  <c r="AG184"/>
  <c r="AH184"/>
  <c r="AF184"/>
  <c r="AE184"/>
  <c r="AI184"/>
  <c r="AJ184"/>
  <c r="AH182"/>
  <c r="AH181"/>
  <c r="AF181"/>
  <c r="AG183"/>
  <c r="AJ182"/>
  <c r="AG181"/>
  <c r="AE181"/>
  <c r="AJ181"/>
  <c r="AE182"/>
  <c r="AF183"/>
  <c r="AI182"/>
  <c r="AE183"/>
  <c r="AF182"/>
  <c r="AH183"/>
  <c r="AI183"/>
  <c r="AI181"/>
  <c r="AJ183"/>
  <c r="AG182"/>
  <c r="AH180"/>
  <c r="AJ180"/>
  <c r="AG180"/>
  <c r="AF180"/>
  <c r="AE180"/>
  <c r="AI180"/>
  <c r="AG171"/>
  <c r="AI169"/>
  <c r="AI168"/>
  <c r="AF167"/>
  <c r="AI176"/>
  <c r="AI174"/>
  <c r="AF178"/>
  <c r="AG178"/>
  <c r="AJ178"/>
  <c r="AI163"/>
  <c r="AE162"/>
  <c r="AE170"/>
  <c r="AF176"/>
  <c r="AF174"/>
  <c r="AJ179"/>
  <c r="AH173"/>
  <c r="AI179"/>
  <c r="AG166"/>
  <c r="AE179"/>
  <c r="AF172"/>
  <c r="AF175"/>
  <c r="AG174"/>
  <c r="AG168"/>
  <c r="AH167"/>
  <c r="AJ167"/>
  <c r="AH177"/>
  <c r="AE164"/>
  <c r="AH162"/>
  <c r="AI161"/>
  <c r="AH174"/>
  <c r="AI173"/>
  <c r="AF173"/>
  <c r="AI172"/>
  <c r="AF165"/>
  <c r="AG163"/>
  <c r="AG161"/>
  <c r="AJ162"/>
  <c r="AJ174"/>
  <c r="AE168"/>
  <c r="AH179"/>
  <c r="AJ177"/>
  <c r="AE161"/>
  <c r="AE172"/>
  <c r="AJ176"/>
  <c r="AH176"/>
  <c r="AJ175"/>
  <c r="AH168"/>
  <c r="AF161"/>
  <c r="AE171"/>
  <c r="AJ164"/>
  <c r="AI177"/>
  <c r="AH178"/>
  <c r="AG177"/>
  <c r="AI178"/>
  <c r="AG169"/>
  <c r="AF163"/>
  <c r="AG172"/>
  <c r="AJ168"/>
  <c r="AI166"/>
  <c r="AF170"/>
  <c r="AJ173"/>
  <c r="AI164"/>
  <c r="AE173"/>
  <c r="AE166"/>
  <c r="AF164"/>
  <c r="AG162"/>
  <c r="AG164"/>
  <c r="AF166"/>
  <c r="AE177"/>
  <c r="AH163"/>
  <c r="AJ170"/>
  <c r="AG176"/>
  <c r="AI175"/>
  <c r="AH172"/>
  <c r="AG179"/>
  <c r="AJ161"/>
  <c r="AI170"/>
  <c r="AE176"/>
  <c r="AH165"/>
  <c r="AF168"/>
  <c r="AI165"/>
  <c r="AH164"/>
  <c r="AH161"/>
  <c r="AJ166"/>
  <c r="AF169"/>
  <c r="AG165"/>
  <c r="AG175"/>
  <c r="AJ171"/>
  <c r="AF177"/>
  <c r="AI171"/>
  <c r="AI162"/>
  <c r="AE175"/>
  <c r="AH170"/>
  <c r="AI167"/>
  <c r="AH171"/>
  <c r="AJ163"/>
  <c r="AG173"/>
  <c r="AH169"/>
  <c r="AE163"/>
  <c r="AE178"/>
  <c r="AH166"/>
  <c r="AJ169"/>
  <c r="AJ165"/>
  <c r="AG167"/>
  <c r="AE169"/>
  <c r="AJ172"/>
  <c r="AF171"/>
  <c r="AF162"/>
  <c r="AE167"/>
  <c r="AF179"/>
  <c r="AG170"/>
  <c r="AE165"/>
  <c r="AH175"/>
  <c r="AE174"/>
  <c r="AG160"/>
  <c r="AH160"/>
  <c r="AE160"/>
  <c r="AI160"/>
  <c r="AF160"/>
  <c r="AJ160"/>
  <c r="AI151"/>
  <c r="AF146"/>
  <c r="AG155"/>
  <c r="AI155"/>
  <c r="AJ152"/>
  <c r="AI154"/>
  <c r="AJ151"/>
  <c r="AI148"/>
  <c r="AH144"/>
  <c r="AI157"/>
  <c r="AF155"/>
  <c r="AE152"/>
  <c r="AI146"/>
  <c r="AJ158"/>
  <c r="AH155"/>
  <c r="AH149"/>
  <c r="AH156"/>
  <c r="AH154"/>
  <c r="AJ147"/>
  <c r="AI150"/>
  <c r="AF151"/>
  <c r="AE155"/>
  <c r="AH150"/>
  <c r="AH151"/>
  <c r="AG157"/>
  <c r="AE153"/>
  <c r="AE154"/>
  <c r="AE144"/>
  <c r="AJ154"/>
  <c r="AF150"/>
  <c r="AI145"/>
  <c r="AJ156"/>
  <c r="AF157"/>
  <c r="AF149"/>
  <c r="AJ153"/>
  <c r="AH152"/>
  <c r="AF145"/>
  <c r="AG156"/>
  <c r="AE156"/>
  <c r="AF156"/>
  <c r="AG158"/>
  <c r="AG145"/>
  <c r="AF158"/>
  <c r="AF154"/>
  <c r="AJ148"/>
  <c r="AF144"/>
  <c r="AJ145"/>
  <c r="AH157"/>
  <c r="AH146"/>
  <c r="AF153"/>
  <c r="AI159"/>
  <c r="AF147"/>
  <c r="AJ146"/>
  <c r="AI153"/>
  <c r="AI156"/>
  <c r="AE147"/>
  <c r="AJ157"/>
  <c r="AH159"/>
  <c r="AJ144"/>
  <c r="AF159"/>
  <c r="AE146"/>
  <c r="AH148"/>
  <c r="AF152"/>
  <c r="AG149"/>
  <c r="AF148"/>
  <c r="AG148"/>
  <c r="AG154"/>
  <c r="AG151"/>
  <c r="AG152"/>
  <c r="AG144"/>
  <c r="AH153"/>
  <c r="AH145"/>
  <c r="AE157"/>
  <c r="AG153"/>
  <c r="AG159"/>
  <c r="AG146"/>
  <c r="AI144"/>
  <c r="AE145"/>
  <c r="AE158"/>
  <c r="AI147"/>
  <c r="AI149"/>
  <c r="AH147"/>
  <c r="AJ155"/>
  <c r="AE148"/>
  <c r="AJ150"/>
  <c r="AI152"/>
  <c r="AE149"/>
  <c r="AE150"/>
  <c r="AH158"/>
  <c r="AE159"/>
  <c r="AG147"/>
  <c r="AJ149"/>
  <c r="AI158"/>
  <c r="AG150"/>
  <c r="AJ159"/>
  <c r="AE151"/>
  <c r="AE143"/>
  <c r="AG143"/>
  <c r="AH143"/>
  <c r="AI143"/>
  <c r="AJ143"/>
  <c r="AF143"/>
  <c r="AH141"/>
  <c r="AE142"/>
  <c r="AF141"/>
  <c r="AJ142"/>
  <c r="AG141"/>
  <c r="AI142"/>
  <c r="AG142"/>
  <c r="AF142"/>
  <c r="AE141"/>
  <c r="AH142"/>
  <c r="AJ141"/>
  <c r="AI141"/>
  <c r="AH140"/>
  <c r="AG140"/>
  <c r="AJ140"/>
  <c r="AE140"/>
  <c r="AF140"/>
  <c r="AI140"/>
  <c r="AJ132"/>
  <c r="AI132"/>
  <c r="AH131"/>
  <c r="AF133"/>
  <c r="AG134"/>
  <c r="AE131"/>
  <c r="AF132"/>
  <c r="AI133"/>
  <c r="AE132"/>
  <c r="AE133"/>
  <c r="AH132"/>
  <c r="AI131"/>
  <c r="AF131"/>
  <c r="AG132"/>
  <c r="AE134"/>
  <c r="AG133"/>
  <c r="AG131"/>
  <c r="AH134"/>
  <c r="AJ133"/>
  <c r="AJ131"/>
  <c r="AH133"/>
  <c r="AF134"/>
  <c r="AI134"/>
  <c r="AJ134"/>
  <c r="AE130"/>
  <c r="AI130"/>
  <c r="AG130"/>
  <c r="AH130"/>
  <c r="AF130"/>
  <c r="AJ130"/>
  <c r="AG129"/>
  <c r="AG127"/>
  <c r="AF129"/>
  <c r="AJ128"/>
  <c r="AJ129"/>
  <c r="AE129"/>
  <c r="AJ127"/>
  <c r="AG128"/>
  <c r="AH128"/>
  <c r="AI127"/>
  <c r="AE128"/>
  <c r="AI129"/>
  <c r="AI128"/>
  <c r="AH127"/>
  <c r="AF127"/>
  <c r="AH129"/>
  <c r="AE127"/>
  <c r="AF128"/>
  <c r="AF126"/>
  <c r="AG126"/>
  <c r="AH126"/>
  <c r="AI126"/>
  <c r="AE126"/>
  <c r="AJ126"/>
  <c r="AF124"/>
  <c r="AG124"/>
  <c r="AH124"/>
  <c r="AJ124"/>
  <c r="AE124"/>
  <c r="AI124"/>
  <c r="AJ123"/>
  <c r="AG123"/>
  <c r="AF123"/>
  <c r="AH123"/>
  <c r="AE123"/>
  <c r="AI123"/>
  <c r="AJ122"/>
  <c r="AE122"/>
  <c r="AI122"/>
  <c r="AF122"/>
  <c r="AH122"/>
  <c r="AG122"/>
  <c r="AG121"/>
  <c r="AJ121"/>
  <c r="AH121"/>
  <c r="AI121"/>
  <c r="AE121"/>
  <c r="AF121"/>
  <c r="AH116"/>
  <c r="AH120"/>
  <c r="AJ119"/>
  <c r="AE117"/>
  <c r="AF116"/>
  <c r="AH119"/>
  <c r="AI120"/>
  <c r="AF118"/>
  <c r="AE119"/>
  <c r="AI119"/>
  <c r="AH118"/>
  <c r="AH117"/>
  <c r="AE116"/>
  <c r="AG117"/>
  <c r="AF119"/>
  <c r="AE120"/>
  <c r="AF117"/>
  <c r="AJ120"/>
  <c r="AJ118"/>
  <c r="AI118"/>
  <c r="AI116"/>
  <c r="AG119"/>
  <c r="AG116"/>
  <c r="AF120"/>
  <c r="AG120"/>
  <c r="AI117"/>
  <c r="AG118"/>
  <c r="AJ117"/>
  <c r="AJ116"/>
  <c r="AE118"/>
  <c r="AF115"/>
  <c r="AJ115"/>
  <c r="AG115"/>
  <c r="AH115"/>
  <c r="AI115"/>
  <c r="AE115"/>
  <c r="AF110"/>
  <c r="AH114"/>
  <c r="AI113"/>
  <c r="AI110"/>
  <c r="AE110"/>
  <c r="AF112"/>
  <c r="AG113"/>
  <c r="AG110"/>
  <c r="AE114"/>
  <c r="AF111"/>
  <c r="AG112"/>
  <c r="AJ113"/>
  <c r="AF113"/>
  <c r="AI112"/>
  <c r="AJ111"/>
  <c r="AG114"/>
  <c r="AJ112"/>
  <c r="AE111"/>
  <c r="AG111"/>
  <c r="AH111"/>
  <c r="AE113"/>
  <c r="AI111"/>
  <c r="AF114"/>
  <c r="AI114"/>
  <c r="AH110"/>
  <c r="AJ110"/>
  <c r="AE112"/>
  <c r="AH112"/>
  <c r="AH113"/>
  <c r="AJ114"/>
  <c r="AI109"/>
  <c r="AF109"/>
  <c r="AJ109"/>
  <c r="AH109"/>
  <c r="AG109"/>
  <c r="AE109"/>
  <c r="AI103"/>
  <c r="AI107"/>
  <c r="AF107"/>
  <c r="AG107"/>
  <c r="AE104"/>
  <c r="AJ104"/>
  <c r="AJ102"/>
  <c r="AH101"/>
  <c r="AF101"/>
  <c r="AE101"/>
  <c r="AJ106"/>
  <c r="AG103"/>
  <c r="AH102"/>
  <c r="AF106"/>
  <c r="AF104"/>
  <c r="AI105"/>
  <c r="AH105"/>
  <c r="AE102"/>
  <c r="AJ105"/>
  <c r="AE105"/>
  <c r="AE107"/>
  <c r="AH107"/>
  <c r="AH104"/>
  <c r="AG104"/>
  <c r="AJ103"/>
  <c r="AH106"/>
  <c r="AI102"/>
  <c r="AJ107"/>
  <c r="AE106"/>
  <c r="AG101"/>
  <c r="AI108"/>
  <c r="AF103"/>
  <c r="AF105"/>
  <c r="AI104"/>
  <c r="AG105"/>
  <c r="AH108"/>
  <c r="AF108"/>
  <c r="AF102"/>
  <c r="AI101"/>
  <c r="AJ101"/>
  <c r="AG102"/>
  <c r="AJ108"/>
  <c r="AI106"/>
  <c r="AG108"/>
  <c r="AG106"/>
  <c r="AE108"/>
  <c r="AE103"/>
  <c r="AH103"/>
  <c r="AH100"/>
  <c r="AJ100"/>
  <c r="AI100"/>
  <c r="AF100"/>
  <c r="AG100"/>
  <c r="AE100"/>
  <c r="AJ90"/>
  <c r="AI92"/>
  <c r="AH99"/>
  <c r="AI90"/>
  <c r="AI96"/>
  <c r="AF97"/>
  <c r="AF88"/>
  <c r="AJ92"/>
  <c r="AE97"/>
  <c r="AJ94"/>
  <c r="AJ96"/>
  <c r="AF92"/>
  <c r="AG99"/>
  <c r="AG89"/>
  <c r="AF98"/>
  <c r="AJ91"/>
  <c r="AH91"/>
  <c r="AG98"/>
  <c r="AG91"/>
  <c r="AE93"/>
  <c r="AE99"/>
  <c r="AG88"/>
  <c r="AH95"/>
  <c r="AE96"/>
  <c r="AF94"/>
  <c r="AH90"/>
  <c r="AI91"/>
  <c r="AJ97"/>
  <c r="AG90"/>
  <c r="AE89"/>
  <c r="AH93"/>
  <c r="AI88"/>
  <c r="AE90"/>
  <c r="AE88"/>
  <c r="AG93"/>
  <c r="AJ95"/>
  <c r="AJ88"/>
  <c r="AE92"/>
  <c r="AH98"/>
  <c r="AE91"/>
  <c r="AH89"/>
  <c r="AH94"/>
  <c r="AG97"/>
  <c r="AI94"/>
  <c r="AI95"/>
  <c r="AF91"/>
  <c r="AF90"/>
  <c r="AJ89"/>
  <c r="AI98"/>
  <c r="AF89"/>
  <c r="AH92"/>
  <c r="AI93"/>
  <c r="AG94"/>
  <c r="AI97"/>
  <c r="AH97"/>
  <c r="AF96"/>
  <c r="AJ93"/>
  <c r="AF95"/>
  <c r="AF93"/>
  <c r="AJ99"/>
  <c r="AF99"/>
  <c r="AI99"/>
  <c r="AG95"/>
  <c r="AH96"/>
  <c r="AG96"/>
  <c r="AJ98"/>
  <c r="AI89"/>
  <c r="AE95"/>
  <c r="AH88"/>
  <c r="AG92"/>
  <c r="AE98"/>
  <c r="AE94"/>
  <c r="AI87"/>
  <c r="AE87"/>
  <c r="AG87"/>
  <c r="AF87"/>
  <c r="AJ87"/>
  <c r="AH87"/>
  <c r="AG86"/>
  <c r="AI86"/>
  <c r="AF86"/>
  <c r="AE86"/>
  <c r="AJ86"/>
  <c r="AG85"/>
  <c r="AF85"/>
  <c r="AH86"/>
  <c r="AI85"/>
  <c r="AJ85"/>
  <c r="AE85"/>
  <c r="AH85"/>
  <c r="AH84"/>
  <c r="AG84"/>
  <c r="AF84"/>
  <c r="AJ84"/>
  <c r="AE84"/>
  <c r="AI84"/>
  <c r="AJ72"/>
  <c r="AF72"/>
  <c r="AG81"/>
  <c r="AF77"/>
  <c r="AG79"/>
  <c r="AJ78"/>
  <c r="AH82"/>
  <c r="AI79"/>
  <c r="AJ77"/>
  <c r="AG74"/>
  <c r="AF83"/>
  <c r="AE72"/>
  <c r="AE78"/>
  <c r="AG72"/>
  <c r="AJ75"/>
  <c r="AE77"/>
  <c r="AE83"/>
  <c r="AH80"/>
  <c r="AH83"/>
  <c r="AH79"/>
  <c r="AF82"/>
  <c r="AE82"/>
  <c r="AE71"/>
  <c r="AG77"/>
  <c r="AF78"/>
  <c r="AF73"/>
  <c r="AH72"/>
  <c r="AJ80"/>
  <c r="AG76"/>
  <c r="AI71"/>
  <c r="AH75"/>
  <c r="AF79"/>
  <c r="AF80"/>
  <c r="AE73"/>
  <c r="AI83"/>
  <c r="AG78"/>
  <c r="AG83"/>
  <c r="AG82"/>
  <c r="AE76"/>
  <c r="AG71"/>
  <c r="AH71"/>
  <c r="AJ79"/>
  <c r="AI74"/>
  <c r="AJ74"/>
  <c r="AF76"/>
  <c r="AJ76"/>
  <c r="AJ81"/>
  <c r="AI73"/>
  <c r="AJ82"/>
  <c r="AI81"/>
  <c r="AI80"/>
  <c r="AI77"/>
  <c r="AG80"/>
  <c r="AH73"/>
  <c r="AH77"/>
  <c r="AF75"/>
  <c r="AE79"/>
  <c r="AI78"/>
  <c r="AF81"/>
  <c r="AI82"/>
  <c r="AG75"/>
  <c r="AE81"/>
  <c r="AF71"/>
  <c r="AE74"/>
  <c r="AE80"/>
  <c r="AF74"/>
  <c r="AG73"/>
  <c r="AH78"/>
  <c r="AJ73"/>
  <c r="AH74"/>
  <c r="AI75"/>
  <c r="AJ71"/>
  <c r="AH76"/>
  <c r="AH81"/>
  <c r="AI76"/>
  <c r="AI72"/>
  <c r="AJ83"/>
  <c r="AE75"/>
  <c r="AF70"/>
  <c r="AE70"/>
  <c r="AG70"/>
  <c r="AI70"/>
  <c r="AH70"/>
  <c r="AJ70"/>
  <c r="AH18"/>
  <c r="AG31"/>
  <c r="AF44"/>
  <c r="AJ56"/>
  <c r="AI69"/>
  <c r="AJ22"/>
  <c r="AI35"/>
  <c r="AH48"/>
  <c r="AG61"/>
  <c r="AI29"/>
  <c r="AH46"/>
  <c r="AF64"/>
  <c r="AF18"/>
  <c r="AJ34"/>
  <c r="AH52"/>
  <c r="AG69"/>
  <c r="AJ25"/>
  <c r="AH51"/>
  <c r="AG28"/>
  <c r="AJ53"/>
  <c r="AG39"/>
  <c r="AI61"/>
  <c r="AG21"/>
  <c r="AH44"/>
  <c r="AJ66"/>
  <c r="AI22"/>
  <c r="AG56"/>
  <c r="AF25"/>
  <c r="AI58"/>
  <c r="AF36"/>
  <c r="AI65"/>
  <c r="AF34"/>
  <c r="AI63"/>
  <c r="AF53"/>
  <c r="AH31"/>
  <c r="AF23"/>
  <c r="AH17"/>
  <c r="AJ27"/>
  <c r="AG46"/>
  <c r="AH21"/>
  <c r="AE25"/>
  <c r="AF48"/>
  <c r="AH24"/>
  <c r="AF66"/>
  <c r="AF37"/>
  <c r="AI18"/>
  <c r="AG22"/>
  <c r="AF27"/>
  <c r="AH53"/>
  <c r="AE62"/>
  <c r="AE47"/>
  <c r="AH30"/>
  <c r="AJ46"/>
  <c r="AG52"/>
  <c r="AI60"/>
  <c r="AF43"/>
  <c r="AH33"/>
  <c r="AG30"/>
  <c r="AE53"/>
  <c r="AE26"/>
  <c r="AE19"/>
  <c r="AE44"/>
  <c r="AF32"/>
  <c r="AJ50"/>
  <c r="AJ33"/>
  <c r="AG66"/>
  <c r="AJ64"/>
  <c r="AH67"/>
  <c r="AH65"/>
  <c r="AJ55"/>
  <c r="AE65"/>
  <c r="AE27"/>
  <c r="AE52"/>
  <c r="AG35"/>
  <c r="AF21"/>
  <c r="AJ61"/>
  <c r="AI68"/>
  <c r="AG42"/>
  <c r="AE37"/>
  <c r="AE32"/>
  <c r="AI45"/>
  <c r="AH35"/>
  <c r="AG18"/>
  <c r="AJ67"/>
  <c r="AE45"/>
  <c r="AE23"/>
  <c r="AJ29"/>
  <c r="AE61"/>
  <c r="AI21"/>
  <c r="AG47"/>
  <c r="AF26"/>
  <c r="AI51"/>
  <c r="AI33"/>
  <c r="AF68"/>
  <c r="AI39"/>
  <c r="AG32"/>
  <c r="AI34"/>
  <c r="AJ44"/>
  <c r="AF50"/>
  <c r="AJ65"/>
  <c r="AG68"/>
  <c r="AF19"/>
  <c r="AG41"/>
  <c r="AI62"/>
  <c r="AJ59"/>
  <c r="AH45"/>
  <c r="AF63"/>
  <c r="AI17"/>
  <c r="AH36"/>
  <c r="AG36"/>
  <c r="AG38"/>
  <c r="AE63"/>
  <c r="AF59"/>
  <c r="AF40"/>
  <c r="AJ58"/>
  <c r="AI36"/>
  <c r="AE35"/>
  <c r="AE60"/>
  <c r="AI41"/>
  <c r="AI59"/>
  <c r="AI28"/>
  <c r="AE59"/>
  <c r="AE64"/>
  <c r="AE68"/>
  <c r="AI37"/>
  <c r="AG63"/>
  <c r="AG29"/>
  <c r="AF28"/>
  <c r="AJ40"/>
  <c r="AI53"/>
  <c r="AH66"/>
  <c r="AI19"/>
  <c r="AH32"/>
  <c r="AG45"/>
  <c r="AF58"/>
  <c r="AI25"/>
  <c r="AH42"/>
  <c r="AG59"/>
  <c r="AJ30"/>
  <c r="AI47"/>
  <c r="AG65"/>
  <c r="AH19"/>
  <c r="AF45"/>
  <c r="AJ21"/>
  <c r="AH47"/>
  <c r="AJ32"/>
  <c r="AF56"/>
  <c r="AF38"/>
  <c r="AF62"/>
  <c r="AG48"/>
  <c r="AF17"/>
  <c r="AI50"/>
  <c r="AJ28"/>
  <c r="AH58"/>
  <c r="AG25"/>
  <c r="AG57"/>
  <c r="AJ41"/>
  <c r="AG20"/>
  <c r="AF65"/>
  <c r="AH57"/>
  <c r="AH29"/>
  <c r="AJ36"/>
  <c r="AF54"/>
  <c r="AG24"/>
  <c r="AH63"/>
  <c r="AI32"/>
  <c r="AG50"/>
  <c r="AI64"/>
  <c r="AE69"/>
  <c r="AE42"/>
  <c r="AE31"/>
  <c r="AE56"/>
  <c r="AG19"/>
  <c r="AJ60"/>
  <c r="AG37"/>
  <c r="AH59"/>
  <c r="AJ37"/>
  <c r="AH41"/>
  <c r="AI52"/>
  <c r="AE33"/>
  <c r="AE67"/>
  <c r="AE28"/>
  <c r="AG23"/>
  <c r="AH62"/>
  <c r="AH40"/>
  <c r="AF57"/>
  <c r="AJ63"/>
  <c r="AJ51"/>
  <c r="AI40"/>
  <c r="AH37"/>
  <c r="AF24"/>
  <c r="AJ45"/>
  <c r="AI20"/>
  <c r="AE21"/>
  <c r="AE20"/>
  <c r="AF67"/>
  <c r="AE50"/>
  <c r="AE58"/>
  <c r="AE54"/>
  <c r="AF35"/>
  <c r="AE34"/>
  <c r="AE36"/>
  <c r="AI31"/>
  <c r="AE17"/>
  <c r="AE48"/>
  <c r="AF39"/>
  <c r="AH34"/>
  <c r="AF60"/>
  <c r="AJ38"/>
  <c r="AH64"/>
  <c r="AG51"/>
  <c r="AF22"/>
  <c r="AH56"/>
  <c r="AJ57"/>
  <c r="AG60"/>
  <c r="AH22"/>
  <c r="AG67"/>
  <c r="AI27"/>
  <c r="AI30"/>
  <c r="AF33"/>
  <c r="AG43"/>
  <c r="AJ17"/>
  <c r="AG44"/>
  <c r="AJ31"/>
  <c r="AJ39"/>
  <c r="AF47"/>
  <c r="AE41"/>
  <c r="AI57"/>
  <c r="AI54"/>
  <c r="AI48"/>
  <c r="AE29"/>
  <c r="AE24"/>
  <c r="AG17"/>
  <c r="AH27"/>
  <c r="AJ69"/>
  <c r="AF55"/>
  <c r="AE46"/>
  <c r="AE30"/>
  <c r="AH20"/>
  <c r="AI46"/>
  <c r="AI26"/>
  <c r="AJ35"/>
  <c r="AJ42"/>
  <c r="AE39"/>
  <c r="AI23"/>
  <c r="AE43"/>
  <c r="AH54"/>
  <c r="AE55"/>
  <c r="AJ24"/>
  <c r="AH50"/>
  <c r="AF42"/>
  <c r="AJ54"/>
  <c r="AH60"/>
  <c r="AG64"/>
  <c r="AI42"/>
  <c r="AF20"/>
  <c r="AG49"/>
  <c r="AF69"/>
  <c r="AE49"/>
  <c r="AJ48"/>
  <c r="AF31"/>
  <c r="AE51"/>
  <c r="AJ52"/>
  <c r="AH39"/>
  <c r="AH61"/>
  <c r="AJ62"/>
  <c r="AE18"/>
  <c r="AJ43"/>
  <c r="AI67"/>
  <c r="AF41"/>
  <c r="AG27"/>
  <c r="AG33"/>
  <c r="AF52"/>
  <c r="AF29"/>
  <c r="AI44"/>
  <c r="AF46"/>
  <c r="AH69"/>
  <c r="AG34"/>
  <c r="AE40"/>
  <c r="AH23"/>
  <c r="AG58"/>
  <c r="AF61"/>
  <c r="AG53"/>
  <c r="AJ26"/>
  <c r="AI66"/>
  <c r="AI55"/>
  <c r="AH26"/>
  <c r="AH28"/>
  <c r="AH25"/>
  <c r="AE66"/>
  <c r="AJ47"/>
  <c r="AE38"/>
  <c r="AG55"/>
  <c r="AI43"/>
  <c r="AI38"/>
  <c r="AJ18"/>
  <c r="AH55"/>
  <c r="AE57"/>
  <c r="AJ68"/>
  <c r="AG54"/>
  <c r="AI24"/>
  <c r="AE22"/>
  <c r="AH68"/>
  <c r="AJ19"/>
  <c r="AF51"/>
  <c r="AJ49"/>
  <c r="AJ20"/>
  <c r="AJ23"/>
  <c r="AH38"/>
  <c r="AI49"/>
  <c r="AG40"/>
  <c r="AI56"/>
  <c r="AG62"/>
  <c r="AF49"/>
  <c r="AG26"/>
  <c r="AH43"/>
  <c r="AF30"/>
  <c r="AH49"/>
  <c r="AE16"/>
  <c r="AI16"/>
  <c r="AG16"/>
  <c r="AJ16"/>
  <c r="AH16"/>
  <c r="AF16"/>
  <c r="AD254"/>
</calcChain>
</file>

<file path=xl/comments1.xml><?xml version="1.0" encoding="utf-8"?>
<comments xmlns="http://schemas.openxmlformats.org/spreadsheetml/2006/main">
  <authors>
    <author>Tremolet Arnault</author>
  </authors>
  <commentList>
    <comment ref="Q15" authorId="0">
      <text>
        <r>
          <rPr>
            <b/>
            <sz val="9"/>
            <color indexed="81"/>
            <rFont val="Tahoma"/>
            <family val="2"/>
          </rPr>
          <t>Tremolet Arnault:</t>
        </r>
        <r>
          <rPr>
            <sz val="9"/>
            <color indexed="81"/>
            <rFont val="Tahoma"/>
            <family val="2"/>
          </rPr>
          <t xml:space="preserve">
rudder : surface verticales 
ctrl_surface: gouvernes 
Peut être pas top...</t>
        </r>
      </text>
    </comment>
    <comment ref="Q20" authorId="0">
      <text>
        <r>
          <rPr>
            <b/>
            <sz val="9"/>
            <color indexed="81"/>
            <rFont val="Tahoma"/>
            <family val="2"/>
          </rPr>
          <t>Tremolet Arnault:</t>
        </r>
        <r>
          <rPr>
            <sz val="9"/>
            <color indexed="81"/>
            <rFont val="Tahoma"/>
            <family val="2"/>
          </rPr>
          <t xml:space="preserve">
Peut être que nous pourrions vectoriser ces valeurs ? Ca pourrait simplifier les échanges ? Par contre cela demande surement un peu de travail dans le code de géométrie, temps sans doute précieux.</t>
        </r>
      </text>
    </comment>
    <comment ref="Q75" authorId="0">
      <text>
        <r>
          <rPr>
            <b/>
            <sz val="9"/>
            <color indexed="81"/>
            <rFont val="Tahoma"/>
            <family val="2"/>
          </rPr>
          <t>Tremolet Arnault:</t>
        </r>
        <r>
          <rPr>
            <sz val="9"/>
            <color indexed="81"/>
            <rFont val="Tahoma"/>
            <family val="2"/>
          </rPr>
          <t xml:space="preserve">
pos x, y ou z ?</t>
        </r>
      </text>
    </comment>
    <comment ref="Q143" authorId="0">
      <text>
        <r>
          <rPr>
            <b/>
            <sz val="9"/>
            <color indexed="81"/>
            <rFont val="Tahoma"/>
            <family val="2"/>
          </rPr>
          <t>Tremolet Arnault:</t>
        </r>
        <r>
          <rPr>
            <sz val="9"/>
            <color indexed="81"/>
            <rFont val="Tahoma"/>
            <family val="2"/>
          </rPr>
          <t xml:space="preserve">
Est-ce que ce sont des variables moteurs ou atmosphériques, j'ai un doute.
Pourquoi est ce une table ? 
 D'ailleurs je ne crois pas avoir vu de module dédié à l'environnement et les calculs d'atmosphère, faites vous cela dans chaque module ? </t>
        </r>
      </text>
    </comment>
  </commentList>
</comments>
</file>

<file path=xl/sharedStrings.xml><?xml version="1.0" encoding="utf-8"?>
<sst xmlns="http://schemas.openxmlformats.org/spreadsheetml/2006/main" count="6031" uniqueCount="1056">
  <si>
    <t>Nom de la variable</t>
  </si>
  <si>
    <t>Libellé</t>
  </si>
  <si>
    <t>Type</t>
  </si>
  <si>
    <t>Unité</t>
  </si>
  <si>
    <t>Géométrie</t>
  </si>
  <si>
    <t>Propulsion</t>
  </si>
  <si>
    <t>Aérodynamique</t>
  </si>
  <si>
    <t>Structure</t>
  </si>
  <si>
    <t>Mission</t>
  </si>
  <si>
    <t>QdV</t>
  </si>
  <si>
    <t>Corde2</t>
  </si>
  <si>
    <t>Corde3</t>
  </si>
  <si>
    <t>m</t>
  </si>
  <si>
    <t>double</t>
  </si>
  <si>
    <t>Y03</t>
  </si>
  <si>
    <t>Corde0</t>
  </si>
  <si>
    <t>Corde1</t>
  </si>
  <si>
    <t>Y3x</t>
  </si>
  <si>
    <t>Groupe</t>
  </si>
  <si>
    <t>Sous-groupe</t>
  </si>
  <si>
    <t>Planeur</t>
  </si>
  <si>
    <t>Cabine</t>
  </si>
  <si>
    <t>Lcockpit</t>
  </si>
  <si>
    <t>Longueur du cockpit</t>
  </si>
  <si>
    <t>Epaisseur de la paroi cabine (bulkhead)</t>
  </si>
  <si>
    <t>Lcabinetriangulaire</t>
  </si>
  <si>
    <t>Lcabinerectangulaire</t>
  </si>
  <si>
    <t>Longueur de la zone triangulaire avant de la cabine</t>
  </si>
  <si>
    <t>Longueur de la zone rectangulaire arrière de la cabine</t>
  </si>
  <si>
    <t>ycloison</t>
  </si>
  <si>
    <t>Position latérale de la cloison interne</t>
  </si>
  <si>
    <t>ecloison</t>
  </si>
  <si>
    <t>hcabine</t>
  </si>
  <si>
    <t>Hauteur de la cabine</t>
  </si>
  <si>
    <t>Soute</t>
  </si>
  <si>
    <t>Lsoute</t>
  </si>
  <si>
    <t>Longueur de la soute</t>
  </si>
  <si>
    <t>hsoute</t>
  </si>
  <si>
    <t>Hauteur de la soute</t>
  </si>
  <si>
    <t>Epaisseur d'une cloison interne</t>
  </si>
  <si>
    <t>eplanchercabine</t>
  </si>
  <si>
    <t>Epaisseur du plancher cabine</t>
  </si>
  <si>
    <t>degré</t>
  </si>
  <si>
    <t>ycockpit</t>
  </si>
  <si>
    <t>Largeur du cockpit</t>
  </si>
  <si>
    <t>xBAcloison</t>
  </si>
  <si>
    <t>Position longitudinale du bord d'attaque de la cloison interne</t>
  </si>
  <si>
    <t>Moteurs</t>
  </si>
  <si>
    <t>Nombre</t>
  </si>
  <si>
    <t>Nmoteur</t>
  </si>
  <si>
    <t>Nombre de moteurs</t>
  </si>
  <si>
    <t>(-)</t>
  </si>
  <si>
    <t>Dmoteur</t>
  </si>
  <si>
    <t>Lmoteur</t>
  </si>
  <si>
    <t>Trains</t>
  </si>
  <si>
    <t>yplan1</t>
  </si>
  <si>
    <t>yplan2</t>
  </si>
  <si>
    <t>yplan3</t>
  </si>
  <si>
    <t>xBAplan1</t>
  </si>
  <si>
    <t>xBAplan2</t>
  </si>
  <si>
    <t>xBAplan3</t>
  </si>
  <si>
    <t>htrainavant</t>
  </si>
  <si>
    <t>Masse</t>
  </si>
  <si>
    <t>kg</t>
  </si>
  <si>
    <t>Volume total des réservoirs</t>
  </si>
  <si>
    <t>Volume des réservoirs situés dans les voilures (gauche + droite)</t>
  </si>
  <si>
    <t>Volume des réservoirs situés dans le corps central (gauche + droite)</t>
  </si>
  <si>
    <t>Vreservoirtotal</t>
  </si>
  <si>
    <t>Vreservoirvoilure</t>
  </si>
  <si>
    <t>Vreservoirfuselage</t>
  </si>
  <si>
    <t>Lreservoirfuselage</t>
  </si>
  <si>
    <t>Profils</t>
  </si>
  <si>
    <t>table</t>
  </si>
  <si>
    <t>X3</t>
  </si>
  <si>
    <t>Y23</t>
  </si>
  <si>
    <t>Position longitudinale du bord d'attaque au plan 1</t>
  </si>
  <si>
    <t>Position longitudinale du bord d'attaque au plan 2</t>
  </si>
  <si>
    <t>Position longitudinale du bord d'attaque au plan 3</t>
  </si>
  <si>
    <t>Epaisseur relative du profil aérodynamique dans le plan 0</t>
  </si>
  <si>
    <t>Epaisseur relative du profil aérodynamique dans le plan 1</t>
  </si>
  <si>
    <t>Angle de vrillage au plan 2</t>
  </si>
  <si>
    <t>Angle de vrillage au plan 3</t>
  </si>
  <si>
    <t>Rayon de courbure du nez de l'avion</t>
  </si>
  <si>
    <t>Y30</t>
  </si>
  <si>
    <t>ecabine</t>
  </si>
  <si>
    <t>zplancher</t>
  </si>
  <si>
    <t>Position verticale du plancher cabine</t>
  </si>
  <si>
    <t>Angle de la cabine par rapport à l'axe longitudinal</t>
  </si>
  <si>
    <t>X1</t>
  </si>
  <si>
    <t>Mmoteur</t>
  </si>
  <si>
    <t>Masse d'un moteur</t>
  </si>
  <si>
    <t>Y13</t>
  </si>
  <si>
    <t>Y43</t>
  </si>
  <si>
    <t>Repartitionportance</t>
  </si>
  <si>
    <t>N/m</t>
  </si>
  <si>
    <t>Structural design altitude</t>
  </si>
  <si>
    <t>m/s</t>
  </si>
  <si>
    <t>altitudefinmontee</t>
  </si>
  <si>
    <t>altitudecroisiere</t>
  </si>
  <si>
    <t>Altitude de fin de montée</t>
  </si>
  <si>
    <t>Altitude de croisière</t>
  </si>
  <si>
    <t>Czalphaloadcase</t>
  </si>
  <si>
    <t>Czmaxloadcase</t>
  </si>
  <si>
    <t>MTOW</t>
  </si>
  <si>
    <t>Maximum Take Off Weight</t>
  </si>
  <si>
    <t>Inerties</t>
  </si>
  <si>
    <t>nzloadcase</t>
  </si>
  <si>
    <t>Czmax aux points de vol pour le dimensionnement de la structure</t>
  </si>
  <si>
    <t>Maillage</t>
  </si>
  <si>
    <t>Mesh</t>
  </si>
  <si>
    <t>Maillage de la structure</t>
  </si>
  <si>
    <t>Facteurs de charge nz calculés pour le dimensionnement de la structure</t>
  </si>
  <si>
    <t xml:space="preserve">Mission </t>
  </si>
  <si>
    <t>MissionRAmax</t>
  </si>
  <si>
    <t>X4</t>
  </si>
  <si>
    <t>Etat</t>
  </si>
  <si>
    <t>Y4x</t>
  </si>
  <si>
    <t>Tableaero</t>
  </si>
  <si>
    <t>N</t>
  </si>
  <si>
    <t>Y14</t>
  </si>
  <si>
    <t>kg/N/s</t>
  </si>
  <si>
    <t>X2</t>
  </si>
  <si>
    <t>Cx</t>
  </si>
  <si>
    <t>Y24</t>
  </si>
  <si>
    <t>Poussée</t>
  </si>
  <si>
    <t>Wi</t>
  </si>
  <si>
    <t>Masse par postes i, d'après la norme AIR 2001</t>
  </si>
  <si>
    <t>InertieMTOW</t>
  </si>
  <si>
    <t>Matrice d'inertie à la MTOW</t>
  </si>
  <si>
    <t>InertieZFW</t>
  </si>
  <si>
    <t>Matrice d'inertie à la ZFW</t>
  </si>
  <si>
    <t>Sref</t>
  </si>
  <si>
    <t>Surface de référence totale du véhicule</t>
  </si>
  <si>
    <t>X0</t>
  </si>
  <si>
    <t>Allongement</t>
  </si>
  <si>
    <t>Allongement de la voilure externe, entre les plans 2 et 3</t>
  </si>
  <si>
    <t>Effilement</t>
  </si>
  <si>
    <t>Effilement de la voilure externe, entre les plans 2 et 3</t>
  </si>
  <si>
    <t>PhiBAplan0</t>
  </si>
  <si>
    <t>Flèche du bord d'attaque au plan 0</t>
  </si>
  <si>
    <t>PhiBAplan1</t>
  </si>
  <si>
    <t>Flèche du bord d'attaque au plan 1</t>
  </si>
  <si>
    <t>PhiBAplan2</t>
  </si>
  <si>
    <t>Flèche du bord d'attaque au plan 2</t>
  </si>
  <si>
    <t>EpaisseurRelativeplan0</t>
  </si>
  <si>
    <t>EpaisseurRelativeplan1</t>
  </si>
  <si>
    <t>EpaisseurRelativeplan2</t>
  </si>
  <si>
    <t>EpaisseurRelativeplan3</t>
  </si>
  <si>
    <t>Epaisseur relative du profil aérodynamique dans le plan 2</t>
  </si>
  <si>
    <t>Epaisseur relative du profil aérodynamique dans le plan 3</t>
  </si>
  <si>
    <t>Diedre</t>
  </si>
  <si>
    <t>Dièdre de la voilure externe, entre les plans 2 et 3</t>
  </si>
  <si>
    <t>zBAplan0</t>
  </si>
  <si>
    <t>Position verticale du bord d'attaque au plan 0</t>
  </si>
  <si>
    <t>zBAplan1</t>
  </si>
  <si>
    <t>Position verticale du bord d'attaque au plan 1</t>
  </si>
  <si>
    <t>zBAplan2</t>
  </si>
  <si>
    <t>Position verticale du bord d'attaque au plan 2</t>
  </si>
  <si>
    <t>zBAplan3</t>
  </si>
  <si>
    <t>Position verticale du bord d'attaque au plan 3</t>
  </si>
  <si>
    <t>Y21</t>
  </si>
  <si>
    <t>Rayoncourburenez</t>
  </si>
  <si>
    <t>Rayon de courbure aux raccordements des surfaces</t>
  </si>
  <si>
    <t>Envergure</t>
  </si>
  <si>
    <t>Envergure totale du véhicule</t>
  </si>
  <si>
    <t>Contrôle</t>
  </si>
  <si>
    <t>Y2x</t>
  </si>
  <si>
    <t>Charge Utile</t>
  </si>
  <si>
    <t>Npax</t>
  </si>
  <si>
    <t>Vsoute</t>
  </si>
  <si>
    <t>NLD3</t>
  </si>
  <si>
    <t>Vvrac</t>
  </si>
  <si>
    <t>Nombre de passagers (aménagement homogène 100% classe économique)</t>
  </si>
  <si>
    <t>Nombre de cloisons internes dans la cabine</t>
  </si>
  <si>
    <t>Volume total de la soute</t>
  </si>
  <si>
    <t>Nombre de conteneurs LD3 (remplissage des soutes uniquement en LD3)</t>
  </si>
  <si>
    <t>Nombre de palettes 96" (remplissage des soutes uniquement en palettes 96")</t>
  </si>
  <si>
    <t>Volume de vrac</t>
  </si>
  <si>
    <t>Anglecabine</t>
  </si>
  <si>
    <t>BLI</t>
  </si>
  <si>
    <t>Consommation spécifique</t>
  </si>
  <si>
    <t>Fxdimensionnementmoteur</t>
  </si>
  <si>
    <t>Machdimensionnementmoteur</t>
  </si>
  <si>
    <t>Zdimensionnementmoteur</t>
  </si>
  <si>
    <t>Traînée au point de dimensionnement de la propulsion</t>
  </si>
  <si>
    <t>Mach au point de dimensionnement de la propulsion</t>
  </si>
  <si>
    <t>Altitude au point de dimensionnement de la propulsion</t>
  </si>
  <si>
    <t>Facteur d'échelle</t>
  </si>
  <si>
    <t>ESF</t>
  </si>
  <si>
    <t>Y1x</t>
  </si>
  <si>
    <t>Facteur d'échelle sur le moteur de référence</t>
  </si>
  <si>
    <t>Débit</t>
  </si>
  <si>
    <t>kg/s</t>
  </si>
  <si>
    <t>Y12</t>
  </si>
  <si>
    <t>Vrillages et raccordements</t>
  </si>
  <si>
    <t>Répartition de portance</t>
  </si>
  <si>
    <t>Czdimensionnementmoteur</t>
  </si>
  <si>
    <t>Cz au point de dimensionnement de la propulsion</t>
  </si>
  <si>
    <t>Y42</t>
  </si>
  <si>
    <t>Finesse</t>
  </si>
  <si>
    <t>f</t>
  </si>
  <si>
    <t>Finesse aux points Tableaero</t>
  </si>
  <si>
    <t>Points de vol pour l'analyse des QdV</t>
  </si>
  <si>
    <t>TableQdV</t>
  </si>
  <si>
    <t>X5</t>
  </si>
  <si>
    <t>Modèle aérodynamique complet</t>
  </si>
  <si>
    <t>ModèleAeroComplet</t>
  </si>
  <si>
    <t>Y25</t>
  </si>
  <si>
    <t>Répartition de portance en envergure pour le dimensionnement de la structure</t>
  </si>
  <si>
    <t>Descriptif de la mission opérationnelle</t>
  </si>
  <si>
    <t>Descriptif de la mission de dimensionnement effectuée au rayon d'action maximal</t>
  </si>
  <si>
    <t>Vecteur d'état de l'avion sur la trajectoire sur la mission opérationnelle</t>
  </si>
  <si>
    <t>Surfaces verticales</t>
  </si>
  <si>
    <t>Surface de référence de la surface verticale</t>
  </si>
  <si>
    <t>Srefsurfaceverticale</t>
  </si>
  <si>
    <t>Allongementsurfaceverticale</t>
  </si>
  <si>
    <t>Effilement de la surface verticale</t>
  </si>
  <si>
    <t>PhiBAsurfaceverticale</t>
  </si>
  <si>
    <t>EpaisseurRelativesurfaceverticale</t>
  </si>
  <si>
    <t>Allongement de la surface verticale</t>
  </si>
  <si>
    <t>Flèche au bord d'attaque à l'emplanture de la surface verticale</t>
  </si>
  <si>
    <t>Epaisseur relative de la surface verticale</t>
  </si>
  <si>
    <t>Position longitudinale du bord d'attaque de l'emplanture de la surface verticale</t>
  </si>
  <si>
    <t>Position latérale du bord d'attaque de l'emplanture de la surface verticale</t>
  </si>
  <si>
    <t>Position verticale du bord d'attaque de l'emplanture de la surface verticale</t>
  </si>
  <si>
    <t>xemplanturesurfaceverticale</t>
  </si>
  <si>
    <t>yemplanturesurfaceverticale</t>
  </si>
  <si>
    <t>zemplanturesurfaceverticale</t>
  </si>
  <si>
    <t>Diedresurfaceverticale</t>
  </si>
  <si>
    <t>Dièdre de la surface verticale</t>
  </si>
  <si>
    <t>Corde à l'emplanture de la surface verticale</t>
  </si>
  <si>
    <t>Cordeemplanturesurfaceverticale</t>
  </si>
  <si>
    <t>Cordesaumonsurfaceverticale</t>
  </si>
  <si>
    <t>Corde au saumon de la surface verticale</t>
  </si>
  <si>
    <t>ysaumonsurfaceverticale</t>
  </si>
  <si>
    <t>Position latérale du bord d'attaque du saumon de la surface verticale</t>
  </si>
  <si>
    <t>Valeurs propres des modes avion</t>
  </si>
  <si>
    <t>Y5x</t>
  </si>
  <si>
    <t>Modes avions</t>
  </si>
  <si>
    <t>Lambda</t>
  </si>
  <si>
    <t>InertieMLW</t>
  </si>
  <si>
    <t>Matrice d'inertie à la MLW</t>
  </si>
  <si>
    <t>ZFW</t>
  </si>
  <si>
    <t>Zero Fuel Weight</t>
  </si>
  <si>
    <t>MLW</t>
  </si>
  <si>
    <t>Maximum Landing Weight</t>
  </si>
  <si>
    <t>Y35</t>
  </si>
  <si>
    <t>htrainprincipal</t>
  </si>
  <si>
    <t>Vecteur d'état complet - arborescence des variables</t>
  </si>
  <si>
    <t xml:space="preserve">PRF CICAV </t>
  </si>
  <si>
    <t>Modèle aérodynamique complet (Cz, Cx, Cm, etc. en fonction de M ,α ,β, dl, etc.)</t>
  </si>
  <si>
    <t>Composants de la cabine passagers</t>
  </si>
  <si>
    <t>Centrage 
et 
inerties</t>
  </si>
  <si>
    <t>Codes associés 
aux modules</t>
  </si>
  <si>
    <t>Angle d'inclinaison des moteurs par rapport à l'axe longitudinal</t>
  </si>
  <si>
    <t>TauxBLImoteur</t>
  </si>
  <si>
    <t>Taux d'enfouissement des moteurs</t>
  </si>
  <si>
    <t>Débitmoteur</t>
  </si>
  <si>
    <t>Débit d'air des moteurs aux points Tablepropulsion</t>
  </si>
  <si>
    <t>Inclinaisonmoteur</t>
  </si>
  <si>
    <t>Raccordement</t>
  </si>
  <si>
    <t>Vrillageplan2</t>
  </si>
  <si>
    <t>Vrillageplan3</t>
  </si>
  <si>
    <t>Profil aérodynamique au plan 0, coordonnées de l'extrados (BA vers BF)</t>
  </si>
  <si>
    <t>Extradosairfoilplan0</t>
  </si>
  <si>
    <t>Intradosairfoilplan0</t>
  </si>
  <si>
    <t>Extradosairfoilplan1</t>
  </si>
  <si>
    <t>Intradosairfoilplan1</t>
  </si>
  <si>
    <t>Extradosairfoilplan2</t>
  </si>
  <si>
    <t>Intradosairfoilplan2</t>
  </si>
  <si>
    <t>Extradosairfoilplan3</t>
  </si>
  <si>
    <t>Intradosairfoilplan3</t>
  </si>
  <si>
    <t>Extradosairfoilsurfaceverticale</t>
  </si>
  <si>
    <t>Intradosairfoilsurfaceverticale</t>
  </si>
  <si>
    <t>Profil aérodynamique au plan 0, coordonnées de l'intrados (BA vers BF)</t>
  </si>
  <si>
    <t>Profil aérodynamique au plan 1, coordonnées de l'extrados (BA vers BF)</t>
  </si>
  <si>
    <t>Profil aérodynamique au plan 1, coordonnées de l'intrados (BA vers BF)</t>
  </si>
  <si>
    <t>Profil aérodynamique au plan 2, coordonnées de l'extrados (BA vers BF)</t>
  </si>
  <si>
    <t>Profil aérodynamique au plan 2, coordonnées de l'intrados (BA vers BF)</t>
  </si>
  <si>
    <t>Profil aérodynamique au plan 3, coordonnées de l'extrados (BA vers BF)</t>
  </si>
  <si>
    <t>Profil aérodynamique au plan 3, coordonnées de l'intrados (BA vers BF)</t>
  </si>
  <si>
    <t>Profil aérodynamique de la surface verticale, coordonnées de l'extrados (BA vers BF)</t>
  </si>
  <si>
    <t>Profil aérodynamique de la surface verticale, coordonnées de l'intrados (BA vers BF)</t>
  </si>
  <si>
    <t>Npointairfoil</t>
  </si>
  <si>
    <t>Npointairfoilsurfaceverticale</t>
  </si>
  <si>
    <t>Nombre de points des tables de profil aérodynamique</t>
  </si>
  <si>
    <t>Nombre de points des tables de profil aérodynamique de la surface verticale</t>
  </si>
  <si>
    <t>NPNC</t>
  </si>
  <si>
    <t>NPNT</t>
  </si>
  <si>
    <t>NWC</t>
  </si>
  <si>
    <t>Nombre de sièges</t>
  </si>
  <si>
    <t>Nombre de WC</t>
  </si>
  <si>
    <t>Nombre de galleys</t>
  </si>
  <si>
    <t>Nombre de portes</t>
  </si>
  <si>
    <t>xyWC</t>
  </si>
  <si>
    <t>Position longitudinale et latérale du CdG des sièges passagers</t>
  </si>
  <si>
    <t>Position longitudinale et latérale du CdG des WC</t>
  </si>
  <si>
    <t>Position longitudinale et latérale du CdG des galleys</t>
  </si>
  <si>
    <t>Position longitudinale et latérale du CdG des portes</t>
  </si>
  <si>
    <t>xyzmoteur</t>
  </si>
  <si>
    <t>Position longitudinale, latérale et verticale du CdG des moteurs</t>
  </si>
  <si>
    <t>xyzCdGMTOW</t>
  </si>
  <si>
    <t>xyzCdGZFW</t>
  </si>
  <si>
    <t>xyzCdGMLW</t>
  </si>
  <si>
    <t>Position longitudinale, latérale et verticale du CdG à la MTOW</t>
  </si>
  <si>
    <t>Position longitudinale, latérale et verticale du CdG à la ZFW</t>
  </si>
  <si>
    <t>Position longitudinale, latérale et verticale du CdG à la MLW</t>
  </si>
  <si>
    <t>Gouvernes</t>
  </si>
  <si>
    <t>Nombre de gouvernes</t>
  </si>
  <si>
    <t>Corde des gouvernes</t>
  </si>
  <si>
    <t>Position latérale de l'emplanture des gouvernes</t>
  </si>
  <si>
    <t>Position latérale du saumon des gouvernes</t>
  </si>
  <si>
    <t>Affectation du rôle des gouvernes</t>
  </si>
  <si>
    <t>Cordegouvernesurfaceverticale</t>
  </si>
  <si>
    <t>Rôlegouvernesurfaceverticale</t>
  </si>
  <si>
    <t>Gouverne surface verticale</t>
  </si>
  <si>
    <t>Corde de la gouverne de la surface verticale</t>
  </si>
  <si>
    <t>Affectation du rôle de la gouverne de la surface verticale</t>
  </si>
  <si>
    <t>Tsortiefluxprimaire</t>
  </si>
  <si>
    <t>Tsortiefluxsecondaire</t>
  </si>
  <si>
    <t>Température de sortie du flux primaire</t>
  </si>
  <si>
    <t>K</t>
  </si>
  <si>
    <t>Température de sortie du flux secondaire</t>
  </si>
  <si>
    <t>Débitfluxprimaire</t>
  </si>
  <si>
    <t>Débitfluxsecondaire</t>
  </si>
  <si>
    <t>Débit du flux primaire</t>
  </si>
  <si>
    <t>Débit du flux secondaire</t>
  </si>
  <si>
    <t>Régimerotationfan</t>
  </si>
  <si>
    <t>tr/s</t>
  </si>
  <si>
    <t>Ncloison</t>
  </si>
  <si>
    <t>Npalette</t>
  </si>
  <si>
    <t>Nsiège</t>
  </si>
  <si>
    <t>Ngalley</t>
  </si>
  <si>
    <t>Nporte</t>
  </si>
  <si>
    <t>Ngouverne</t>
  </si>
  <si>
    <t>Vitesse de sortie du flux primaire</t>
  </si>
  <si>
    <t>Vitesse de sortie du flux secondaire</t>
  </si>
  <si>
    <t>Vfluxprimaire</t>
  </si>
  <si>
    <t>Vfluxsecondaire</t>
  </si>
  <si>
    <t>Nombre de personnel navigant commercial</t>
  </si>
  <si>
    <t>Nombre de personnel navigant technique</t>
  </si>
  <si>
    <t>xysiège</t>
  </si>
  <si>
    <t>xygalley</t>
  </si>
  <si>
    <t>xyporte</t>
  </si>
  <si>
    <t>Cordegouverne</t>
  </si>
  <si>
    <t>yemplanturegouverne</t>
  </si>
  <si>
    <t>ysaumongouverne</t>
  </si>
  <si>
    <t>Rôlegouverne</t>
  </si>
  <si>
    <t>Dimension</t>
  </si>
  <si>
    <t>Points de vol de la table de propulsion</t>
  </si>
  <si>
    <t>Points de vol de la table aérodynamique</t>
  </si>
  <si>
    <t>Décomposition de la masse par postes (A à G)</t>
  </si>
  <si>
    <t>Points de vol 
pour le dimensionnement de la propulsion</t>
  </si>
  <si>
    <t>Points de vol 
pour le dimensionnement de la structure</t>
  </si>
  <si>
    <t>scalaire</t>
  </si>
  <si>
    <t>?</t>
  </si>
  <si>
    <t>xyzreservoirvoilure</t>
  </si>
  <si>
    <t>xyzreservoirfuselage</t>
  </si>
  <si>
    <t>Réservoirs</t>
  </si>
  <si>
    <t>Position longitudinale, latérale et verticale du CdG du réservoir situé dans la voilure</t>
  </si>
  <si>
    <t>Position longitudinale, latérale et verticale du CdG du réservoir situé dans le corps central</t>
  </si>
  <si>
    <t>Gradient de portance aux points de vol pour le dimensionnement de la structure</t>
  </si>
  <si>
    <t>x/CLongeronBA</t>
  </si>
  <si>
    <t>Position du longeron de bord d'attaque dans la voilure externe, en % de la corde</t>
  </si>
  <si>
    <t>x/CLongeronBF</t>
  </si>
  <si>
    <t>Position du longeron de bord de fuite dans la voilure externe, en % de la corde</t>
  </si>
  <si>
    <t>ELongeronBAplan2</t>
  </si>
  <si>
    <t>Epaisseur du longeron de bord d'attaque au plan 2</t>
  </si>
  <si>
    <t>ELongeronBFplan2</t>
  </si>
  <si>
    <t>Epaisseur du longeron de bord de fuite au plan 2</t>
  </si>
  <si>
    <t>ELongeronBAplan3</t>
  </si>
  <si>
    <t>Epaisseur du longeron de bord d'attaque au plan 3</t>
  </si>
  <si>
    <t>ELongeronBFplan3</t>
  </si>
  <si>
    <t>Epaisseur du longeron de bord de fuite au plan 3</t>
  </si>
  <si>
    <t>Corde au plan 0</t>
  </si>
  <si>
    <t>Corde au plan 1</t>
  </si>
  <si>
    <t>Corde au plan 2</t>
  </si>
  <si>
    <t>Diamètre total d'un moteur</t>
  </si>
  <si>
    <t>Longueur totale d'un moteur</t>
  </si>
  <si>
    <t>Dfan</t>
  </si>
  <si>
    <t>Diamètre du fan d'un moteur (correspond au diamètre du moteur si Nflux = 1)</t>
  </si>
  <si>
    <t>Lfan</t>
  </si>
  <si>
    <t>Longueur du fan d'un moteur (correspond à la longueur du moteur si Nflux = 1)</t>
  </si>
  <si>
    <t>Dturbine</t>
  </si>
  <si>
    <t>Diamètre de la turbine d'un moteur</t>
  </si>
  <si>
    <t>Lturbine</t>
  </si>
  <si>
    <t>Longueur de la turbine d'un moteur</t>
  </si>
  <si>
    <t>Dtuyèreprimaire</t>
  </si>
  <si>
    <t>Diamètre de la tuyère primaire</t>
  </si>
  <si>
    <t>Dtuyèresecondaire</t>
  </si>
  <si>
    <t>Diamètre de la tuyère secondaire</t>
  </si>
  <si>
    <t>Effilementsurfaceverticale</t>
  </si>
  <si>
    <t>Ltrainavant</t>
  </si>
  <si>
    <t>Longueur de la case du train avant, suivant l'axe x</t>
  </si>
  <si>
    <t>ltrainavant</t>
  </si>
  <si>
    <t>Largeur de la case du train avant, suivant l'axe y</t>
  </si>
  <si>
    <t>Hauteur de la case du train avant, suivant l'axe z</t>
  </si>
  <si>
    <t>xyztrainavant</t>
  </si>
  <si>
    <t>Position longitudinale, latérale et verticale du CdG de la case du train avant</t>
  </si>
  <si>
    <t>xyztrainprincipal</t>
  </si>
  <si>
    <t>Position longitudinale, latérale et verticale du CdG du train principal</t>
  </si>
  <si>
    <t>Ltrainprincipal</t>
  </si>
  <si>
    <t>Longueur de la case du train principal, suivant l'axe x</t>
  </si>
  <si>
    <t>ltrainprincipal</t>
  </si>
  <si>
    <t>Largeur de la case du train principal, suivant l'axe y</t>
  </si>
  <si>
    <t>Hauteur de la case du train principal, suivant l'axe z</t>
  </si>
  <si>
    <t>Longueur des réservoirs situés dans le corps central, suivant l'axe x</t>
  </si>
  <si>
    <t>lreservoirfuselage</t>
  </si>
  <si>
    <t>Largeur des réservoirs situés dans le corps central, suivant l'axe y</t>
  </si>
  <si>
    <t>hreservoirfuselage</t>
  </si>
  <si>
    <t>Hauteur des réservoirs situés dans le corps central, suivant l'axe z</t>
  </si>
  <si>
    <t>Extradosairfoilgouverne2</t>
  </si>
  <si>
    <t>Profil aérodynamique à l'emplanture de la gouverne 2, coordonnées de l'extrados</t>
  </si>
  <si>
    <t>Intradosairfoilgouverne2</t>
  </si>
  <si>
    <t>Profil aérodynamique à l'emplanture de la gouverne 2, coordonnées de l'intrados</t>
  </si>
  <si>
    <t>Extradosairfoilgouverne3</t>
  </si>
  <si>
    <t>Profil aérodynamique à l'emplanture de la gouverne 3, coordonnées de l'extrados</t>
  </si>
  <si>
    <t>Intradosairfoilgouverne3</t>
  </si>
  <si>
    <t>Profil aérodynamique à l'emplanture de la gouverne 3, coordonnées de l'intrados</t>
  </si>
  <si>
    <t>Corde au plan 3</t>
  </si>
  <si>
    <t>Position latérale du plan 1</t>
  </si>
  <si>
    <t>Position latérale du plan 2</t>
  </si>
  <si>
    <t>xyLD3</t>
  </si>
  <si>
    <t>Position longitudinale et latérale du CdG des conteneurs LD3</t>
  </si>
  <si>
    <t>xypalette</t>
  </si>
  <si>
    <t>Position longitudinale et latérale du CdG des palettes 96"</t>
  </si>
  <si>
    <t>Hauteursurfaceverticale</t>
  </si>
  <si>
    <t>Hauteur de la surface verticale</t>
  </si>
  <si>
    <t>Y02</t>
  </si>
  <si>
    <t>Tambiant</t>
  </si>
  <si>
    <t>Température de l'air ambiant</t>
  </si>
  <si>
    <t>Pambiant</t>
  </si>
  <si>
    <t>Pression de l'air ambiant</t>
  </si>
  <si>
    <t>Pa</t>
  </si>
  <si>
    <t>cambiant</t>
  </si>
  <si>
    <t>Vitesse du son de l'air ambiant</t>
  </si>
  <si>
    <t>rhoambiant</t>
  </si>
  <si>
    <t>Masse volumique de l'air ambiant</t>
  </si>
  <si>
    <t>kg/m3</t>
  </si>
  <si>
    <t>Rhofluxprimaire</t>
  </si>
  <si>
    <t>Masse volumique du flux primaire</t>
  </si>
  <si>
    <t>DeltaT</t>
  </si>
  <si>
    <t>Accroissement de température à travers la soufflante</t>
  </si>
  <si>
    <t>Mpale</t>
  </si>
  <si>
    <t>Mach en bout de pale</t>
  </si>
  <si>
    <t>Mrelatifpale</t>
  </si>
  <si>
    <t>Mach relatif en bout de pale</t>
  </si>
  <si>
    <t>Mrelatifpalenominal</t>
  </si>
  <si>
    <t>Mach relatif en bout de pale nominal</t>
  </si>
  <si>
    <t>Rss</t>
  </si>
  <si>
    <t>Distance entre le rotor et le stator du fan</t>
  </si>
  <si>
    <t>V</t>
  </si>
  <si>
    <t>Nombre de pales du stator du fan</t>
  </si>
  <si>
    <t>B</t>
  </si>
  <si>
    <t>Nombre de pales du rotor du fan</t>
  </si>
  <si>
    <t>Régime de rotation du rotor du fan</t>
  </si>
  <si>
    <t>Nflux</t>
  </si>
  <si>
    <t>Nombre de flux des moteurs</t>
  </si>
  <si>
    <t>Points de vol pour le calcul de l'aérodynamique (z, Mach)</t>
  </si>
  <si>
    <t>Cz</t>
  </si>
  <si>
    <t>Cz aux points Tableaero</t>
  </si>
  <si>
    <t>Alpha</t>
  </si>
  <si>
    <t>Incidence aux points Tableaero</t>
  </si>
  <si>
    <t>CMA</t>
  </si>
  <si>
    <t>Corde Moyenne Aérodynamique</t>
  </si>
  <si>
    <t>Structuraldesignaltitude</t>
  </si>
  <si>
    <t>Mcruise</t>
  </si>
  <si>
    <t>Mach de croisière</t>
  </si>
  <si>
    <t>Nombre de flux</t>
  </si>
  <si>
    <t>Incidence</t>
  </si>
  <si>
    <t>Corde Moyenne Aerodynamique</t>
  </si>
  <si>
    <t>Composants de la soute</t>
  </si>
  <si>
    <t>Données pour acoustique</t>
  </si>
  <si>
    <t>m2</t>
  </si>
  <si>
    <t>m3</t>
  </si>
  <si>
    <t>rad-1</t>
  </si>
  <si>
    <t>kg.m2</t>
  </si>
  <si>
    <t>rad</t>
  </si>
  <si>
    <t>PhiBAplan0.1</t>
  </si>
  <si>
    <t>PhiBAplan2.1</t>
  </si>
  <si>
    <t>EpaisseurRelativeplan0.1</t>
  </si>
  <si>
    <t>EpaisseurRelativeplan2.1</t>
  </si>
  <si>
    <t>ELongeronBAplan2.1</t>
  </si>
  <si>
    <t>ELongeronBFplan2.1</t>
  </si>
  <si>
    <t>Corde0.1</t>
  </si>
  <si>
    <t>Corde2.1</t>
  </si>
  <si>
    <t>yplan0.1</t>
  </si>
  <si>
    <t>yplan2.1</t>
  </si>
  <si>
    <t>xBAplan0.1</t>
  </si>
  <si>
    <t>xBAplan2.1</t>
  </si>
  <si>
    <t>zBAplan0.1</t>
  </si>
  <si>
    <t>zBAplan2.1</t>
  </si>
  <si>
    <t>PhiBFplan0</t>
  </si>
  <si>
    <t>PhiBFplan0.1</t>
  </si>
  <si>
    <t>PhiBFplan1</t>
  </si>
  <si>
    <t>PhiBFplan2</t>
  </si>
  <si>
    <t>PhiBFplan2.1</t>
  </si>
  <si>
    <t>lzonetransition</t>
  </si>
  <si>
    <t>lcassurevoilure</t>
  </si>
  <si>
    <t>lsoute</t>
  </si>
  <si>
    <t>Extradosairfoilplan0.1</t>
  </si>
  <si>
    <t>Intradosairfoilplan0.1</t>
  </si>
  <si>
    <t>Extradosairfoilplan2.1</t>
  </si>
  <si>
    <t>Intradosairfoilplan2.1</t>
  </si>
  <si>
    <t>Profil aérodynamique au plan 2.1, coordonnées de l'extrados (BA vers BF)</t>
  </si>
  <si>
    <t>Profil aérodynamique au plan 2.1, coordonnées de l'intrados (BA vers BF)</t>
  </si>
  <si>
    <t>Flèche du bord de fuite au plan 0</t>
  </si>
  <si>
    <t>Flèche du bord de fuite au plan 1</t>
  </si>
  <si>
    <t>Flèche du bord de fuite au plan 2</t>
  </si>
  <si>
    <t>Largeur du premier tronçon de la voilure externe (distance latérale entre les plans 2 et 2.1)</t>
  </si>
  <si>
    <t>Largeur de la zone de transition (distance latérale entre les plans 1 et 2)</t>
  </si>
  <si>
    <t>Larrierefuselageplan0.1</t>
  </si>
  <si>
    <t>Longueur de la zone arrière du corps central au plan 0.1</t>
  </si>
  <si>
    <t>Y0x</t>
  </si>
  <si>
    <t>PousséeSol</t>
  </si>
  <si>
    <t>PousséeCruise</t>
  </si>
  <si>
    <t>SFCSol</t>
  </si>
  <si>
    <t>Poussée d'un moteur au sol</t>
  </si>
  <si>
    <t>SFCCruise</t>
  </si>
  <si>
    <t>PousséeDescent</t>
  </si>
  <si>
    <t>PousséeTakeOff</t>
  </si>
  <si>
    <t>PousséeClimb</t>
  </si>
  <si>
    <t>Points de vol pour le calcul de la propulsion (z, Mach, disa, T5), pour le segment TakeOff</t>
  </si>
  <si>
    <t>Poussée d'un moteur aux points TablepropulsionTakeOff</t>
  </si>
  <si>
    <t>Poussée d'un moteur aux points TablepropulsionClimb</t>
  </si>
  <si>
    <t>Poussée d'un moteur aux points TablepropulsionCruise</t>
  </si>
  <si>
    <t>Poussée d'un moteur aux points TablepropulsionDescent</t>
  </si>
  <si>
    <t>Points de vol pour le calcul de la propulsion (z, Mach, disa, T5), pour le segment Climb</t>
  </si>
  <si>
    <t>Points de vol pour le calcul de la propulsion (z, Mach, disa, T5), pour le segment Cruise</t>
  </si>
  <si>
    <t>Points de vol pour le calcul de la propulsion (z, Mach, disa, T5), pour le segment Descent</t>
  </si>
  <si>
    <t>SFCTakeOff</t>
  </si>
  <si>
    <t>SFCClimb</t>
  </si>
  <si>
    <t>SFCDescent</t>
  </si>
  <si>
    <t>Vrillageplan2.1</t>
  </si>
  <si>
    <t>OEW</t>
  </si>
  <si>
    <t>Operating Empty Weight</t>
  </si>
  <si>
    <t>Largeur de la soute ( = ycloison)</t>
  </si>
  <si>
    <t>Larrierefuselageplan0</t>
  </si>
  <si>
    <t>Longueur de la zone arrière du corps central au plan 0</t>
  </si>
  <si>
    <t>TablepropulsionTakeOff</t>
  </si>
  <si>
    <t>TablepropulsionClimb</t>
  </si>
  <si>
    <t>TablepropulsionCruise</t>
  </si>
  <si>
    <t>TablepropulsionDescent</t>
  </si>
  <si>
    <t>Profil aérodynamique au plan 0.1, coordonnées de l'extrados (BA vers BF)</t>
  </si>
  <si>
    <t>Profil aérodynamique au plan 0.1, coordonnées de l'intrados (BA vers BF)</t>
  </si>
  <si>
    <t>Cx aux points Tableaero (z, Mach,Cz)</t>
  </si>
  <si>
    <t>yFS</t>
  </si>
  <si>
    <t>CordeFS</t>
  </si>
  <si>
    <t>PhiBFFS</t>
  </si>
  <si>
    <t>Consommation spécifique d'un moteur au sol</t>
  </si>
  <si>
    <t>Consommation spécifique d'un moteur aux points TablepropulsionTakeOff</t>
  </si>
  <si>
    <t>Consommation spécifique d'un moteur aux points TablepropulsionClimb</t>
  </si>
  <si>
    <t>Consommation spécifique d'un moteur aux points TablepropulsionCruise</t>
  </si>
  <si>
    <t>Consommation spécifique d'un moteur aux points TablepropulsionDescent</t>
  </si>
  <si>
    <t>Flèche du bord d'attaque au plan 0.1</t>
  </si>
  <si>
    <t>Flèche du bord d'attaque au plan 2.1</t>
  </si>
  <si>
    <t>Flèche du bord de fuite au plan 0.1</t>
  </si>
  <si>
    <t>Flèche du bord de fuite au plan 2.1</t>
  </si>
  <si>
    <t>Epaisseur relative du profil aérodynamique dans le plan 0.1</t>
  </si>
  <si>
    <t>Epaisseur relative du profil aérodynamique dans le plan 2.1</t>
  </si>
  <si>
    <t>Epaisseur du longeron de bord d'attaque au plan 2.1</t>
  </si>
  <si>
    <t>Epaisseur du longeron de bord de fuite au plan 2.1</t>
  </si>
  <si>
    <t>Corde au plan 0.1</t>
  </si>
  <si>
    <t>Corde au plan 2.1</t>
  </si>
  <si>
    <t>Position latérale du plan 2.1</t>
  </si>
  <si>
    <t>Position longitudinale du bord d'attaque au plan 0.1</t>
  </si>
  <si>
    <t>Position longitudinale du bord d'attaque au plan 2.1</t>
  </si>
  <si>
    <t>Position verticale du bord d'attaque au plan 0.1</t>
  </si>
  <si>
    <t>Position verticale du bord d'attaque au plan 2.1</t>
  </si>
  <si>
    <t>Position latérale du plan 0.1 ( = lsoute)</t>
  </si>
  <si>
    <t>Angle de vrillage au plan 2.1</t>
  </si>
  <si>
    <t>Position latérale du plan 3 ( = demi-envergure)</t>
  </si>
  <si>
    <t>Masses</t>
  </si>
  <si>
    <t>Aerodynamique</t>
  </si>
  <si>
    <t>CS</t>
  </si>
  <si>
    <t xml:space="preserve"> Y02</t>
  </si>
  <si>
    <t xml:space="preserve"> Y03</t>
  </si>
  <si>
    <t xml:space="preserve"> Y32</t>
  </si>
  <si>
    <t>Y10</t>
  </si>
  <si>
    <t xml:space="preserve"> Y13</t>
  </si>
  <si>
    <t xml:space="preserve"> Y12</t>
  </si>
  <si>
    <t xml:space="preserve"> Y01</t>
  </si>
  <si>
    <t xml:space="preserve"> Y04</t>
  </si>
  <si>
    <t xml:space="preserve"> Y05</t>
  </si>
  <si>
    <t xml:space="preserve"> Y15</t>
  </si>
  <si>
    <t>Y20</t>
  </si>
  <si>
    <t xml:space="preserve"> Y20</t>
  </si>
  <si>
    <t xml:space="preserve"> Y23</t>
  </si>
  <si>
    <t>Y34</t>
  </si>
  <si>
    <t xml:space="preserve"> Y43</t>
  </si>
  <si>
    <t xml:space="preserve"> Y35</t>
  </si>
  <si>
    <t xml:space="preserve"> X2</t>
  </si>
  <si>
    <t xml:space="preserve"> X4</t>
  </si>
  <si>
    <t>Flux 1</t>
  </si>
  <si>
    <t>Flux 2</t>
  </si>
  <si>
    <t>Flux 3</t>
  </si>
  <si>
    <t>Flux 4</t>
  </si>
  <si>
    <t>Flux 5</t>
  </si>
  <si>
    <t>Flux 6</t>
  </si>
  <si>
    <t>PhiBAplan0_1</t>
  </si>
  <si>
    <t>PhiBAplan2_1</t>
  </si>
  <si>
    <t>PhiBFplan0_1</t>
  </si>
  <si>
    <t>PhiBFplan2_1</t>
  </si>
  <si>
    <t>EpaisseurRelativeplan0_1</t>
  </si>
  <si>
    <t>EpaisseurRelativeplan2_1</t>
  </si>
  <si>
    <t>ELongeronBAplan2_1</t>
  </si>
  <si>
    <t>ELongeronBFplan2_1</t>
  </si>
  <si>
    <t>Corde0_1</t>
  </si>
  <si>
    <t>Corde2_1</t>
  </si>
  <si>
    <t>yplan0_1</t>
  </si>
  <si>
    <t>yplan2_1</t>
  </si>
  <si>
    <t>xBAplan0_1</t>
  </si>
  <si>
    <t>xBAplan2_1</t>
  </si>
  <si>
    <t>zBAplan0_1</t>
  </si>
  <si>
    <t>zBAplan2_1</t>
  </si>
  <si>
    <t>Larrierefuselageplan0_1</t>
  </si>
  <si>
    <t>Extradosairfoilplan0_1</t>
  </si>
  <si>
    <t>Intradosairfoilplan0_1</t>
  </si>
  <si>
    <t>Extradosairfoilplan2_1</t>
  </si>
  <si>
    <t>Intradosairfoilplan2_1</t>
  </si>
  <si>
    <t>Vrillageplan2_1</t>
  </si>
  <si>
    <t>xysiege</t>
  </si>
  <si>
    <t>Rolegouverne</t>
  </si>
  <si>
    <t>Rolegouvernesurfaceverticale</t>
  </si>
  <si>
    <t>Déclaration de la variable dans Model Center</t>
  </si>
  <si>
    <t>integer</t>
  </si>
  <si>
    <t>X0,Y*0</t>
  </si>
  <si>
    <t>Y0*</t>
  </si>
  <si>
    <t>X1,Y*1</t>
  </si>
  <si>
    <t>Y1*</t>
  </si>
  <si>
    <t>X2,Y*2</t>
  </si>
  <si>
    <t>X3,Y*3</t>
  </si>
  <si>
    <t>Y2*</t>
  </si>
  <si>
    <t>Y3*</t>
  </si>
  <si>
    <t>X4,Y*4</t>
  </si>
  <si>
    <t>Y4*</t>
  </si>
  <si>
    <t>X5,Y*5</t>
  </si>
  <si>
    <t>Y5*</t>
  </si>
  <si>
    <t>double[]</t>
  </si>
  <si>
    <t>Groupes</t>
  </si>
  <si>
    <t>sous-groupes</t>
  </si>
  <si>
    <t>Commenté dans Model Center</t>
  </si>
  <si>
    <t xml:space="preserve">Utilisation </t>
  </si>
  <si>
    <t>Quelques spécifications pour la création des wrapper model center</t>
  </si>
  <si>
    <t>Partie Génération des Wrappers ModelCenter</t>
  </si>
  <si>
    <t>+</t>
  </si>
  <si>
    <t>Nom de Groupe Model Center</t>
  </si>
  <si>
    <t>Nom de Sous-Groupe Model Center</t>
  </si>
  <si>
    <t>Nom Model Center alt</t>
  </si>
  <si>
    <t>commentaire</t>
  </si>
  <si>
    <t>xCLongeronBA</t>
  </si>
  <si>
    <t>xCLongeronBF</t>
  </si>
  <si>
    <t>Dtuyereprimaire</t>
  </si>
  <si>
    <t>Dtuyeresecondaire</t>
  </si>
  <si>
    <t>PousseeSol</t>
  </si>
  <si>
    <t>PousseeTakeOff</t>
  </si>
  <si>
    <t>PousseeClimb</t>
  </si>
  <si>
    <t>PousseeCruise</t>
  </si>
  <si>
    <t>PousseeDescent</t>
  </si>
  <si>
    <t>Debitmoteur</t>
  </si>
  <si>
    <t>Debitfluxprimaire</t>
  </si>
  <si>
    <t>Debitfluxsecondaire</t>
  </si>
  <si>
    <t>Regimerotationfan</t>
  </si>
  <si>
    <t>ModeleAeroComplet</t>
  </si>
  <si>
    <t>Nsiege</t>
  </si>
  <si>
    <t>non</t>
  </si>
  <si>
    <t>oui</t>
  </si>
  <si>
    <t>idem</t>
  </si>
  <si>
    <t>dans fichier output précédent, même variable de sortie définie plusieurs fois, pas de sous groupe ?</t>
  </si>
  <si>
    <t>Nom du Script</t>
  </si>
  <si>
    <t>Clefs</t>
  </si>
  <si>
    <t>Input_0</t>
  </si>
  <si>
    <t>Input_1</t>
  </si>
  <si>
    <t>Input_2</t>
  </si>
  <si>
    <t>Input_3</t>
  </si>
  <si>
    <t>Input_4</t>
  </si>
  <si>
    <t>Input_5</t>
  </si>
  <si>
    <t>Output_0</t>
  </si>
  <si>
    <t>Output_1</t>
  </si>
  <si>
    <t>Output_2</t>
  </si>
  <si>
    <t>Output_3</t>
  </si>
  <si>
    <t>Output_4</t>
  </si>
  <si>
    <t>Output_5</t>
  </si>
  <si>
    <t>Les noms de variables ne doivent pas contenir de symboles spéciaux.
Les groupes doivent être renseignés, le sous-groupe peut être laissé vide.
Si une information est manquante pour le wrapper, utiliser la colonne commenter (R) pour que la variable soit présente dans le wrapper en tant que commentaire
Ne pas supprimer la feuille contenant la liste des groupes / sous-groupes ModelCenter utilisables</t>
  </si>
  <si>
    <t>Sheet Name</t>
  </si>
  <si>
    <t>Inputs Geometry</t>
  </si>
  <si>
    <t>Inputs Propulsion</t>
  </si>
  <si>
    <t>Inputs Aerodynamics</t>
  </si>
  <si>
    <t>Inputs Structure</t>
  </si>
  <si>
    <t>Inputs Mission</t>
  </si>
  <si>
    <t>Inputs QdV</t>
  </si>
  <si>
    <t>Outputs Geometry</t>
  </si>
  <si>
    <t>Outputs Aerodynamics</t>
  </si>
  <si>
    <t>Outputs Propulsion</t>
  </si>
  <si>
    <t>Outputs Structure</t>
  </si>
  <si>
    <t>Outputs Mission</t>
  </si>
  <si>
    <t>Outputs QdV</t>
  </si>
  <si>
    <t>Id</t>
  </si>
  <si>
    <t>unit</t>
  </si>
  <si>
    <t>description</t>
  </si>
  <si>
    <t>type</t>
  </si>
  <si>
    <t xml:space="preserve">Nom </t>
  </si>
  <si>
    <t>X0.Geometrie.Planeur</t>
  </si>
  <si>
    <t>Y30.Geometrie.Planeur</t>
  </si>
  <si>
    <t>Y30.Geometrie.Cabine</t>
  </si>
  <si>
    <t>X0.Geometrie.Surfaces_verticales</t>
  </si>
  <si>
    <t>Y10.Geometrie.Moteurs</t>
  </si>
  <si>
    <t>X0.Geometrie.Moteurs</t>
  </si>
  <si>
    <t>Y30.Geometrie.Trains</t>
  </si>
  <si>
    <t>Y30.Geometrie.Reservoirs</t>
  </si>
  <si>
    <t>X0.Propulsion.Nombre</t>
  </si>
  <si>
    <t>Y20.Aerodynamique.Profils</t>
  </si>
  <si>
    <t>X0.Centrage_Inerties.Moteurs</t>
  </si>
  <si>
    <t>Y30.Centrage_Inerties.Trains</t>
  </si>
  <si>
    <t>Y30.Centrage_Inerties.Reservoirs</t>
  </si>
  <si>
    <t>X0.Mission.Charge_utile</t>
  </si>
  <si>
    <t>X0.Controle.Gouvernes</t>
  </si>
  <si>
    <t>X0.Controle.Gouverne_verticale</t>
  </si>
  <si>
    <t>Y01.Geometrie.Moteurs</t>
  </si>
  <si>
    <t>Y01.Propulsion.Nombre</t>
  </si>
  <si>
    <t>X1.Propulsion.BLI</t>
  </si>
  <si>
    <t>X1.Propulsion.Point_vol_propu</t>
  </si>
  <si>
    <t>X1.Mission.Point_vol_propu</t>
  </si>
  <si>
    <t>Y21.Mission.Point_vol_propu</t>
  </si>
  <si>
    <t>Y02.Geometrie.Planeur</t>
  </si>
  <si>
    <t>Y32.Geometrie.Planeur</t>
  </si>
  <si>
    <t>Y02.Geometrie.Surfaces_verticales</t>
  </si>
  <si>
    <t>Y12.Geometrie.Moteurs</t>
  </si>
  <si>
    <t>Y02.Propulsion.Nombre</t>
  </si>
  <si>
    <t>X2.Propulsion.Nombre</t>
  </si>
  <si>
    <t>Y12.Propulsion.Debits</t>
  </si>
  <si>
    <t>Y32.Aerodynamique.Profils</t>
  </si>
  <si>
    <t>X2.Aerodynamique.Profils</t>
  </si>
  <si>
    <t>X2.Aerodynamique.Points_vol</t>
  </si>
  <si>
    <t>Y02.Centrage_Inerties.Moteurs</t>
  </si>
  <si>
    <t>X2.Mission.Point_vol_propu</t>
  </si>
  <si>
    <t>Y42.Mission.Point_vol_propu</t>
  </si>
  <si>
    <t>Y02.Controle.Gouvernes</t>
  </si>
  <si>
    <t>Y02.Controle.Gouverne_verticale</t>
  </si>
  <si>
    <t>Y03.Geometrie.Planeur</t>
  </si>
  <si>
    <t>Y03.Geometrie.Cabine</t>
  </si>
  <si>
    <t>Y03.Geometrie.Soute</t>
  </si>
  <si>
    <t>Y03.Geometrie.Surfaces_verticales</t>
  </si>
  <si>
    <t>Y13.Geometrie.Moteurs</t>
  </si>
  <si>
    <t>Y03.Propulsion.Nombre</t>
  </si>
  <si>
    <t>Y13.Propulsion.Masse</t>
  </si>
  <si>
    <t>Y23.Aerodynamique.Profils</t>
  </si>
  <si>
    <t>Y23.Aerodynamique.Vrillages_raccordements</t>
  </si>
  <si>
    <t>Y23.Aerodynamique.Portance</t>
  </si>
  <si>
    <t>Y43.Masses</t>
  </si>
  <si>
    <t>Y03.Centrage_Inerties.Cabine</t>
  </si>
  <si>
    <t>Y03.Centrage_Inerties.Soute</t>
  </si>
  <si>
    <t>Y03.Centrage_Inerties.Moteurs</t>
  </si>
  <si>
    <t>Y03.Mission.Charge_utile</t>
  </si>
  <si>
    <t>X3.Mission.Point_vol_structure</t>
  </si>
  <si>
    <t>Y43.Mission.Point_vol_structure</t>
  </si>
  <si>
    <t>Y03.Controle.Gouvernes</t>
  </si>
  <si>
    <t>Y03.Controle.Gouverne_verticale</t>
  </si>
  <si>
    <t>Y24.Geometrie.Planeur</t>
  </si>
  <si>
    <t>Y04.Propulsion.Nombre</t>
  </si>
  <si>
    <t>Y14.Propulsion.Poussee</t>
  </si>
  <si>
    <t>Y14.Propulsion.CS</t>
  </si>
  <si>
    <t>Y24.Aerodynamique.Cx</t>
  </si>
  <si>
    <t>Y34.Masses</t>
  </si>
  <si>
    <t>X4.Mission.Point_vol_propu</t>
  </si>
  <si>
    <t>X4.Mission</t>
  </si>
  <si>
    <t>Y05.Propulsion.Nombre</t>
  </si>
  <si>
    <t>Y15.Propulsion.Poussee</t>
  </si>
  <si>
    <t>Y25.Aerodynamique.Modele_complet</t>
  </si>
  <si>
    <t>Y35.Masses</t>
  </si>
  <si>
    <t>Y35.Centrage_Inerties.Centrages</t>
  </si>
  <si>
    <t>Y35.Centrage_Inerties.Inerties</t>
  </si>
  <si>
    <t>X5.Controle.Points_vol</t>
  </si>
  <si>
    <t>X5.Controle.Gouvernes</t>
  </si>
  <si>
    <t>X5.Controle.Gouverne_verticale</t>
  </si>
  <si>
    <t>Y0x.Geometrie.Planeur</t>
  </si>
  <si>
    <t>Y1x.Propulsion.Scale</t>
  </si>
  <si>
    <t>Y1x.Propulsion.Acoustic</t>
  </si>
  <si>
    <t>Y2x.Aerodynamique.Finesse</t>
  </si>
  <si>
    <t>Y2x.Aerodynamique</t>
  </si>
  <si>
    <t>Y3x.Geometrie.Reservoirs</t>
  </si>
  <si>
    <t>Y3x.Masses</t>
  </si>
  <si>
    <t>Y3x.Mission.Point_vol_structure</t>
  </si>
  <si>
    <t>Y3x.Structure</t>
  </si>
  <si>
    <t>Y4x.Mission</t>
  </si>
  <si>
    <t>Y5x.Controle.Modes</t>
  </si>
  <si>
    <t xml:space="preserve">Nom de variable </t>
  </si>
  <si>
    <t>unité</t>
  </si>
  <si>
    <t>dim</t>
  </si>
  <si>
    <t>dimension</t>
  </si>
  <si>
    <t>total_wing_span</t>
  </si>
  <si>
    <t>wing_elongation_p2to3</t>
  </si>
  <si>
    <t>wing_taper_ratio_p2to3</t>
  </si>
  <si>
    <t>wing_sweep_leading_edge_p0</t>
  </si>
  <si>
    <t>wing_sweep_leading_edge_p0_1</t>
  </si>
  <si>
    <t>wing_sweep_leading_edge_p1</t>
  </si>
  <si>
    <t>wing_sweep_leading_edge_p2</t>
  </si>
  <si>
    <t>wing_sweep_leading_edge_p2_1</t>
  </si>
  <si>
    <t>wing_sweep_trailing_edge_p0</t>
  </si>
  <si>
    <t>wing_sweep_trailing_edge_p0_1</t>
  </si>
  <si>
    <t>wing_sweep_trailing_edge_p1</t>
  </si>
  <si>
    <t>wing_sweep_trailing_edge_p2</t>
  </si>
  <si>
    <t>wing_sweep_trailing_edge_p2_1</t>
  </si>
  <si>
    <t>reference_Surface</t>
  </si>
  <si>
    <t>wing_chord_p0</t>
  </si>
  <si>
    <t>wing_chord_p1</t>
  </si>
  <si>
    <t>wing_chord_p2</t>
  </si>
  <si>
    <t>wing_chord_p3</t>
  </si>
  <si>
    <t>wing_chord_p0_1</t>
  </si>
  <si>
    <t>wing_chord_p2_1</t>
  </si>
  <si>
    <t>wing_thickness_ratio_p0</t>
  </si>
  <si>
    <t>wing_thickness_ratio_p0_1</t>
  </si>
  <si>
    <t>wing_thickness_ratio_p1</t>
  </si>
  <si>
    <t>wing_thickness_ratio_p2</t>
  </si>
  <si>
    <t>wing_thickness_ratio_p2_1</t>
  </si>
  <si>
    <t>wing_thickness_ratio_p3</t>
  </si>
  <si>
    <t>engine_number</t>
  </si>
  <si>
    <t>engine_mass</t>
  </si>
  <si>
    <t>engine_ground_thrust</t>
  </si>
  <si>
    <t>sfc_ground</t>
  </si>
  <si>
    <t>Temp_atmos</t>
  </si>
  <si>
    <t>Press_atmos</t>
  </si>
  <si>
    <t>Vsound_atmos</t>
  </si>
  <si>
    <t>AirDensity_atmos</t>
  </si>
  <si>
    <t>engine_stator_blades_nb</t>
  </si>
  <si>
    <t>engine_fan_blades_nb</t>
  </si>
  <si>
    <t>engine_tip_rel0_mach</t>
  </si>
  <si>
    <t>engine_stator_fan_distance</t>
  </si>
  <si>
    <t>propulsion_climb_table</t>
  </si>
  <si>
    <t>propulsion_cruise_table</t>
  </si>
  <si>
    <t>propulsion_descent_table</t>
  </si>
  <si>
    <t>propulsion_takeoff_table</t>
  </si>
  <si>
    <t>engine_BLI_rate</t>
  </si>
  <si>
    <t>engine_scale_factor</t>
  </si>
  <si>
    <t>spar_leading_edge_thickness_p2</t>
  </si>
  <si>
    <t>spar_leading_edge_thickness_p3</t>
  </si>
  <si>
    <t>spar_trailing_edge_thickness_p2</t>
  </si>
  <si>
    <t>spar_leading_edge_thickness_p2_1</t>
  </si>
  <si>
    <t>spar_trailing_edge_thickness_p2_1</t>
  </si>
  <si>
    <t>spar_trailing_edge_thickness_p3</t>
  </si>
  <si>
    <t>nose_curavture_radius</t>
  </si>
  <si>
    <t>lateral_length_p1to2</t>
  </si>
  <si>
    <t>lateral_length_p2to2_1</t>
  </si>
  <si>
    <t>spar_leading_edge_pos_ratio</t>
  </si>
  <si>
    <t>spar_trailing_edge_pos_ratio</t>
  </si>
  <si>
    <t>cockpit_length</t>
  </si>
  <si>
    <t>back_rect_cabin_length</t>
  </si>
  <si>
    <t>front_triang_cabin_length</t>
  </si>
  <si>
    <t>fuselage_back_p0_length</t>
  </si>
  <si>
    <t>fuselage_back_p0_1_length</t>
  </si>
  <si>
    <t>cockpit_width</t>
  </si>
  <si>
    <t>pos_internal_partition_leading_edge</t>
  </si>
  <si>
    <t>pos_y_p0_1</t>
  </si>
  <si>
    <t>pos_y_p1</t>
  </si>
  <si>
    <t>pos_y_p2</t>
  </si>
  <si>
    <t>pos_y_p2_1</t>
  </si>
  <si>
    <t>pos_y_p3</t>
  </si>
  <si>
    <t>pos_x_leading_edge_p0_1</t>
  </si>
  <si>
    <t>pos_x_leading_edge_p1</t>
  </si>
  <si>
    <t>pos_x_leading_edge_p2</t>
  </si>
  <si>
    <t>pos_x_leading_edge_p2_1</t>
  </si>
  <si>
    <t>pos_x_leading_edge_p3</t>
  </si>
  <si>
    <t>pos_z_leading_edge_p0</t>
  </si>
  <si>
    <t>pos_z_leading_edge_p0_1</t>
  </si>
  <si>
    <t>pos_z_leading_edge_p1</t>
  </si>
  <si>
    <t>pos_z_leading_edge_p2</t>
  </si>
  <si>
    <t>pos_z_leading_edge_p2_1</t>
  </si>
  <si>
    <t>pos_z_leading_edge_p3</t>
  </si>
  <si>
    <t>py_internal_partition</t>
  </si>
  <si>
    <t>internal_partition_tickness</t>
  </si>
  <si>
    <t>bulkhead_thickness</t>
  </si>
  <si>
    <t>cabin_height</t>
  </si>
  <si>
    <t>cabin_floor_thickness</t>
  </si>
  <si>
    <t>pz_cabin_floor</t>
  </si>
  <si>
    <t>cabin_angle</t>
  </si>
  <si>
    <t>hold_length</t>
  </si>
  <si>
    <t>hold_width</t>
  </si>
  <si>
    <t>hold_height</t>
  </si>
  <si>
    <t>rudder_reference_surface</t>
  </si>
  <si>
    <t>rudder_elongation</t>
  </si>
  <si>
    <t>rudder_taper_ratio</t>
  </si>
  <si>
    <t>rudder_sweep_leading_edge</t>
  </si>
  <si>
    <t>rudder_thickness_ratio</t>
  </si>
  <si>
    <t>rudder_height</t>
  </si>
  <si>
    <t>rudder_wing_tip_pos_y</t>
  </si>
  <si>
    <t>rudder_root_leading_edge_pos_x</t>
  </si>
  <si>
    <t>rudder_root_leading_edge_pos_y</t>
  </si>
  <si>
    <t>rudder_root_leading_edge_pos_z</t>
  </si>
  <si>
    <t>rudder_root_chord</t>
  </si>
  <si>
    <t>rudder_wing_tip_chord</t>
  </si>
  <si>
    <t>rudder_dihedral</t>
  </si>
  <si>
    <t>engine_total_diameter</t>
  </si>
  <si>
    <t>engine_total_length</t>
  </si>
  <si>
    <t>engine_fan_diameter</t>
  </si>
  <si>
    <t>engine_fan_length</t>
  </si>
  <si>
    <t>engine_turbine_diameter</t>
  </si>
  <si>
    <t>engine_turbine_length</t>
  </si>
  <si>
    <t>engine_exhaust_diameter</t>
  </si>
  <si>
    <t>engine_secondary_exhaust_diameter</t>
  </si>
  <si>
    <t>engine_inclination_angle_toXaxis</t>
  </si>
  <si>
    <t>wing_dihedral_p2to3</t>
  </si>
  <si>
    <t>landing_gear_front_length</t>
  </si>
  <si>
    <t>landing_gear_front_width</t>
  </si>
  <si>
    <t>landing_gear_front_height</t>
  </si>
  <si>
    <t>landing_gear_main_length</t>
  </si>
  <si>
    <t>landing_gear_main_width</t>
  </si>
  <si>
    <t>landing_gear_main_height</t>
  </si>
  <si>
    <t>fuel_tank_total_volume</t>
  </si>
  <si>
    <t>fuel_tank_wing_volume</t>
  </si>
  <si>
    <t>fuel_tank_body_volume</t>
  </si>
  <si>
    <t>fuel_tank_body_length</t>
  </si>
  <si>
    <t>fuel_tank_body_width</t>
  </si>
  <si>
    <t>fuel_tank_body_height</t>
  </si>
  <si>
    <t>engine_flux_number</t>
  </si>
  <si>
    <t>engine_takeoff_thrust_table</t>
  </si>
  <si>
    <t>engine_climb_thrust_table</t>
  </si>
  <si>
    <t>engine_cruise_thrust_table</t>
  </si>
  <si>
    <t>engine_descent_thrust_table</t>
  </si>
  <si>
    <t>sfc_takeoff_table</t>
  </si>
  <si>
    <t>sfc_climb_table</t>
  </si>
  <si>
    <t>sfc_cruise_table</t>
  </si>
  <si>
    <t>sfc_descent_table</t>
  </si>
  <si>
    <t>engine_flow_rate_table</t>
  </si>
  <si>
    <t>engine_primary_flow_rate_table</t>
  </si>
  <si>
    <t>engine_secondary_flow_rate_table</t>
  </si>
  <si>
    <t>engine_primary_exhaust_temp_table</t>
  </si>
  <si>
    <t>engine_secondary_exhaust_temp_table</t>
  </si>
  <si>
    <t>engine_primary_exhaust_speed_table</t>
  </si>
  <si>
    <t>engine_secondary_exhaust_speed_table</t>
  </si>
  <si>
    <t>engine_exhaust_gas_density_table</t>
  </si>
  <si>
    <t>engine_fan_delta_temp_table</t>
  </si>
  <si>
    <t>engine_tip_abs_mach_table</t>
  </si>
  <si>
    <t>engine_tip_rel_mach_table</t>
  </si>
  <si>
    <t>engine_fan_rotation_rate_table</t>
  </si>
  <si>
    <t>airfoil_extrados_p0</t>
  </si>
  <si>
    <t>airfoil_intrados_p0</t>
  </si>
  <si>
    <t>airfoil_extrados_p0_1</t>
  </si>
  <si>
    <t>airfoil_intrados_p0_1</t>
  </si>
  <si>
    <t>airfoil_extrados_p1</t>
  </si>
  <si>
    <t>airfoil_intrados_p1</t>
  </si>
  <si>
    <t>airfoil_extrados_p2</t>
  </si>
  <si>
    <t>airfoil_intrados_p2</t>
  </si>
  <si>
    <t>airfoil_extrados_p2_1</t>
  </si>
  <si>
    <t>airfoil_intrados_p2_1</t>
  </si>
  <si>
    <t>airfoil_extrados_p3</t>
  </si>
  <si>
    <t>airfoil_intrados_p3</t>
  </si>
  <si>
    <t>airfoil_extrados_ctrl_surface_2</t>
  </si>
  <si>
    <t>airfoil_intrados_ctrl_surface_2</t>
  </si>
  <si>
    <t>airfoil_extrados_ctrl_surface_3</t>
  </si>
  <si>
    <t>airfoil_intrados_ctrl_surface_3</t>
  </si>
  <si>
    <t>aero_table_rudder_nb_points</t>
  </si>
  <si>
    <t>aero_table_body_nb_points</t>
  </si>
  <si>
    <t>airfoil_extrados_rudder</t>
  </si>
  <si>
    <t>airfoil_intrados_rudder</t>
  </si>
  <si>
    <t>joint_curvature_radius</t>
  </si>
  <si>
    <t>twist_angle_p2</t>
  </si>
  <si>
    <t>twist_angle_p2_1</t>
  </si>
  <si>
    <t>twist_angle_p3</t>
  </si>
  <si>
    <t>aero_table_inputs_point_z_mach</t>
  </si>
  <si>
    <t>lift_to_drag_table</t>
  </si>
  <si>
    <t>aero_output_Cx_table</t>
  </si>
  <si>
    <t>alpha_table</t>
  </si>
  <si>
    <t>aero_mean_chord</t>
  </si>
  <si>
    <t>wing_loading_law</t>
  </si>
  <si>
    <t>Cz_alpha_load_case</t>
  </si>
  <si>
    <t>Cz_max_load_case</t>
  </si>
  <si>
    <t>arodynamic_complete_model</t>
  </si>
  <si>
    <t>systems_masses_table</t>
  </si>
  <si>
    <t>cabin_seats_CoM</t>
  </si>
  <si>
    <t>cabin_toilets_CoM</t>
  </si>
  <si>
    <t>cabin_galleys_CoM</t>
  </si>
  <si>
    <t>cabin_doors_CoM</t>
  </si>
  <si>
    <t>hold_LD3_CoM</t>
  </si>
  <si>
    <t>hold_pallet_CoM</t>
  </si>
  <si>
    <t>engine_CoM</t>
  </si>
  <si>
    <t>front_landing_gear_CoM</t>
  </si>
  <si>
    <t>main_landing_gear_CoM</t>
  </si>
  <si>
    <t>wings_fuel_tank_CoM</t>
  </si>
  <si>
    <t>body_fuel_tank_CoM</t>
  </si>
  <si>
    <t>MTOW_CoM</t>
  </si>
  <si>
    <t>ZFW_CoM</t>
  </si>
  <si>
    <t>MLW_CoM</t>
  </si>
  <si>
    <t>MTOW_inertia</t>
  </si>
  <si>
    <t>ZFW_inertia</t>
  </si>
  <si>
    <t>MLW_inertia</t>
  </si>
  <si>
    <t>nb_cabin_partition</t>
  </si>
  <si>
    <t>hold_volume</t>
  </si>
  <si>
    <t>misc_volume</t>
  </si>
  <si>
    <t>nb_LD3</t>
  </si>
  <si>
    <t>nb_pallet</t>
  </si>
  <si>
    <t>nb_pax</t>
  </si>
  <si>
    <t>nb_cabin_crew</t>
  </si>
  <si>
    <t>nb_tech_crew</t>
  </si>
  <si>
    <t>nb_seats</t>
  </si>
  <si>
    <t>nb_toilets</t>
  </si>
  <si>
    <t>nb_galleys</t>
  </si>
  <si>
    <t>nb_doors</t>
  </si>
  <si>
    <t>engine_sizing_mach</t>
  </si>
  <si>
    <t>engine_sizing_altitude</t>
  </si>
  <si>
    <t>engine_sizing_thrust</t>
  </si>
  <si>
    <t>engine_sizing_Cz</t>
  </si>
  <si>
    <t>structural_design_altitude</t>
  </si>
  <si>
    <t>cruise_mach</t>
  </si>
  <si>
    <t>end_of_climb_altitude</t>
  </si>
  <si>
    <t>cruise_altitude</t>
  </si>
  <si>
    <t>charge_factor_load_case</t>
  </si>
  <si>
    <t>mission</t>
  </si>
  <si>
    <t>mission_at_max_action_radius</t>
  </si>
  <si>
    <t>mission_state</t>
  </si>
  <si>
    <t>flight_qualities_point_table</t>
  </si>
  <si>
    <t>rudder_chord</t>
  </si>
  <si>
    <t>rudder_role</t>
  </si>
  <si>
    <t>ctrl_surface_chord</t>
  </si>
  <si>
    <t>nb_rctrl_surface</t>
  </si>
  <si>
    <t>ctrl_surface_root_pos_y</t>
  </si>
  <si>
    <t>ctrl_surface_tip_pos_y</t>
  </si>
  <si>
    <t>ctrl_surface_role</t>
  </si>
  <si>
    <t>lambda_table</t>
  </si>
  <si>
    <t>lift_to_drag</t>
  </si>
  <si>
    <t>rudder</t>
  </si>
  <si>
    <t>ctrl_surfaces</t>
  </si>
  <si>
    <t>inertias</t>
  </si>
  <si>
    <t>mesh</t>
  </si>
  <si>
    <t>masses</t>
  </si>
  <si>
    <t>complete_model</t>
  </si>
  <si>
    <t>modes</t>
  </si>
  <si>
    <t>engines</t>
  </si>
  <si>
    <t>engine</t>
  </si>
  <si>
    <t>number</t>
  </si>
  <si>
    <t>wingbody</t>
  </si>
  <si>
    <t>propulsion_flight_point</t>
  </si>
  <si>
    <t>structure_flight_point</t>
  </si>
  <si>
    <t>flight_points</t>
  </si>
  <si>
    <t>lift</t>
  </si>
  <si>
    <t>thrust</t>
  </si>
  <si>
    <t>weight</t>
  </si>
  <si>
    <t>fuel_tanks</t>
  </si>
  <si>
    <t>scale</t>
  </si>
  <si>
    <t>sections</t>
  </si>
  <si>
    <t>cargo_hold</t>
  </si>
  <si>
    <t>temperatures</t>
  </si>
  <si>
    <t>landing_gear</t>
  </si>
  <si>
    <t>speeds</t>
  </si>
  <si>
    <t>twists</t>
  </si>
  <si>
    <t>acoustic</t>
  </si>
  <si>
    <t>centering</t>
  </si>
  <si>
    <t>cabin</t>
  </si>
  <si>
    <t>payload</t>
  </si>
  <si>
    <t>regime</t>
  </si>
  <si>
    <t>surfaces_verticales</t>
  </si>
  <si>
    <t>fuel_rates</t>
  </si>
  <si>
    <t>airfoil</t>
  </si>
  <si>
    <t>Geometry</t>
  </si>
  <si>
    <t>MCI</t>
  </si>
  <si>
    <t>Control</t>
  </si>
  <si>
    <t>Aerodynamics</t>
  </si>
</sst>
</file>

<file path=xl/styles.xml><?xml version="1.0" encoding="utf-8"?>
<styleSheet xmlns="http://schemas.openxmlformats.org/spreadsheetml/2006/main">
  <fonts count="20">
    <font>
      <sz val="10"/>
      <name val="Arial"/>
    </font>
    <font>
      <sz val="10"/>
      <name val="Arial"/>
      <family val="2"/>
    </font>
    <font>
      <b/>
      <sz val="10"/>
      <name val="Arial"/>
      <family val="2"/>
    </font>
    <font>
      <sz val="10"/>
      <name val="Arial"/>
      <family val="2"/>
    </font>
    <font>
      <sz val="9"/>
      <name val="Arial"/>
      <family val="2"/>
    </font>
    <font>
      <sz val="9"/>
      <color indexed="10"/>
      <name val="Arial"/>
      <family val="2"/>
    </font>
    <font>
      <b/>
      <sz val="10"/>
      <color indexed="10"/>
      <name val="Arial"/>
      <family val="2"/>
    </font>
    <font>
      <b/>
      <strike/>
      <sz val="10"/>
      <color indexed="10"/>
      <name val="Arial"/>
      <family val="2"/>
    </font>
    <font>
      <strike/>
      <sz val="9"/>
      <color indexed="10"/>
      <name val="Arial"/>
      <family val="2"/>
    </font>
    <font>
      <b/>
      <sz val="16"/>
      <name val="Arial"/>
      <family val="2"/>
    </font>
    <font>
      <sz val="8"/>
      <name val="Arial"/>
      <family val="2"/>
    </font>
    <font>
      <b/>
      <i/>
      <sz val="11"/>
      <color indexed="8"/>
      <name val="Arial"/>
      <family val="2"/>
    </font>
    <font>
      <b/>
      <i/>
      <sz val="10"/>
      <color indexed="62"/>
      <name val="Arial"/>
      <family val="2"/>
    </font>
    <font>
      <b/>
      <i/>
      <sz val="13"/>
      <color indexed="56"/>
      <name val="Calibri"/>
      <family val="2"/>
    </font>
    <font>
      <b/>
      <sz val="9"/>
      <color indexed="81"/>
      <name val="Tahoma"/>
      <family val="2"/>
    </font>
    <font>
      <sz val="9"/>
      <color indexed="81"/>
      <name val="Tahoma"/>
      <family val="2"/>
    </font>
    <font>
      <sz val="11"/>
      <color theme="0"/>
      <name val="Calibri"/>
      <family val="2"/>
      <scheme val="minor"/>
    </font>
    <font>
      <sz val="11"/>
      <color rgb="FF9C0006"/>
      <name val="Calibri"/>
      <family val="2"/>
      <scheme val="minor"/>
    </font>
    <font>
      <b/>
      <sz val="15"/>
      <color theme="3"/>
      <name val="Calibri"/>
      <family val="2"/>
      <scheme val="minor"/>
    </font>
    <font>
      <b/>
      <sz val="13"/>
      <color theme="3"/>
      <name val="Calibri"/>
      <family val="2"/>
      <scheme val="minor"/>
    </font>
  </fonts>
  <fills count="11">
    <fill>
      <patternFill patternType="none"/>
    </fill>
    <fill>
      <patternFill patternType="gray125"/>
    </fill>
    <fill>
      <patternFill patternType="solid">
        <fgColor indexed="31"/>
        <bgColor indexed="64"/>
      </patternFill>
    </fill>
    <fill>
      <patternFill patternType="solid">
        <fgColor indexed="45"/>
        <bgColor indexed="64"/>
      </patternFill>
    </fill>
    <fill>
      <patternFill patternType="solid">
        <fgColor indexed="42"/>
        <bgColor indexed="64"/>
      </patternFill>
    </fill>
    <fill>
      <patternFill patternType="solid">
        <fgColor indexed="22"/>
        <bgColor indexed="64"/>
      </patternFill>
    </fill>
    <fill>
      <patternFill patternType="solid">
        <fgColor indexed="46"/>
        <bgColor indexed="64"/>
      </patternFill>
    </fill>
    <fill>
      <patternFill patternType="solid">
        <fgColor indexed="27"/>
        <bgColor indexed="64"/>
      </patternFill>
    </fill>
    <fill>
      <patternFill patternType="solid">
        <fgColor indexed="47"/>
        <bgColor indexed="64"/>
      </patternFill>
    </fill>
    <fill>
      <patternFill patternType="solid">
        <fgColor theme="4"/>
      </patternFill>
    </fill>
    <fill>
      <patternFill patternType="solid">
        <fgColor rgb="FFFFC7CE"/>
      </patternFill>
    </fill>
  </fills>
  <borders count="59">
    <border>
      <left/>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thin">
        <color indexed="64"/>
      </right>
      <top/>
      <bottom/>
      <diagonal/>
    </border>
    <border>
      <left/>
      <right/>
      <top style="thin">
        <color indexed="64"/>
      </top>
      <bottom style="thin">
        <color indexed="64"/>
      </bottom>
      <diagonal/>
    </border>
    <border>
      <left/>
      <right/>
      <top style="thin">
        <color indexed="64"/>
      </top>
      <bottom style="medium">
        <color indexed="64"/>
      </bottom>
      <diagonal/>
    </border>
    <border>
      <left/>
      <right style="thin">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top/>
      <bottom style="medium">
        <color indexed="64"/>
      </bottom>
      <diagonal/>
    </border>
    <border>
      <left style="medium">
        <color indexed="64"/>
      </left>
      <right style="thin">
        <color indexed="64"/>
      </right>
      <top/>
      <bottom style="medium">
        <color indexed="64"/>
      </bottom>
      <diagonal/>
    </border>
    <border>
      <left style="thin">
        <color indexed="64"/>
      </left>
      <right/>
      <top/>
      <bottom/>
      <diagonal/>
    </border>
    <border>
      <left/>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ck">
        <color theme="4"/>
      </bottom>
      <diagonal/>
    </border>
    <border>
      <left/>
      <right/>
      <top/>
      <bottom style="thick">
        <color theme="4" tint="0.499984740745262"/>
      </bottom>
      <diagonal/>
    </border>
  </borders>
  <cellStyleXfs count="5">
    <xf numFmtId="0" fontId="0" fillId="0" borderId="0"/>
    <xf numFmtId="0" fontId="16" fillId="9" borderId="0" applyNumberFormat="0" applyBorder="0" applyAlignment="0" applyProtection="0"/>
    <xf numFmtId="0" fontId="17" fillId="10" borderId="0" applyNumberFormat="0" applyBorder="0" applyAlignment="0" applyProtection="0"/>
    <xf numFmtId="0" fontId="18" fillId="0" borderId="57" applyNumberFormat="0" applyFill="0" applyAlignment="0" applyProtection="0"/>
    <xf numFmtId="0" fontId="19" fillId="0" borderId="58" applyNumberFormat="0" applyFill="0" applyAlignment="0" applyProtection="0"/>
  </cellStyleXfs>
  <cellXfs count="363">
    <xf numFmtId="0" fontId="0" fillId="0" borderId="0" xfId="0"/>
    <xf numFmtId="0" fontId="1" fillId="0" borderId="0" xfId="0" applyFont="1"/>
    <xf numFmtId="0" fontId="3" fillId="0" borderId="0" xfId="0" applyFont="1"/>
    <xf numFmtId="0" fontId="3" fillId="0" borderId="1" xfId="0" applyFont="1" applyBorder="1" applyAlignment="1">
      <alignment horizontal="center"/>
    </xf>
    <xf numFmtId="0" fontId="3" fillId="0" borderId="2"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3" fillId="0" borderId="0" xfId="0" applyFont="1" applyBorder="1"/>
    <xf numFmtId="0" fontId="2" fillId="0" borderId="0" xfId="0" applyFont="1" applyBorder="1" applyAlignment="1">
      <alignment horizontal="center"/>
    </xf>
    <xf numFmtId="0" fontId="16" fillId="9" borderId="0" xfId="1"/>
    <xf numFmtId="0" fontId="2" fillId="0" borderId="5" xfId="0" applyFont="1" applyBorder="1" applyAlignment="1">
      <alignment horizontal="center" wrapText="1"/>
    </xf>
    <xf numFmtId="0" fontId="2" fillId="0" borderId="6" xfId="0" applyFont="1" applyBorder="1" applyAlignment="1">
      <alignment horizontal="center" vertical="center" wrapText="1"/>
    </xf>
    <xf numFmtId="0" fontId="2" fillId="0" borderId="7" xfId="0" applyFont="1" applyBorder="1" applyAlignment="1">
      <alignment horizontal="center" vertical="center" wrapText="1"/>
    </xf>
    <xf numFmtId="0" fontId="2" fillId="0" borderId="8" xfId="0" applyFont="1" applyBorder="1" applyAlignment="1">
      <alignment horizontal="center" vertical="center" wrapText="1"/>
    </xf>
    <xf numFmtId="0" fontId="2" fillId="0" borderId="5"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0" xfId="0" applyFont="1" applyBorder="1" applyAlignment="1">
      <alignment horizontal="center" vertical="center" wrapText="1"/>
    </xf>
    <xf numFmtId="0" fontId="2" fillId="0" borderId="11" xfId="0" applyFont="1" applyBorder="1" applyAlignment="1">
      <alignment horizontal="center" vertical="center" wrapText="1"/>
    </xf>
    <xf numFmtId="0" fontId="5" fillId="2" borderId="12" xfId="0" applyFont="1" applyFill="1" applyBorder="1" applyAlignment="1">
      <alignment horizontal="center" wrapText="1"/>
    </xf>
    <xf numFmtId="0" fontId="5" fillId="2" borderId="13" xfId="0" applyFont="1" applyFill="1" applyBorder="1" applyAlignment="1">
      <alignment wrapText="1"/>
    </xf>
    <xf numFmtId="0" fontId="5" fillId="2" borderId="12" xfId="0" applyFont="1" applyFill="1" applyBorder="1" applyAlignment="1">
      <alignment wrapText="1"/>
    </xf>
    <xf numFmtId="0" fontId="3" fillId="2" borderId="14" xfId="0" applyFont="1" applyFill="1" applyBorder="1"/>
    <xf numFmtId="0" fontId="4" fillId="2" borderId="15" xfId="0" applyFont="1" applyFill="1" applyBorder="1" applyAlignment="1">
      <alignment horizontal="center" wrapText="1"/>
    </xf>
    <xf numFmtId="0" fontId="4" fillId="2" borderId="16" xfId="0" applyFont="1" applyFill="1" applyBorder="1" applyAlignment="1">
      <alignment wrapText="1"/>
    </xf>
    <xf numFmtId="0" fontId="4" fillId="2" borderId="15" xfId="0" applyFont="1" applyFill="1" applyBorder="1" applyAlignment="1">
      <alignment wrapText="1"/>
    </xf>
    <xf numFmtId="0" fontId="3" fillId="2" borderId="2" xfId="0" applyFont="1" applyFill="1" applyBorder="1"/>
    <xf numFmtId="0" fontId="4" fillId="2" borderId="15" xfId="0" applyFont="1" applyFill="1" applyBorder="1" applyAlignment="1">
      <alignment horizontal="center" vertical="center" wrapText="1"/>
    </xf>
    <xf numFmtId="0" fontId="4" fillId="2" borderId="16" xfId="0" applyFont="1" applyFill="1" applyBorder="1" applyAlignment="1">
      <alignment vertical="center" wrapText="1"/>
    </xf>
    <xf numFmtId="0" fontId="4" fillId="2" borderId="15" xfId="0" applyFont="1" applyFill="1" applyBorder="1" applyAlignment="1">
      <alignment vertical="center" wrapText="1"/>
    </xf>
    <xf numFmtId="0" fontId="5" fillId="2" borderId="15" xfId="0" applyFont="1" applyFill="1" applyBorder="1" applyAlignment="1">
      <alignment horizontal="center" wrapText="1"/>
    </xf>
    <xf numFmtId="0" fontId="5" fillId="2" borderId="16" xfId="0" applyFont="1" applyFill="1" applyBorder="1" applyAlignment="1">
      <alignment wrapText="1"/>
    </xf>
    <xf numFmtId="0" fontId="5" fillId="2" borderId="15" xfId="0" applyFont="1" applyFill="1" applyBorder="1" applyAlignment="1">
      <alignment wrapText="1"/>
    </xf>
    <xf numFmtId="0" fontId="4" fillId="2" borderId="15" xfId="0" applyFont="1" applyFill="1" applyBorder="1" applyAlignment="1">
      <alignment vertical="top" wrapText="1"/>
    </xf>
    <xf numFmtId="0" fontId="5" fillId="2" borderId="15" xfId="0" applyFont="1" applyFill="1" applyBorder="1" applyAlignment="1">
      <alignment vertical="top" wrapText="1"/>
    </xf>
    <xf numFmtId="0" fontId="4" fillId="2" borderId="15" xfId="0" applyFont="1" applyFill="1" applyBorder="1" applyAlignment="1">
      <alignment horizontal="center" vertical="top" wrapText="1"/>
    </xf>
    <xf numFmtId="0" fontId="4" fillId="2" borderId="16" xfId="0" applyFont="1" applyFill="1" applyBorder="1" applyAlignment="1">
      <alignment vertical="top" wrapText="1"/>
    </xf>
    <xf numFmtId="0" fontId="4" fillId="2" borderId="17" xfId="0" applyFont="1" applyFill="1" applyBorder="1" applyAlignment="1">
      <alignment horizontal="center" vertical="top" wrapText="1"/>
    </xf>
    <xf numFmtId="0" fontId="4" fillId="2" borderId="18" xfId="0" applyFont="1" applyFill="1" applyBorder="1" applyAlignment="1">
      <alignment vertical="top" wrapText="1"/>
    </xf>
    <xf numFmtId="0" fontId="4" fillId="2" borderId="17" xfId="0" applyFont="1" applyFill="1" applyBorder="1" applyAlignment="1">
      <alignment wrapText="1"/>
    </xf>
    <xf numFmtId="0" fontId="4" fillId="2" borderId="17" xfId="0" applyFont="1" applyFill="1" applyBorder="1" applyAlignment="1">
      <alignment vertical="top" wrapText="1"/>
    </xf>
    <xf numFmtId="0" fontId="3" fillId="2" borderId="4" xfId="0" applyFont="1" applyFill="1" applyBorder="1"/>
    <xf numFmtId="0" fontId="2" fillId="3" borderId="13" xfId="0" applyFont="1" applyFill="1" applyBorder="1" applyAlignment="1">
      <alignment horizontal="center" vertical="top"/>
    </xf>
    <xf numFmtId="0" fontId="4" fillId="3" borderId="12" xfId="0" applyFont="1" applyFill="1" applyBorder="1" applyAlignment="1">
      <alignment horizontal="center" wrapText="1"/>
    </xf>
    <xf numFmtId="0" fontId="4" fillId="3" borderId="13" xfId="0" applyFont="1" applyFill="1" applyBorder="1" applyAlignment="1">
      <alignment wrapText="1"/>
    </xf>
    <xf numFmtId="0" fontId="4" fillId="3" borderId="12" xfId="0" applyFont="1" applyFill="1" applyBorder="1" applyAlignment="1">
      <alignment wrapText="1"/>
    </xf>
    <xf numFmtId="0" fontId="3" fillId="3" borderId="14" xfId="0" applyFont="1" applyFill="1" applyBorder="1"/>
    <xf numFmtId="0" fontId="2" fillId="3" borderId="19" xfId="0" applyFont="1" applyFill="1" applyBorder="1" applyAlignment="1">
      <alignment horizontal="center" vertical="top"/>
    </xf>
    <xf numFmtId="0" fontId="4" fillId="3" borderId="15" xfId="0" applyFont="1" applyFill="1" applyBorder="1" applyAlignment="1">
      <alignment horizontal="center" wrapText="1"/>
    </xf>
    <xf numFmtId="0" fontId="4" fillId="3" borderId="16" xfId="0" applyFont="1" applyFill="1" applyBorder="1" applyAlignment="1">
      <alignment wrapText="1"/>
    </xf>
    <xf numFmtId="0" fontId="4" fillId="3" borderId="15" xfId="0" applyFont="1" applyFill="1" applyBorder="1" applyAlignment="1">
      <alignment wrapText="1"/>
    </xf>
    <xf numFmtId="0" fontId="3" fillId="3" borderId="2" xfId="0" applyFont="1" applyFill="1" applyBorder="1"/>
    <xf numFmtId="0" fontId="2" fillId="3" borderId="16" xfId="0" applyFont="1" applyFill="1" applyBorder="1" applyAlignment="1">
      <alignment horizontal="center" vertical="top"/>
    </xf>
    <xf numFmtId="0" fontId="5" fillId="3" borderId="15" xfId="0" applyFont="1" applyFill="1" applyBorder="1" applyAlignment="1">
      <alignment horizontal="center" wrapText="1"/>
    </xf>
    <xf numFmtId="0" fontId="5" fillId="3" borderId="16" xfId="0" applyFont="1" applyFill="1" applyBorder="1" applyAlignment="1">
      <alignment wrapText="1"/>
    </xf>
    <xf numFmtId="0" fontId="5" fillId="3" borderId="15" xfId="0" applyFont="1" applyFill="1" applyBorder="1" applyAlignment="1">
      <alignment wrapText="1"/>
    </xf>
    <xf numFmtId="0" fontId="4" fillId="3" borderId="17" xfId="0" applyFont="1" applyFill="1" applyBorder="1" applyAlignment="1">
      <alignment horizontal="center" wrapText="1"/>
    </xf>
    <xf numFmtId="0" fontId="4" fillId="3" borderId="18" xfId="0" applyFont="1" applyFill="1" applyBorder="1" applyAlignment="1">
      <alignment wrapText="1"/>
    </xf>
    <xf numFmtId="0" fontId="4" fillId="3" borderId="17" xfId="0" applyFont="1" applyFill="1" applyBorder="1" applyAlignment="1">
      <alignment wrapText="1"/>
    </xf>
    <xf numFmtId="0" fontId="3" fillId="3" borderId="4" xfId="0" applyFont="1" applyFill="1" applyBorder="1"/>
    <xf numFmtId="0" fontId="4" fillId="4" borderId="12" xfId="0" applyFont="1" applyFill="1" applyBorder="1" applyAlignment="1">
      <alignment horizontal="center" wrapText="1"/>
    </xf>
    <xf numFmtId="0" fontId="4" fillId="4" borderId="13" xfId="0" applyFont="1" applyFill="1" applyBorder="1" applyAlignment="1">
      <alignment wrapText="1"/>
    </xf>
    <xf numFmtId="0" fontId="4" fillId="4" borderId="12" xfId="0" applyFont="1" applyFill="1" applyBorder="1" applyAlignment="1">
      <alignment wrapText="1"/>
    </xf>
    <xf numFmtId="0" fontId="3" fillId="4" borderId="14" xfId="0" applyFont="1" applyFill="1" applyBorder="1"/>
    <xf numFmtId="0" fontId="4" fillId="4" borderId="15" xfId="0" applyFont="1" applyFill="1" applyBorder="1" applyAlignment="1">
      <alignment horizontal="center" vertical="top" wrapText="1"/>
    </xf>
    <xf numFmtId="0" fontId="4" fillId="4" borderId="16" xfId="0" applyFont="1" applyFill="1" applyBorder="1" applyAlignment="1">
      <alignment vertical="top" wrapText="1"/>
    </xf>
    <xf numFmtId="0" fontId="3" fillId="4" borderId="1" xfId="0" applyFont="1" applyFill="1" applyBorder="1"/>
    <xf numFmtId="0" fontId="4" fillId="4" borderId="15" xfId="0" applyFont="1" applyFill="1" applyBorder="1" applyAlignment="1">
      <alignment vertical="top" wrapText="1"/>
    </xf>
    <xf numFmtId="0" fontId="4" fillId="4" borderId="15" xfId="0" applyFont="1" applyFill="1" applyBorder="1" applyAlignment="1">
      <alignment wrapText="1"/>
    </xf>
    <xf numFmtId="0" fontId="3" fillId="4" borderId="2" xfId="0" applyFont="1" applyFill="1" applyBorder="1"/>
    <xf numFmtId="0" fontId="5" fillId="4" borderId="15" xfId="0" applyFont="1" applyFill="1" applyBorder="1" applyAlignment="1">
      <alignment horizontal="center" wrapText="1"/>
    </xf>
    <xf numFmtId="0" fontId="5" fillId="4" borderId="16" xfId="0" applyFont="1" applyFill="1" applyBorder="1" applyAlignment="1">
      <alignment wrapText="1"/>
    </xf>
    <xf numFmtId="0" fontId="5" fillId="4" borderId="15" xfId="0" applyFont="1" applyFill="1" applyBorder="1" applyAlignment="1">
      <alignment vertical="top" wrapText="1"/>
    </xf>
    <xf numFmtId="0" fontId="5" fillId="4" borderId="15" xfId="0" applyFont="1" applyFill="1" applyBorder="1" applyAlignment="1">
      <alignment wrapText="1"/>
    </xf>
    <xf numFmtId="0" fontId="5" fillId="4" borderId="15" xfId="0" applyFont="1" applyFill="1" applyBorder="1" applyAlignment="1">
      <alignment horizontal="center" vertical="top" wrapText="1"/>
    </xf>
    <xf numFmtId="0" fontId="5" fillId="4" borderId="16" xfId="0" applyFont="1" applyFill="1" applyBorder="1" applyAlignment="1">
      <alignment vertical="top" wrapText="1"/>
    </xf>
    <xf numFmtId="0" fontId="4" fillId="4" borderId="15" xfId="0" applyFont="1" applyFill="1" applyBorder="1" applyAlignment="1">
      <alignment horizontal="center" wrapText="1"/>
    </xf>
    <xf numFmtId="0" fontId="4" fillId="4" borderId="16" xfId="0" applyFont="1" applyFill="1" applyBorder="1" applyAlignment="1">
      <alignment wrapText="1"/>
    </xf>
    <xf numFmtId="0" fontId="7" fillId="4" borderId="16" xfId="0" applyFont="1" applyFill="1" applyBorder="1" applyAlignment="1">
      <alignment horizontal="center" vertical="top"/>
    </xf>
    <xf numFmtId="0" fontId="8" fillId="4" borderId="15" xfId="0" applyFont="1" applyFill="1" applyBorder="1" applyAlignment="1">
      <alignment horizontal="center" vertical="top" wrapText="1"/>
    </xf>
    <xf numFmtId="0" fontId="8" fillId="4" borderId="16" xfId="0" applyFont="1" applyFill="1" applyBorder="1" applyAlignment="1">
      <alignment vertical="top" wrapText="1"/>
    </xf>
    <xf numFmtId="0" fontId="8" fillId="4" borderId="15" xfId="0" applyFont="1" applyFill="1" applyBorder="1" applyAlignment="1">
      <alignment vertical="top" wrapText="1"/>
    </xf>
    <xf numFmtId="0" fontId="8" fillId="4" borderId="15" xfId="0" applyFont="1" applyFill="1" applyBorder="1" applyAlignment="1">
      <alignment wrapText="1"/>
    </xf>
    <xf numFmtId="0" fontId="4" fillId="4" borderId="17" xfId="0" applyFont="1" applyFill="1" applyBorder="1" applyAlignment="1">
      <alignment horizontal="center" vertical="top" wrapText="1"/>
    </xf>
    <xf numFmtId="0" fontId="4" fillId="4" borderId="18" xfId="0" applyFont="1" applyFill="1" applyBorder="1" applyAlignment="1">
      <alignment vertical="top" wrapText="1"/>
    </xf>
    <xf numFmtId="0" fontId="4" fillId="4" borderId="17" xfId="0" applyFont="1" applyFill="1" applyBorder="1" applyAlignment="1">
      <alignment vertical="top" wrapText="1"/>
    </xf>
    <xf numFmtId="0" fontId="4" fillId="4" borderId="17" xfId="0" applyFont="1" applyFill="1" applyBorder="1" applyAlignment="1">
      <alignment wrapText="1"/>
    </xf>
    <xf numFmtId="0" fontId="3" fillId="4" borderId="4" xfId="0" applyFont="1" applyFill="1" applyBorder="1"/>
    <xf numFmtId="0" fontId="2" fillId="5" borderId="8" xfId="0" applyFont="1" applyFill="1" applyBorder="1" applyAlignment="1">
      <alignment horizontal="center" vertical="top"/>
    </xf>
    <xf numFmtId="0" fontId="4" fillId="5" borderId="12" xfId="0" applyFont="1" applyFill="1" applyBorder="1" applyAlignment="1">
      <alignment horizontal="center" wrapText="1"/>
    </xf>
    <xf numFmtId="0" fontId="4" fillId="5" borderId="13" xfId="0" applyFont="1" applyFill="1" applyBorder="1" applyAlignment="1">
      <alignment wrapText="1"/>
    </xf>
    <xf numFmtId="0" fontId="4" fillId="5" borderId="12" xfId="0" applyFont="1" applyFill="1" applyBorder="1" applyAlignment="1">
      <alignment wrapText="1"/>
    </xf>
    <xf numFmtId="0" fontId="3" fillId="5" borderId="14" xfId="0" applyFont="1" applyFill="1" applyBorder="1"/>
    <xf numFmtId="0" fontId="6" fillId="5" borderId="15" xfId="0" applyFont="1" applyFill="1" applyBorder="1" applyAlignment="1">
      <alignment horizontal="center" vertical="top"/>
    </xf>
    <xf numFmtId="0" fontId="5" fillId="5" borderId="20" xfId="0" applyFont="1" applyFill="1" applyBorder="1" applyAlignment="1">
      <alignment horizontal="center" wrapText="1"/>
    </xf>
    <xf numFmtId="0" fontId="5" fillId="5" borderId="19" xfId="0" applyFont="1" applyFill="1" applyBorder="1" applyAlignment="1">
      <alignment wrapText="1"/>
    </xf>
    <xf numFmtId="0" fontId="5" fillId="5" borderId="15" xfId="0" applyFont="1" applyFill="1" applyBorder="1" applyAlignment="1">
      <alignment wrapText="1"/>
    </xf>
    <xf numFmtId="0" fontId="3" fillId="5" borderId="2" xfId="0" applyFont="1" applyFill="1" applyBorder="1"/>
    <xf numFmtId="0" fontId="2" fillId="5" borderId="16" xfId="0" applyFont="1" applyFill="1" applyBorder="1" applyAlignment="1">
      <alignment horizontal="center" vertical="top"/>
    </xf>
    <xf numFmtId="0" fontId="4" fillId="5" borderId="15" xfId="0" applyFont="1" applyFill="1" applyBorder="1" applyAlignment="1">
      <alignment horizontal="center" wrapText="1"/>
    </xf>
    <xf numFmtId="0" fontId="4" fillId="5" borderId="16" xfId="0" applyFont="1" applyFill="1" applyBorder="1" applyAlignment="1">
      <alignment wrapText="1"/>
    </xf>
    <xf numFmtId="0" fontId="4" fillId="5" borderId="15" xfId="0" applyFont="1" applyFill="1" applyBorder="1" applyAlignment="1">
      <alignment wrapText="1"/>
    </xf>
    <xf numFmtId="0" fontId="2" fillId="5" borderId="18" xfId="0" applyFont="1" applyFill="1" applyBorder="1" applyAlignment="1">
      <alignment horizontal="center" vertical="top"/>
    </xf>
    <xf numFmtId="0" fontId="4" fillId="5" borderId="17" xfId="0" applyFont="1" applyFill="1" applyBorder="1" applyAlignment="1">
      <alignment horizontal="center" wrapText="1"/>
    </xf>
    <xf numFmtId="0" fontId="4" fillId="5" borderId="18" xfId="0" applyFont="1" applyFill="1" applyBorder="1" applyAlignment="1">
      <alignment wrapText="1"/>
    </xf>
    <xf numFmtId="0" fontId="4" fillId="5" borderId="17" xfId="0" applyFont="1" applyFill="1" applyBorder="1" applyAlignment="1">
      <alignment wrapText="1"/>
    </xf>
    <xf numFmtId="0" fontId="3" fillId="5" borderId="4" xfId="0" applyFont="1" applyFill="1" applyBorder="1"/>
    <xf numFmtId="0" fontId="2" fillId="5" borderId="21" xfId="0" applyFont="1" applyFill="1" applyBorder="1" applyAlignment="1">
      <alignment horizontal="center" vertical="top"/>
    </xf>
    <xf numFmtId="0" fontId="4" fillId="5" borderId="16" xfId="0" applyFont="1" applyFill="1" applyBorder="1" applyAlignment="1">
      <alignment horizontal="justify" vertical="top" wrapText="1"/>
    </xf>
    <xf numFmtId="0" fontId="4" fillId="5" borderId="15" xfId="0" applyFont="1" applyFill="1" applyBorder="1" applyAlignment="1">
      <alignment vertical="top" wrapText="1"/>
    </xf>
    <xf numFmtId="0" fontId="4" fillId="6" borderId="15" xfId="0" applyFont="1" applyFill="1" applyBorder="1" applyAlignment="1">
      <alignment horizontal="center" wrapText="1"/>
    </xf>
    <xf numFmtId="0" fontId="4" fillId="6" borderId="16" xfId="0" applyFont="1" applyFill="1" applyBorder="1" applyAlignment="1">
      <alignment wrapText="1"/>
    </xf>
    <xf numFmtId="0" fontId="3" fillId="6" borderId="1" xfId="0" applyFont="1" applyFill="1" applyBorder="1"/>
    <xf numFmtId="0" fontId="4" fillId="6" borderId="15" xfId="0" applyFont="1" applyFill="1" applyBorder="1" applyAlignment="1">
      <alignment wrapText="1"/>
    </xf>
    <xf numFmtId="0" fontId="3" fillId="6" borderId="2" xfId="0" applyFont="1" applyFill="1" applyBorder="1"/>
    <xf numFmtId="0" fontId="4" fillId="7" borderId="15" xfId="0" applyFont="1" applyFill="1" applyBorder="1" applyAlignment="1">
      <alignment horizontal="center" wrapText="1"/>
    </xf>
    <xf numFmtId="0" fontId="4" fillId="7" borderId="16" xfId="0" applyFont="1" applyFill="1" applyBorder="1" applyAlignment="1">
      <alignment wrapText="1"/>
    </xf>
    <xf numFmtId="0" fontId="4" fillId="7" borderId="15" xfId="0" applyFont="1" applyFill="1" applyBorder="1" applyAlignment="1">
      <alignment wrapText="1"/>
    </xf>
    <xf numFmtId="0" fontId="3" fillId="7" borderId="2" xfId="0" applyFont="1" applyFill="1" applyBorder="1"/>
    <xf numFmtId="0" fontId="2" fillId="5" borderId="22" xfId="0" applyFont="1" applyFill="1" applyBorder="1" applyAlignment="1">
      <alignment horizontal="center" vertical="top"/>
    </xf>
    <xf numFmtId="0" fontId="2" fillId="5" borderId="23" xfId="0" applyFont="1" applyFill="1" applyBorder="1" applyAlignment="1">
      <alignment horizontal="center" vertical="top"/>
    </xf>
    <xf numFmtId="0" fontId="4" fillId="5" borderId="24" xfId="0" applyFont="1" applyFill="1" applyBorder="1" applyAlignment="1">
      <alignment horizontal="center" wrapText="1"/>
    </xf>
    <xf numFmtId="0" fontId="4" fillId="5" borderId="23" xfId="0" applyFont="1" applyFill="1" applyBorder="1" applyAlignment="1">
      <alignment wrapText="1"/>
    </xf>
    <xf numFmtId="0" fontId="4" fillId="6" borderId="12" xfId="0" applyFont="1" applyFill="1" applyBorder="1" applyAlignment="1">
      <alignment horizontal="center" wrapText="1"/>
    </xf>
    <xf numFmtId="0" fontId="4" fillId="6" borderId="13" xfId="0" applyFont="1" applyFill="1" applyBorder="1" applyAlignment="1">
      <alignment wrapText="1"/>
    </xf>
    <xf numFmtId="0" fontId="4" fillId="6" borderId="12" xfId="0" applyFont="1" applyFill="1" applyBorder="1" applyAlignment="1">
      <alignment wrapText="1"/>
    </xf>
    <xf numFmtId="0" fontId="3" fillId="6" borderId="14" xfId="0" applyFont="1" applyFill="1" applyBorder="1"/>
    <xf numFmtId="0" fontId="4" fillId="6" borderId="17" xfId="0" applyFont="1" applyFill="1" applyBorder="1" applyAlignment="1">
      <alignment wrapText="1"/>
    </xf>
    <xf numFmtId="0" fontId="3" fillId="6" borderId="4" xfId="0" applyFont="1" applyFill="1" applyBorder="1"/>
    <xf numFmtId="0" fontId="2" fillId="7" borderId="13" xfId="0" applyFont="1" applyFill="1" applyBorder="1" applyAlignment="1">
      <alignment horizontal="center" vertical="top"/>
    </xf>
    <xf numFmtId="0" fontId="4" fillId="7" borderId="12" xfId="0" applyFont="1" applyFill="1" applyBorder="1" applyAlignment="1">
      <alignment horizontal="center" wrapText="1"/>
    </xf>
    <xf numFmtId="0" fontId="4" fillId="7" borderId="13" xfId="0" applyFont="1" applyFill="1" applyBorder="1" applyAlignment="1">
      <alignment wrapText="1"/>
    </xf>
    <xf numFmtId="0" fontId="4" fillId="7" borderId="12" xfId="0" applyFont="1" applyFill="1" applyBorder="1" applyAlignment="1">
      <alignment wrapText="1"/>
    </xf>
    <xf numFmtId="0" fontId="3" fillId="7" borderId="14" xfId="0" applyFont="1" applyFill="1" applyBorder="1"/>
    <xf numFmtId="0" fontId="2" fillId="7" borderId="18" xfId="0" applyFont="1" applyFill="1" applyBorder="1" applyAlignment="1">
      <alignment horizontal="center" vertical="top"/>
    </xf>
    <xf numFmtId="0" fontId="4" fillId="7" borderId="17" xfId="0" applyFont="1" applyFill="1" applyBorder="1" applyAlignment="1">
      <alignment horizontal="center" vertical="top" wrapText="1"/>
    </xf>
    <xf numFmtId="0" fontId="4" fillId="7" borderId="18" xfId="0" applyFont="1" applyFill="1" applyBorder="1" applyAlignment="1">
      <alignment vertical="top" wrapText="1"/>
    </xf>
    <xf numFmtId="0" fontId="4" fillId="7" borderId="17" xfId="0" applyFont="1" applyFill="1" applyBorder="1" applyAlignment="1">
      <alignment wrapText="1"/>
    </xf>
    <xf numFmtId="0" fontId="3" fillId="7" borderId="4" xfId="0" applyFont="1" applyFill="1" applyBorder="1"/>
    <xf numFmtId="0" fontId="3" fillId="5" borderId="22" xfId="0" applyFont="1" applyFill="1" applyBorder="1"/>
    <xf numFmtId="0" fontId="4" fillId="5" borderId="24" xfId="0" applyFont="1" applyFill="1" applyBorder="1" applyAlignment="1">
      <alignment wrapText="1"/>
    </xf>
    <xf numFmtId="0" fontId="3" fillId="5" borderId="25" xfId="0" applyFont="1" applyFill="1" applyBorder="1"/>
    <xf numFmtId="0" fontId="4" fillId="6" borderId="17" xfId="0" applyFont="1" applyFill="1" applyBorder="1" applyAlignment="1">
      <alignment horizontal="center" wrapText="1"/>
    </xf>
    <xf numFmtId="0" fontId="4" fillId="6" borderId="18" xfId="0" applyFont="1" applyFill="1" applyBorder="1" applyAlignment="1">
      <alignment wrapText="1"/>
    </xf>
    <xf numFmtId="0" fontId="3" fillId="2" borderId="26" xfId="0" applyFont="1" applyFill="1" applyBorder="1"/>
    <xf numFmtId="0" fontId="3" fillId="2" borderId="27" xfId="0" applyFont="1" applyFill="1" applyBorder="1"/>
    <xf numFmtId="0" fontId="3" fillId="2" borderId="28" xfId="0" applyFont="1" applyFill="1" applyBorder="1"/>
    <xf numFmtId="0" fontId="3" fillId="3" borderId="26" xfId="0" applyFont="1" applyFill="1" applyBorder="1"/>
    <xf numFmtId="0" fontId="3" fillId="3" borderId="27" xfId="0" applyFont="1" applyFill="1" applyBorder="1"/>
    <xf numFmtId="0" fontId="3" fillId="3" borderId="28" xfId="0" applyFont="1" applyFill="1" applyBorder="1"/>
    <xf numFmtId="0" fontId="3" fillId="4" borderId="26" xfId="0" applyFont="1" applyFill="1" applyBorder="1"/>
    <xf numFmtId="0" fontId="3" fillId="4" borderId="27" xfId="0" applyFont="1" applyFill="1" applyBorder="1"/>
    <xf numFmtId="0" fontId="3" fillId="4" borderId="28" xfId="0" applyFont="1" applyFill="1" applyBorder="1"/>
    <xf numFmtId="0" fontId="3" fillId="5" borderId="26" xfId="0" applyFont="1" applyFill="1" applyBorder="1"/>
    <xf numFmtId="0" fontId="3" fillId="5" borderId="27" xfId="0" applyFont="1" applyFill="1" applyBorder="1"/>
    <xf numFmtId="0" fontId="3" fillId="5" borderId="28" xfId="0" applyFont="1" applyFill="1" applyBorder="1"/>
    <xf numFmtId="0" fontId="3" fillId="6" borderId="26" xfId="0" applyFont="1" applyFill="1" applyBorder="1"/>
    <xf numFmtId="0" fontId="3" fillId="6" borderId="27" xfId="0" applyFont="1" applyFill="1" applyBorder="1"/>
    <xf numFmtId="0" fontId="3" fillId="6" borderId="28" xfId="0" applyFont="1" applyFill="1" applyBorder="1"/>
    <xf numFmtId="0" fontId="3" fillId="5" borderId="29" xfId="0" applyFont="1" applyFill="1" applyBorder="1"/>
    <xf numFmtId="0" fontId="3" fillId="7" borderId="26" xfId="0" applyFont="1" applyFill="1" applyBorder="1"/>
    <xf numFmtId="0" fontId="3" fillId="7" borderId="27" xfId="0" applyFont="1" applyFill="1" applyBorder="1"/>
    <xf numFmtId="0" fontId="3" fillId="7" borderId="28" xfId="0" applyFont="1" applyFill="1" applyBorder="1"/>
    <xf numFmtId="0" fontId="3" fillId="2" borderId="30" xfId="0" applyFont="1" applyFill="1" applyBorder="1"/>
    <xf numFmtId="0" fontId="3" fillId="2" borderId="31" xfId="0" applyFont="1" applyFill="1" applyBorder="1"/>
    <xf numFmtId="0" fontId="3" fillId="3" borderId="32" xfId="0" applyFont="1" applyFill="1" applyBorder="1"/>
    <xf numFmtId="0" fontId="3" fillId="3" borderId="30" xfId="0" applyFont="1" applyFill="1" applyBorder="1"/>
    <xf numFmtId="0" fontId="3" fillId="3" borderId="31" xfId="0" applyFont="1" applyFill="1" applyBorder="1"/>
    <xf numFmtId="0" fontId="3" fillId="4" borderId="32" xfId="0" applyFont="1" applyFill="1" applyBorder="1"/>
    <xf numFmtId="0" fontId="3" fillId="4" borderId="30" xfId="0" applyFont="1" applyFill="1" applyBorder="1"/>
    <xf numFmtId="0" fontId="3" fillId="4" borderId="31" xfId="0" applyFont="1" applyFill="1" applyBorder="1"/>
    <xf numFmtId="0" fontId="3" fillId="5" borderId="32" xfId="0" applyFont="1" applyFill="1" applyBorder="1"/>
    <xf numFmtId="0" fontId="3" fillId="5" borderId="30" xfId="0" applyFont="1" applyFill="1" applyBorder="1"/>
    <xf numFmtId="0" fontId="3" fillId="5" borderId="31" xfId="0" applyFont="1" applyFill="1" applyBorder="1"/>
    <xf numFmtId="0" fontId="3" fillId="6" borderId="32" xfId="0" applyFont="1" applyFill="1" applyBorder="1"/>
    <xf numFmtId="0" fontId="3" fillId="6" borderId="30" xfId="0" applyFont="1" applyFill="1" applyBorder="1"/>
    <xf numFmtId="0" fontId="3" fillId="6" borderId="31" xfId="0" applyFont="1" applyFill="1" applyBorder="1"/>
    <xf numFmtId="0" fontId="3" fillId="5" borderId="5" xfId="0" applyFont="1" applyFill="1" applyBorder="1"/>
    <xf numFmtId="0" fontId="3" fillId="7" borderId="32" xfId="0" applyFont="1" applyFill="1" applyBorder="1"/>
    <xf numFmtId="0" fontId="3" fillId="7" borderId="30" xfId="0" applyFont="1" applyFill="1" applyBorder="1"/>
    <xf numFmtId="0" fontId="3" fillId="7" borderId="31" xfId="0" applyFont="1" applyFill="1" applyBorder="1"/>
    <xf numFmtId="0" fontId="17" fillId="4" borderId="2" xfId="2" applyFill="1" applyBorder="1"/>
    <xf numFmtId="0" fontId="2" fillId="0" borderId="33" xfId="0" applyFont="1" applyBorder="1" applyAlignment="1">
      <alignment horizontal="center" vertical="center" wrapText="1"/>
    </xf>
    <xf numFmtId="0" fontId="5" fillId="2" borderId="34" xfId="0" applyFont="1" applyFill="1" applyBorder="1" applyAlignment="1">
      <alignment wrapText="1"/>
    </xf>
    <xf numFmtId="0" fontId="5" fillId="2" borderId="14" xfId="0" applyFont="1" applyFill="1" applyBorder="1" applyAlignment="1">
      <alignment wrapText="1"/>
    </xf>
    <xf numFmtId="0" fontId="4" fillId="2" borderId="1" xfId="0" applyFont="1" applyFill="1" applyBorder="1" applyAlignment="1">
      <alignment wrapText="1"/>
    </xf>
    <xf numFmtId="0" fontId="4" fillId="2" borderId="2" xfId="0" applyFont="1" applyFill="1" applyBorder="1" applyAlignment="1">
      <alignment wrapText="1"/>
    </xf>
    <xf numFmtId="0" fontId="4" fillId="2" borderId="1" xfId="0" applyFont="1" applyFill="1" applyBorder="1" applyAlignment="1">
      <alignment vertical="center" wrapText="1"/>
    </xf>
    <xf numFmtId="0" fontId="4" fillId="2" borderId="2" xfId="0" applyFont="1" applyFill="1" applyBorder="1" applyAlignment="1">
      <alignment vertical="center" wrapText="1"/>
    </xf>
    <xf numFmtId="0" fontId="5" fillId="2" borderId="1" xfId="0" applyFont="1" applyFill="1" applyBorder="1" applyAlignment="1">
      <alignment wrapText="1"/>
    </xf>
    <xf numFmtId="0" fontId="5" fillId="2" borderId="2" xfId="0" applyFont="1" applyFill="1" applyBorder="1" applyAlignment="1">
      <alignment wrapText="1"/>
    </xf>
    <xf numFmtId="0" fontId="4" fillId="2" borderId="4" xfId="0" applyFont="1" applyFill="1" applyBorder="1" applyAlignment="1">
      <alignment wrapText="1"/>
    </xf>
    <xf numFmtId="0" fontId="4" fillId="3" borderId="34" xfId="0" applyFont="1" applyFill="1" applyBorder="1" applyAlignment="1">
      <alignment wrapText="1"/>
    </xf>
    <xf numFmtId="0" fontId="4" fillId="3" borderId="14" xfId="0" applyFont="1" applyFill="1" applyBorder="1" applyAlignment="1">
      <alignment wrapText="1"/>
    </xf>
    <xf numFmtId="0" fontId="4" fillId="3" borderId="1" xfId="0" applyFont="1" applyFill="1" applyBorder="1" applyAlignment="1">
      <alignment wrapText="1"/>
    </xf>
    <xf numFmtId="0" fontId="4" fillId="3" borderId="2" xfId="0" applyFont="1" applyFill="1" applyBorder="1" applyAlignment="1">
      <alignment wrapText="1"/>
    </xf>
    <xf numFmtId="0" fontId="5" fillId="3" borderId="1" xfId="0" applyFont="1" applyFill="1" applyBorder="1" applyAlignment="1">
      <alignment wrapText="1"/>
    </xf>
    <xf numFmtId="0" fontId="5" fillId="3" borderId="2" xfId="0" applyFont="1" applyFill="1" applyBorder="1" applyAlignment="1">
      <alignment wrapText="1"/>
    </xf>
    <xf numFmtId="0" fontId="4" fillId="3" borderId="3" xfId="0" applyFont="1" applyFill="1" applyBorder="1" applyAlignment="1">
      <alignment wrapText="1"/>
    </xf>
    <xf numFmtId="0" fontId="4" fillId="3" borderId="4" xfId="0" applyFont="1" applyFill="1" applyBorder="1" applyAlignment="1">
      <alignment wrapText="1"/>
    </xf>
    <xf numFmtId="0" fontId="4" fillId="4" borderId="34" xfId="0" applyFont="1" applyFill="1" applyBorder="1" applyAlignment="1">
      <alignment wrapText="1"/>
    </xf>
    <xf numFmtId="0" fontId="4" fillId="4" borderId="14" xfId="0" applyFont="1" applyFill="1" applyBorder="1" applyAlignment="1">
      <alignment wrapText="1"/>
    </xf>
    <xf numFmtId="0" fontId="4" fillId="4" borderId="1" xfId="0" applyFont="1" applyFill="1" applyBorder="1" applyAlignment="1">
      <alignment vertical="top" wrapText="1"/>
    </xf>
    <xf numFmtId="0" fontId="4" fillId="4" borderId="2" xfId="0" applyFont="1" applyFill="1" applyBorder="1" applyAlignment="1">
      <alignment vertical="top" wrapText="1"/>
    </xf>
    <xf numFmtId="0" fontId="5" fillId="4" borderId="1" xfId="0" applyFont="1" applyFill="1" applyBorder="1" applyAlignment="1">
      <alignment vertical="top" wrapText="1"/>
    </xf>
    <xf numFmtId="0" fontId="5" fillId="4" borderId="2" xfId="0" applyFont="1" applyFill="1" applyBorder="1" applyAlignment="1">
      <alignment vertical="top" wrapText="1"/>
    </xf>
    <xf numFmtId="0" fontId="8" fillId="4" borderId="1" xfId="0" applyFont="1" applyFill="1" applyBorder="1" applyAlignment="1">
      <alignment vertical="top" wrapText="1"/>
    </xf>
    <xf numFmtId="0" fontId="8" fillId="4" borderId="2" xfId="0" applyFont="1" applyFill="1" applyBorder="1" applyAlignment="1">
      <alignment vertical="top" wrapText="1"/>
    </xf>
    <xf numFmtId="0" fontId="4" fillId="4" borderId="3" xfId="0" applyFont="1" applyFill="1" applyBorder="1" applyAlignment="1">
      <alignment vertical="top" wrapText="1"/>
    </xf>
    <xf numFmtId="0" fontId="4" fillId="4" borderId="4" xfId="0" applyFont="1" applyFill="1" applyBorder="1" applyAlignment="1">
      <alignment vertical="top" wrapText="1"/>
    </xf>
    <xf numFmtId="0" fontId="4" fillId="5" borderId="34" xfId="0" applyFont="1" applyFill="1" applyBorder="1" applyAlignment="1">
      <alignment wrapText="1"/>
    </xf>
    <xf numFmtId="0" fontId="4" fillId="5" borderId="14" xfId="0" applyFont="1" applyFill="1" applyBorder="1" applyAlignment="1">
      <alignment wrapText="1"/>
    </xf>
    <xf numFmtId="0" fontId="5" fillId="5" borderId="1" xfId="0" applyFont="1" applyFill="1" applyBorder="1" applyAlignment="1">
      <alignment wrapText="1"/>
    </xf>
    <xf numFmtId="0" fontId="5" fillId="5" borderId="2" xfId="0" applyFont="1" applyFill="1" applyBorder="1" applyAlignment="1">
      <alignment wrapText="1"/>
    </xf>
    <xf numFmtId="0" fontId="4" fillId="5" borderId="1" xfId="0" applyFont="1" applyFill="1" applyBorder="1" applyAlignment="1">
      <alignment wrapText="1"/>
    </xf>
    <xf numFmtId="0" fontId="4" fillId="5" borderId="2" xfId="0" applyFont="1" applyFill="1" applyBorder="1" applyAlignment="1">
      <alignment wrapText="1"/>
    </xf>
    <xf numFmtId="0" fontId="4" fillId="5" borderId="3" xfId="0" applyFont="1" applyFill="1" applyBorder="1" applyAlignment="1">
      <alignment wrapText="1"/>
    </xf>
    <xf numFmtId="0" fontId="4" fillId="5" borderId="4" xfId="0" applyFont="1" applyFill="1" applyBorder="1" applyAlignment="1">
      <alignment wrapText="1"/>
    </xf>
    <xf numFmtId="0" fontId="4" fillId="6" borderId="34" xfId="0" applyFont="1" applyFill="1" applyBorder="1" applyAlignment="1">
      <alignment wrapText="1"/>
    </xf>
    <xf numFmtId="0" fontId="4" fillId="6" borderId="14" xfId="0" applyFont="1" applyFill="1" applyBorder="1" applyAlignment="1">
      <alignment wrapText="1"/>
    </xf>
    <xf numFmtId="0" fontId="4" fillId="6" borderId="1" xfId="0" applyFont="1" applyFill="1" applyBorder="1" applyAlignment="1">
      <alignment wrapText="1"/>
    </xf>
    <xf numFmtId="0" fontId="4" fillId="6" borderId="2" xfId="0" applyFont="1" applyFill="1" applyBorder="1" applyAlignment="1">
      <alignment wrapText="1"/>
    </xf>
    <xf numFmtId="0" fontId="4" fillId="6" borderId="3" xfId="0" applyFont="1" applyFill="1" applyBorder="1" applyAlignment="1">
      <alignment wrapText="1"/>
    </xf>
    <xf numFmtId="0" fontId="4" fillId="6" borderId="4" xfId="0" applyFont="1" applyFill="1" applyBorder="1" applyAlignment="1">
      <alignment wrapText="1"/>
    </xf>
    <xf numFmtId="0" fontId="4" fillId="5" borderId="22" xfId="0" applyFont="1" applyFill="1" applyBorder="1" applyAlignment="1">
      <alignment wrapText="1"/>
    </xf>
    <xf numFmtId="0" fontId="4" fillId="5" borderId="25" xfId="0" applyFont="1" applyFill="1" applyBorder="1" applyAlignment="1">
      <alignment wrapText="1"/>
    </xf>
    <xf numFmtId="0" fontId="4" fillId="7" borderId="34" xfId="0" applyFont="1" applyFill="1" applyBorder="1" applyAlignment="1">
      <alignment wrapText="1"/>
    </xf>
    <xf numFmtId="0" fontId="4" fillId="7" borderId="14" xfId="0" applyFont="1" applyFill="1" applyBorder="1" applyAlignment="1">
      <alignment wrapText="1"/>
    </xf>
    <xf numFmtId="0" fontId="4" fillId="7" borderId="1" xfId="0" applyFont="1" applyFill="1" applyBorder="1" applyAlignment="1">
      <alignment wrapText="1"/>
    </xf>
    <xf numFmtId="0" fontId="4" fillId="7" borderId="2" xfId="0" applyFont="1" applyFill="1" applyBorder="1" applyAlignment="1">
      <alignment wrapText="1"/>
    </xf>
    <xf numFmtId="0" fontId="4" fillId="7" borderId="4" xfId="0" applyFont="1" applyFill="1" applyBorder="1" applyAlignment="1">
      <alignment wrapText="1"/>
    </xf>
    <xf numFmtId="0" fontId="4" fillId="2" borderId="1" xfId="0" applyFont="1" applyFill="1" applyBorder="1" applyAlignment="1">
      <alignment vertical="top" wrapText="1"/>
    </xf>
    <xf numFmtId="0" fontId="4" fillId="2" borderId="2" xfId="0" applyFont="1" applyFill="1" applyBorder="1" applyAlignment="1">
      <alignment vertical="top" wrapText="1"/>
    </xf>
    <xf numFmtId="0" fontId="5" fillId="2" borderId="1" xfId="0" applyFont="1" applyFill="1" applyBorder="1" applyAlignment="1">
      <alignment vertical="top" wrapText="1"/>
    </xf>
    <xf numFmtId="0" fontId="5" fillId="2" borderId="2" xfId="0" applyFont="1" applyFill="1" applyBorder="1" applyAlignment="1">
      <alignment vertical="top" wrapText="1"/>
    </xf>
    <xf numFmtId="0" fontId="4" fillId="2" borderId="3" xfId="0" applyFont="1" applyFill="1" applyBorder="1" applyAlignment="1">
      <alignment vertical="top" wrapText="1"/>
    </xf>
    <xf numFmtId="0" fontId="4" fillId="2" borderId="4" xfId="0" applyFont="1" applyFill="1" applyBorder="1" applyAlignment="1">
      <alignment vertical="top" wrapText="1"/>
    </xf>
    <xf numFmtId="0" fontId="4" fillId="5" borderId="1" xfId="0" applyFont="1" applyFill="1" applyBorder="1" applyAlignment="1">
      <alignment vertical="top" wrapText="1"/>
    </xf>
    <xf numFmtId="0" fontId="4" fillId="5" borderId="2" xfId="0" applyFont="1" applyFill="1" applyBorder="1" applyAlignment="1">
      <alignment vertical="top" wrapText="1"/>
    </xf>
    <xf numFmtId="0" fontId="4" fillId="7" borderId="3" xfId="0" applyFont="1" applyFill="1" applyBorder="1" applyAlignment="1">
      <alignment wrapText="1"/>
    </xf>
    <xf numFmtId="0" fontId="9" fillId="8" borderId="0" xfId="0" applyFont="1" applyFill="1" applyAlignment="1">
      <alignment vertical="center" textRotation="90"/>
    </xf>
    <xf numFmtId="0" fontId="9" fillId="8" borderId="0" xfId="0" quotePrefix="1" applyFont="1" applyFill="1" applyAlignment="1">
      <alignment vertical="center" textRotation="90"/>
    </xf>
    <xf numFmtId="0" fontId="3" fillId="4" borderId="35" xfId="0" applyFont="1" applyFill="1" applyBorder="1"/>
    <xf numFmtId="0" fontId="2" fillId="4" borderId="36" xfId="0" applyFont="1" applyFill="1" applyBorder="1" applyAlignment="1">
      <alignment vertical="top"/>
    </xf>
    <xf numFmtId="0" fontId="2" fillId="4" borderId="37" xfId="0" applyFont="1" applyFill="1" applyBorder="1" applyAlignment="1">
      <alignment horizontal="center" vertical="top"/>
    </xf>
    <xf numFmtId="0" fontId="6" fillId="4" borderId="37" xfId="0" applyFont="1" applyFill="1" applyBorder="1" applyAlignment="1">
      <alignment horizontal="center" vertical="top"/>
    </xf>
    <xf numFmtId="0" fontId="2" fillId="4" borderId="38" xfId="0" applyFont="1" applyFill="1" applyBorder="1" applyAlignment="1">
      <alignment horizontal="center" vertical="top"/>
    </xf>
    <xf numFmtId="0" fontId="2" fillId="0" borderId="9" xfId="0" applyFont="1" applyBorder="1" applyAlignment="1">
      <alignment horizontal="center" vertical="center"/>
    </xf>
    <xf numFmtId="0" fontId="2" fillId="0" borderId="11" xfId="0" applyFont="1" applyBorder="1" applyAlignment="1">
      <alignment horizontal="center" vertical="center"/>
    </xf>
    <xf numFmtId="0" fontId="5" fillId="2" borderId="26" xfId="0" applyFont="1" applyFill="1" applyBorder="1" applyAlignment="1">
      <alignment wrapText="1"/>
    </xf>
    <xf numFmtId="0" fontId="4" fillId="2" borderId="27" xfId="0" applyFont="1" applyFill="1" applyBorder="1" applyAlignment="1">
      <alignment wrapText="1"/>
    </xf>
    <xf numFmtId="0" fontId="4" fillId="2" borderId="27" xfId="0" applyFont="1" applyFill="1" applyBorder="1" applyAlignment="1">
      <alignment vertical="center" wrapText="1"/>
    </xf>
    <xf numFmtId="0" fontId="5" fillId="2" borderId="27" xfId="0" applyFont="1" applyFill="1" applyBorder="1" applyAlignment="1">
      <alignment wrapText="1"/>
    </xf>
    <xf numFmtId="0" fontId="4" fillId="2" borderId="28" xfId="0" applyFont="1" applyFill="1" applyBorder="1" applyAlignment="1">
      <alignment wrapText="1"/>
    </xf>
    <xf numFmtId="0" fontId="4" fillId="3" borderId="26" xfId="0" applyFont="1" applyFill="1" applyBorder="1" applyAlignment="1">
      <alignment wrapText="1"/>
    </xf>
    <xf numFmtId="0" fontId="4" fillId="3" borderId="27" xfId="0" applyFont="1" applyFill="1" applyBorder="1" applyAlignment="1">
      <alignment wrapText="1"/>
    </xf>
    <xf numFmtId="0" fontId="5" fillId="3" borderId="27" xfId="0" applyFont="1" applyFill="1" applyBorder="1" applyAlignment="1">
      <alignment wrapText="1"/>
    </xf>
    <xf numFmtId="0" fontId="4" fillId="3" borderId="27" xfId="0" applyFont="1" applyFill="1" applyBorder="1" applyAlignment="1">
      <alignment vertical="top" wrapText="1"/>
    </xf>
    <xf numFmtId="0" fontId="4" fillId="3" borderId="28" xfId="0" applyFont="1" applyFill="1" applyBorder="1" applyAlignment="1">
      <alignment wrapText="1"/>
    </xf>
    <xf numFmtId="0" fontId="4" fillId="4" borderId="26" xfId="0" applyFont="1" applyFill="1" applyBorder="1" applyAlignment="1">
      <alignment wrapText="1"/>
    </xf>
    <xf numFmtId="0" fontId="4" fillId="4" borderId="27" xfId="0" applyFont="1" applyFill="1" applyBorder="1" applyAlignment="1">
      <alignment vertical="top" wrapText="1"/>
    </xf>
    <xf numFmtId="0" fontId="5" fillId="4" borderId="27" xfId="0" applyFont="1" applyFill="1" applyBorder="1" applyAlignment="1">
      <alignment vertical="top" wrapText="1"/>
    </xf>
    <xf numFmtId="0" fontId="4" fillId="4" borderId="28" xfId="0" applyFont="1" applyFill="1" applyBorder="1" applyAlignment="1">
      <alignment vertical="top" wrapText="1"/>
    </xf>
    <xf numFmtId="0" fontId="4" fillId="5" borderId="26" xfId="0" applyFont="1" applyFill="1" applyBorder="1" applyAlignment="1">
      <alignment wrapText="1"/>
    </xf>
    <xf numFmtId="0" fontId="5" fillId="5" borderId="27" xfId="0" applyFont="1" applyFill="1" applyBorder="1" applyAlignment="1">
      <alignment wrapText="1"/>
    </xf>
    <xf numFmtId="0" fontId="4" fillId="5" borderId="27" xfId="0" applyFont="1" applyFill="1" applyBorder="1" applyAlignment="1">
      <alignment wrapText="1"/>
    </xf>
    <xf numFmtId="0" fontId="4" fillId="5" borderId="28" xfId="0" applyFont="1" applyFill="1" applyBorder="1" applyAlignment="1">
      <alignment wrapText="1"/>
    </xf>
    <xf numFmtId="0" fontId="4" fillId="6" borderId="26" xfId="0" applyFont="1" applyFill="1" applyBorder="1" applyAlignment="1">
      <alignment wrapText="1"/>
    </xf>
    <xf numFmtId="0" fontId="4" fillId="6" borderId="27" xfId="0" applyFont="1" applyFill="1" applyBorder="1" applyAlignment="1">
      <alignment wrapText="1"/>
    </xf>
    <xf numFmtId="0" fontId="4" fillId="6" borderId="28" xfId="0" applyFont="1" applyFill="1" applyBorder="1" applyAlignment="1">
      <alignment wrapText="1"/>
    </xf>
    <xf numFmtId="0" fontId="4" fillId="5" borderId="29" xfId="0" applyFont="1" applyFill="1" applyBorder="1" applyAlignment="1">
      <alignment wrapText="1"/>
    </xf>
    <xf numFmtId="0" fontId="4" fillId="7" borderId="26" xfId="0" applyFont="1" applyFill="1" applyBorder="1" applyAlignment="1">
      <alignment wrapText="1"/>
    </xf>
    <xf numFmtId="0" fontId="4" fillId="7" borderId="27" xfId="0" applyFont="1" applyFill="1" applyBorder="1" applyAlignment="1">
      <alignment wrapText="1"/>
    </xf>
    <xf numFmtId="0" fontId="4" fillId="7" borderId="28" xfId="0" applyFont="1" applyFill="1" applyBorder="1" applyAlignment="1">
      <alignment vertical="top" wrapText="1"/>
    </xf>
    <xf numFmtId="0" fontId="2" fillId="0" borderId="39" xfId="0" applyFont="1" applyBorder="1" applyAlignment="1">
      <alignment horizontal="center" vertical="center" wrapText="1"/>
    </xf>
    <xf numFmtId="0" fontId="3" fillId="6" borderId="40" xfId="0" applyFont="1" applyFill="1" applyBorder="1"/>
    <xf numFmtId="0" fontId="3" fillId="6" borderId="41" xfId="0" applyFont="1" applyFill="1" applyBorder="1"/>
    <xf numFmtId="0" fontId="1" fillId="2" borderId="32" xfId="0" applyFont="1" applyFill="1" applyBorder="1"/>
    <xf numFmtId="0" fontId="2" fillId="0" borderId="5" xfId="0" applyFont="1" applyFill="1" applyBorder="1" applyAlignment="1">
      <alignment horizontal="center" vertical="center"/>
    </xf>
    <xf numFmtId="0" fontId="1" fillId="0" borderId="0" xfId="0" applyFont="1" applyFill="1" applyBorder="1"/>
    <xf numFmtId="0" fontId="4" fillId="2" borderId="0" xfId="0" applyFont="1" applyFill="1" applyBorder="1" applyAlignment="1">
      <alignment wrapText="1"/>
    </xf>
    <xf numFmtId="0" fontId="2" fillId="0" borderId="0" xfId="0" applyFont="1" applyBorder="1" applyAlignment="1">
      <alignment vertical="center"/>
    </xf>
    <xf numFmtId="0" fontId="2" fillId="0" borderId="0" xfId="0" applyFont="1" applyBorder="1" applyAlignment="1">
      <alignment horizontal="center" vertical="center"/>
    </xf>
    <xf numFmtId="0" fontId="3" fillId="4" borderId="37" xfId="0" applyFont="1" applyFill="1" applyBorder="1"/>
    <xf numFmtId="0" fontId="3" fillId="0" borderId="0" xfId="0" applyFont="1" applyAlignment="1">
      <alignment vertical="center" wrapText="1"/>
    </xf>
    <xf numFmtId="0" fontId="1" fillId="0" borderId="0" xfId="0" applyFont="1" applyAlignment="1">
      <alignment vertical="center" wrapText="1"/>
    </xf>
    <xf numFmtId="0" fontId="12" fillId="0" borderId="0" xfId="0" applyFont="1"/>
    <xf numFmtId="0" fontId="13" fillId="0" borderId="58" xfId="4" applyFont="1"/>
    <xf numFmtId="0" fontId="17" fillId="10" borderId="30" xfId="2" applyBorder="1"/>
    <xf numFmtId="0" fontId="0" fillId="0" borderId="42" xfId="0" applyBorder="1"/>
    <xf numFmtId="0" fontId="0" fillId="0" borderId="35" xfId="0" applyBorder="1"/>
    <xf numFmtId="0" fontId="0" fillId="0" borderId="43" xfId="0" applyBorder="1"/>
    <xf numFmtId="0" fontId="0" fillId="0" borderId="5" xfId="0" applyBorder="1"/>
    <xf numFmtId="0" fontId="0" fillId="0" borderId="44" xfId="0" applyBorder="1"/>
    <xf numFmtId="0" fontId="0" fillId="0" borderId="23" xfId="0" applyBorder="1"/>
    <xf numFmtId="0" fontId="0" fillId="0" borderId="45" xfId="0" applyBorder="1"/>
    <xf numFmtId="0" fontId="0" fillId="0" borderId="46" xfId="0" applyBorder="1"/>
    <xf numFmtId="0" fontId="2" fillId="3" borderId="50" xfId="0" applyFont="1" applyFill="1" applyBorder="1" applyAlignment="1">
      <alignment horizontal="center" vertical="top"/>
    </xf>
    <xf numFmtId="0" fontId="2" fillId="3" borderId="51" xfId="0" applyFont="1" applyFill="1" applyBorder="1" applyAlignment="1">
      <alignment horizontal="center" vertical="top"/>
    </xf>
    <xf numFmtId="0" fontId="2" fillId="3" borderId="20" xfId="0" applyFont="1" applyFill="1" applyBorder="1" applyAlignment="1">
      <alignment horizontal="center" vertical="top"/>
    </xf>
    <xf numFmtId="0" fontId="2" fillId="4" borderId="37" xfId="0" applyFont="1" applyFill="1" applyBorder="1" applyAlignment="1">
      <alignment horizontal="center" vertical="top"/>
    </xf>
    <xf numFmtId="0" fontId="9" fillId="8" borderId="0" xfId="0" applyFont="1" applyFill="1" applyAlignment="1">
      <alignment horizontal="center" vertical="center" textRotation="90"/>
    </xf>
    <xf numFmtId="0" fontId="2" fillId="4" borderId="42" xfId="0" applyFont="1" applyFill="1" applyBorder="1" applyAlignment="1">
      <alignment horizontal="center" vertical="center"/>
    </xf>
    <xf numFmtId="0" fontId="2" fillId="4" borderId="35" xfId="0" applyFont="1" applyFill="1" applyBorder="1" applyAlignment="1">
      <alignment horizontal="center" vertical="center"/>
    </xf>
    <xf numFmtId="0" fontId="2" fillId="4" borderId="43" xfId="0" applyFont="1" applyFill="1" applyBorder="1" applyAlignment="1">
      <alignment horizontal="center" vertical="center"/>
    </xf>
    <xf numFmtId="0" fontId="9" fillId="8" borderId="9" xfId="0" applyFont="1" applyFill="1" applyBorder="1" applyAlignment="1">
      <alignment horizontal="center"/>
    </xf>
    <xf numFmtId="0" fontId="9" fillId="8" borderId="10" xfId="0" applyFont="1" applyFill="1" applyBorder="1" applyAlignment="1">
      <alignment horizontal="center"/>
    </xf>
    <xf numFmtId="0" fontId="9" fillId="8" borderId="11" xfId="0" applyFont="1" applyFill="1" applyBorder="1" applyAlignment="1">
      <alignment horizontal="center"/>
    </xf>
    <xf numFmtId="0" fontId="3" fillId="8" borderId="9" xfId="0" applyFont="1" applyFill="1" applyBorder="1" applyAlignment="1">
      <alignment horizontal="center"/>
    </xf>
    <xf numFmtId="0" fontId="3" fillId="8" borderId="10" xfId="0" applyFont="1" applyFill="1" applyBorder="1" applyAlignment="1">
      <alignment horizontal="center"/>
    </xf>
    <xf numFmtId="0" fontId="3" fillId="8" borderId="11" xfId="0" applyFont="1" applyFill="1" applyBorder="1" applyAlignment="1">
      <alignment horizontal="center"/>
    </xf>
    <xf numFmtId="0" fontId="10" fillId="0" borderId="42" xfId="0" applyFont="1" applyBorder="1" applyAlignment="1">
      <alignment horizontal="left" vertical="center" wrapText="1"/>
    </xf>
    <xf numFmtId="0" fontId="10" fillId="0" borderId="35" xfId="0" applyFont="1" applyBorder="1" applyAlignment="1">
      <alignment horizontal="left" vertical="center" wrapText="1"/>
    </xf>
    <xf numFmtId="0" fontId="10" fillId="0" borderId="43" xfId="0" applyFont="1" applyBorder="1" applyAlignment="1">
      <alignment horizontal="left" vertical="center" wrapText="1"/>
    </xf>
    <xf numFmtId="0" fontId="2" fillId="8" borderId="42" xfId="0" applyFont="1" applyFill="1" applyBorder="1" applyAlignment="1">
      <alignment horizontal="center" vertical="center"/>
    </xf>
    <xf numFmtId="0" fontId="2" fillId="8" borderId="43" xfId="0" applyFont="1" applyFill="1" applyBorder="1" applyAlignment="1">
      <alignment horizontal="center" vertical="center"/>
    </xf>
    <xf numFmtId="0" fontId="2" fillId="3" borderId="6" xfId="0" applyFont="1" applyFill="1" applyBorder="1" applyAlignment="1">
      <alignment horizontal="center" vertical="top"/>
    </xf>
    <xf numFmtId="0" fontId="2" fillId="3" borderId="36" xfId="0" applyFont="1" applyFill="1" applyBorder="1" applyAlignment="1">
      <alignment horizontal="center" vertical="top"/>
    </xf>
    <xf numFmtId="0" fontId="2" fillId="3" borderId="47" xfId="0" applyFont="1" applyFill="1" applyBorder="1" applyAlignment="1">
      <alignment horizontal="center" vertical="top"/>
    </xf>
    <xf numFmtId="0" fontId="2" fillId="8" borderId="53" xfId="0" applyFont="1" applyFill="1" applyBorder="1" applyAlignment="1">
      <alignment horizontal="center" wrapText="1"/>
    </xf>
    <xf numFmtId="0" fontId="2" fillId="8" borderId="54" xfId="0" applyFont="1" applyFill="1" applyBorder="1" applyAlignment="1">
      <alignment horizontal="center" wrapText="1"/>
    </xf>
    <xf numFmtId="0" fontId="2" fillId="8" borderId="55" xfId="0" applyFont="1" applyFill="1" applyBorder="1" applyAlignment="1">
      <alignment horizontal="center" wrapText="1"/>
    </xf>
    <xf numFmtId="0" fontId="2" fillId="8" borderId="56" xfId="0" applyFont="1" applyFill="1" applyBorder="1" applyAlignment="1">
      <alignment horizontal="center" wrapText="1"/>
    </xf>
    <xf numFmtId="0" fontId="2" fillId="2" borderId="21" xfId="0" applyFont="1" applyFill="1" applyBorder="1" applyAlignment="1">
      <alignment horizontal="center" vertical="top"/>
    </xf>
    <xf numFmtId="0" fontId="2" fillId="2" borderId="48" xfId="0" applyFont="1" applyFill="1" applyBorder="1" applyAlignment="1">
      <alignment horizontal="center" vertical="top"/>
    </xf>
    <xf numFmtId="0" fontId="2" fillId="2" borderId="19" xfId="0" applyFont="1" applyFill="1" applyBorder="1" applyAlignment="1">
      <alignment horizontal="center" vertical="top"/>
    </xf>
    <xf numFmtId="0" fontId="2" fillId="5" borderId="6" xfId="0" applyFont="1" applyFill="1" applyBorder="1" applyAlignment="1">
      <alignment horizontal="center" vertical="top"/>
    </xf>
    <xf numFmtId="0" fontId="2" fillId="5" borderId="36" xfId="0" applyFont="1" applyFill="1" applyBorder="1" applyAlignment="1">
      <alignment horizontal="center" vertical="top"/>
    </xf>
    <xf numFmtId="0" fontId="2" fillId="5" borderId="47" xfId="0" applyFont="1" applyFill="1" applyBorder="1" applyAlignment="1">
      <alignment horizontal="center" vertical="top"/>
    </xf>
    <xf numFmtId="0" fontId="2" fillId="2" borderId="6" xfId="0" applyFont="1" applyFill="1" applyBorder="1" applyAlignment="1">
      <alignment horizontal="center" vertical="top"/>
    </xf>
    <xf numFmtId="0" fontId="2" fillId="2" borderId="36" xfId="0" applyFont="1" applyFill="1" applyBorder="1" applyAlignment="1">
      <alignment horizontal="center" vertical="top"/>
    </xf>
    <xf numFmtId="0" fontId="2" fillId="2" borderId="47" xfId="0" applyFont="1" applyFill="1" applyBorder="1" applyAlignment="1">
      <alignment horizontal="center" vertical="top"/>
    </xf>
    <xf numFmtId="0" fontId="2" fillId="2" borderId="44" xfId="0" applyFont="1" applyFill="1" applyBorder="1" applyAlignment="1">
      <alignment horizontal="center" vertical="top"/>
    </xf>
    <xf numFmtId="0" fontId="2" fillId="3" borderId="16" xfId="0" applyFont="1" applyFill="1" applyBorder="1" applyAlignment="1">
      <alignment horizontal="center" vertical="top"/>
    </xf>
    <xf numFmtId="0" fontId="2" fillId="3" borderId="52" xfId="0" applyFont="1" applyFill="1" applyBorder="1" applyAlignment="1">
      <alignment horizontal="center" vertical="top"/>
    </xf>
    <xf numFmtId="0" fontId="2" fillId="2" borderId="8" xfId="0" applyFont="1" applyFill="1" applyBorder="1" applyAlignment="1">
      <alignment horizontal="center" vertical="top"/>
    </xf>
    <xf numFmtId="0" fontId="2" fillId="4" borderId="49" xfId="0" applyFont="1" applyFill="1" applyBorder="1" applyAlignment="1">
      <alignment horizontal="center" vertical="top"/>
    </xf>
    <xf numFmtId="0" fontId="2" fillId="6" borderId="8" xfId="0" applyFont="1" applyFill="1" applyBorder="1" applyAlignment="1">
      <alignment horizontal="center" vertical="top"/>
    </xf>
    <xf numFmtId="0" fontId="2" fillId="6" borderId="48" xfId="0" applyFont="1" applyFill="1" applyBorder="1" applyAlignment="1">
      <alignment horizontal="center" vertical="top"/>
    </xf>
    <xf numFmtId="0" fontId="2" fillId="6" borderId="19" xfId="0" applyFont="1" applyFill="1" applyBorder="1" applyAlignment="1">
      <alignment horizontal="center" vertical="top"/>
    </xf>
    <xf numFmtId="0" fontId="2" fillId="5" borderId="8" xfId="0" applyFont="1" applyFill="1" applyBorder="1" applyAlignment="1">
      <alignment horizontal="center" vertical="top"/>
    </xf>
    <xf numFmtId="0" fontId="2" fillId="5" borderId="48" xfId="0" applyFont="1" applyFill="1" applyBorder="1" applyAlignment="1">
      <alignment horizontal="center" vertical="top"/>
    </xf>
    <xf numFmtId="0" fontId="2" fillId="5" borderId="19" xfId="0" applyFont="1" applyFill="1" applyBorder="1" applyAlignment="1">
      <alignment horizontal="center" vertical="top"/>
    </xf>
    <xf numFmtId="0" fontId="2" fillId="7" borderId="21" xfId="0" applyFont="1" applyFill="1" applyBorder="1" applyAlignment="1">
      <alignment horizontal="center" vertical="top"/>
    </xf>
    <xf numFmtId="0" fontId="2" fillId="7" borderId="48" xfId="0" applyFont="1" applyFill="1" applyBorder="1" applyAlignment="1">
      <alignment horizontal="center" vertical="top"/>
    </xf>
    <xf numFmtId="0" fontId="2" fillId="7" borderId="19" xfId="0" applyFont="1" applyFill="1" applyBorder="1" applyAlignment="1">
      <alignment horizontal="center" vertical="top"/>
    </xf>
    <xf numFmtId="0" fontId="2" fillId="6" borderId="48" xfId="0" applyFont="1" applyFill="1" applyBorder="1" applyAlignment="1">
      <alignment horizontal="center" vertical="top" wrapText="1"/>
    </xf>
    <xf numFmtId="0" fontId="2" fillId="6" borderId="19" xfId="0" applyFont="1" applyFill="1" applyBorder="1" applyAlignment="1">
      <alignment horizontal="center" vertical="top" wrapText="1"/>
    </xf>
    <xf numFmtId="0" fontId="2" fillId="6" borderId="21" xfId="0" applyFont="1" applyFill="1" applyBorder="1" applyAlignment="1">
      <alignment horizontal="center" vertical="top"/>
    </xf>
    <xf numFmtId="0" fontId="2" fillId="6" borderId="44" xfId="0" applyFont="1" applyFill="1" applyBorder="1" applyAlignment="1">
      <alignment horizontal="center" vertical="top"/>
    </xf>
    <xf numFmtId="0" fontId="2" fillId="5" borderId="21" xfId="0" applyFont="1" applyFill="1" applyBorder="1" applyAlignment="1">
      <alignment horizontal="center" vertical="top"/>
    </xf>
    <xf numFmtId="0" fontId="2" fillId="5" borderId="44" xfId="0" applyFont="1" applyFill="1" applyBorder="1" applyAlignment="1">
      <alignment horizontal="center" vertical="top"/>
    </xf>
    <xf numFmtId="0" fontId="2" fillId="5" borderId="50" xfId="0" applyFont="1" applyFill="1" applyBorder="1" applyAlignment="1">
      <alignment horizontal="center" vertical="top"/>
    </xf>
    <xf numFmtId="0" fontId="2" fillId="5" borderId="20" xfId="0" applyFont="1" applyFill="1" applyBorder="1" applyAlignment="1">
      <alignment horizontal="center" vertical="top"/>
    </xf>
    <xf numFmtId="0" fontId="2" fillId="7" borderId="6" xfId="0" applyFont="1" applyFill="1" applyBorder="1" applyAlignment="1">
      <alignment horizontal="center" vertical="top"/>
    </xf>
    <xf numFmtId="0" fontId="2" fillId="7" borderId="36" xfId="0" applyFont="1" applyFill="1" applyBorder="1" applyAlignment="1">
      <alignment horizontal="center" vertical="top"/>
    </xf>
    <xf numFmtId="0" fontId="2" fillId="7" borderId="47" xfId="0" applyFont="1" applyFill="1" applyBorder="1" applyAlignment="1">
      <alignment horizontal="center" vertical="top"/>
    </xf>
    <xf numFmtId="0" fontId="2" fillId="6" borderId="21" xfId="0" applyFont="1" applyFill="1" applyBorder="1" applyAlignment="1">
      <alignment horizontal="center" vertical="top" wrapText="1"/>
    </xf>
    <xf numFmtId="0" fontId="2" fillId="5" borderId="6" xfId="0" applyFont="1" applyFill="1" applyBorder="1" applyAlignment="1">
      <alignment horizontal="center" vertical="top" wrapText="1"/>
    </xf>
    <xf numFmtId="0" fontId="2" fillId="6" borderId="6" xfId="0" applyFont="1" applyFill="1" applyBorder="1" applyAlignment="1">
      <alignment horizontal="center" vertical="top"/>
    </xf>
    <xf numFmtId="0" fontId="2" fillId="6" borderId="36" xfId="0" applyFont="1" applyFill="1" applyBorder="1" applyAlignment="1">
      <alignment horizontal="center" vertical="top"/>
    </xf>
    <xf numFmtId="0" fontId="2" fillId="6" borderId="47" xfId="0" applyFont="1" applyFill="1" applyBorder="1" applyAlignment="1">
      <alignment horizontal="center" vertical="top"/>
    </xf>
    <xf numFmtId="0" fontId="18" fillId="0" borderId="0" xfId="3" applyBorder="1" applyAlignment="1">
      <alignment horizontal="center" vertical="center"/>
    </xf>
    <xf numFmtId="0" fontId="18" fillId="0" borderId="57" xfId="3" applyAlignment="1">
      <alignment horizontal="center" vertical="center"/>
    </xf>
  </cellXfs>
  <cellStyles count="5">
    <cellStyle name="Accent1" xfId="1" builtinId="29"/>
    <cellStyle name="Bad" xfId="2" builtinId="27"/>
    <cellStyle name="Heading 1" xfId="3" builtinId="16"/>
    <cellStyle name="Heading 2" xfId="4" builtinId="17"/>
    <cellStyle name="Normal" xfId="0" builtinId="0"/>
  </cellStyles>
  <dxfs count="0"/>
  <tableStyles count="0" defaultTableStyle="TableStyleMedium2"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Feuil1">
    <pageSetUpPr fitToPage="1"/>
  </sheetPr>
  <dimension ref="B1:AN254"/>
  <sheetViews>
    <sheetView tabSelected="1" topLeftCell="F1" zoomScaleNormal="100" workbookViewId="0">
      <selection activeCell="T32" sqref="T32"/>
    </sheetView>
  </sheetViews>
  <sheetFormatPr defaultColWidth="11.42578125" defaultRowHeight="12.75" outlineLevelCol="1"/>
  <cols>
    <col min="1" max="1" width="2.7109375" style="2" customWidth="1"/>
    <col min="2" max="2" width="15.42578125" style="2" bestFit="1" customWidth="1"/>
    <col min="3" max="3" width="43.28515625" style="2" bestFit="1" customWidth="1"/>
    <col min="4" max="4" width="28.85546875" style="2" bestFit="1" customWidth="1"/>
    <col min="5" max="5" width="71.7109375" style="2" customWidth="1"/>
    <col min="6" max="6" width="23.5703125" style="2" customWidth="1"/>
    <col min="7" max="7" width="21.7109375" style="2" bestFit="1" customWidth="1"/>
    <col min="8" max="8" width="10.5703125" style="2" bestFit="1" customWidth="1"/>
    <col min="9" max="9" width="9.42578125" style="2" customWidth="1"/>
    <col min="10" max="10" width="6.42578125" style="2" bestFit="1" customWidth="1"/>
    <col min="11" max="16" width="6.5703125" style="2" bestFit="1" customWidth="1"/>
    <col min="17" max="17" width="34.42578125" style="2" bestFit="1" customWidth="1"/>
    <col min="18" max="18" width="5.28515625" style="2" customWidth="1"/>
    <col min="19" max="19" width="13.5703125" style="2" customWidth="1"/>
    <col min="20" max="20" width="84.7109375" style="2" customWidth="1"/>
    <col min="21" max="21" width="4.5703125" style="2" customWidth="1"/>
    <col min="22" max="22" width="7.140625" style="2" customWidth="1"/>
    <col min="23" max="24" width="7.140625" customWidth="1" outlineLevel="1"/>
    <col min="25" max="25" width="9.28515625" customWidth="1" outlineLevel="1"/>
    <col min="26" max="29" width="7.140625" customWidth="1" outlineLevel="1"/>
    <col min="30" max="30" width="137.85546875" style="2" customWidth="1" outlineLevel="1"/>
    <col min="31" max="31" width="39.42578125" style="2" bestFit="1" customWidth="1"/>
    <col min="32" max="33" width="30.42578125" style="2" bestFit="1" customWidth="1"/>
    <col min="34" max="36" width="20.7109375" style="2" bestFit="1" customWidth="1"/>
    <col min="37" max="37" width="11.42578125" style="2"/>
    <col min="38" max="38" width="13.85546875" style="2" bestFit="1" customWidth="1"/>
    <col min="39" max="39" width="6.5703125" style="2" bestFit="1" customWidth="1"/>
    <col min="40" max="40" width="13.7109375" style="2" bestFit="1" customWidth="1"/>
    <col min="41" max="16384" width="11.42578125" style="2"/>
  </cols>
  <sheetData>
    <row r="1" spans="2:40" s="1" customFormat="1" ht="13.5" customHeight="1" thickBot="1">
      <c r="V1" s="239"/>
      <c r="W1"/>
      <c r="X1"/>
      <c r="Y1"/>
      <c r="Z1"/>
      <c r="AA1"/>
      <c r="AB1"/>
      <c r="AC1"/>
    </row>
    <row r="2" spans="2:40" ht="21" thickBot="1">
      <c r="B2" s="304" t="s">
        <v>249</v>
      </c>
      <c r="C2" s="305"/>
      <c r="D2" s="305"/>
      <c r="E2" s="305"/>
      <c r="F2" s="305"/>
      <c r="G2" s="305"/>
      <c r="H2" s="305"/>
      <c r="I2" s="305"/>
      <c r="J2" s="305"/>
      <c r="K2" s="305"/>
      <c r="L2" s="305"/>
      <c r="M2" s="305"/>
      <c r="N2" s="305"/>
      <c r="O2" s="305"/>
      <c r="P2" s="305"/>
      <c r="Q2" s="305"/>
      <c r="R2" s="305"/>
      <c r="S2" s="305"/>
      <c r="T2" s="306"/>
      <c r="V2" s="240" t="s">
        <v>645</v>
      </c>
      <c r="AD2" s="1"/>
    </row>
    <row r="3" spans="2:40" ht="13.5" thickBot="1">
      <c r="B3" s="307" t="s">
        <v>248</v>
      </c>
      <c r="C3" s="308"/>
      <c r="D3" s="308"/>
      <c r="E3" s="308"/>
      <c r="F3" s="308"/>
      <c r="G3" s="308"/>
      <c r="H3" s="308"/>
      <c r="I3" s="308"/>
      <c r="J3" s="308"/>
      <c r="K3" s="308"/>
      <c r="L3" s="308"/>
      <c r="M3" s="308"/>
      <c r="N3" s="308"/>
      <c r="O3" s="308"/>
      <c r="P3" s="308"/>
      <c r="Q3" s="308"/>
      <c r="R3" s="308"/>
      <c r="S3" s="308"/>
      <c r="T3" s="309"/>
      <c r="V3" s="300" t="s">
        <v>644</v>
      </c>
      <c r="AD3" s="283"/>
    </row>
    <row r="4" spans="2:40">
      <c r="V4" s="300"/>
      <c r="AD4" s="284"/>
    </row>
    <row r="5" spans="2:40" ht="13.5" thickBot="1">
      <c r="B5" s="2" t="s">
        <v>642</v>
      </c>
      <c r="V5" s="300"/>
      <c r="AD5" s="284"/>
    </row>
    <row r="6" spans="2:40">
      <c r="B6" s="318" t="s">
        <v>253</v>
      </c>
      <c r="C6" s="319"/>
      <c r="E6" s="313" t="s">
        <v>643</v>
      </c>
      <c r="V6" s="300"/>
      <c r="AD6" s="284"/>
    </row>
    <row r="7" spans="2:40" ht="13.5" thickBot="1">
      <c r="B7" s="320"/>
      <c r="C7" s="321"/>
      <c r="E7" s="314"/>
      <c r="V7" s="300"/>
      <c r="AD7" s="284"/>
    </row>
    <row r="8" spans="2:40">
      <c r="B8" s="3">
        <v>1</v>
      </c>
      <c r="C8" s="4" t="s">
        <v>5</v>
      </c>
      <c r="E8" s="310" t="s">
        <v>683</v>
      </c>
      <c r="L8" s="1"/>
      <c r="V8" s="300"/>
      <c r="AD8" s="284"/>
    </row>
    <row r="9" spans="2:40">
      <c r="B9" s="3">
        <v>2</v>
      </c>
      <c r="C9" s="4" t="s">
        <v>6</v>
      </c>
      <c r="E9" s="311"/>
      <c r="G9" s="1"/>
      <c r="V9" s="300"/>
      <c r="AD9" s="284"/>
    </row>
    <row r="10" spans="2:40">
      <c r="B10" s="3">
        <v>3</v>
      </c>
      <c r="C10" s="4" t="s">
        <v>7</v>
      </c>
      <c r="E10" s="311"/>
      <c r="V10" s="300"/>
      <c r="AD10" s="284"/>
    </row>
    <row r="11" spans="2:40">
      <c r="B11" s="3">
        <v>4</v>
      </c>
      <c r="C11" s="4" t="s">
        <v>8</v>
      </c>
      <c r="E11" s="311"/>
      <c r="V11" s="300"/>
      <c r="AD11" s="284"/>
    </row>
    <row r="12" spans="2:40" ht="13.5" thickBot="1">
      <c r="B12" s="5">
        <v>5</v>
      </c>
      <c r="C12" s="6" t="s">
        <v>9</v>
      </c>
      <c r="E12" s="312"/>
      <c r="V12" s="300"/>
      <c r="AD12" s="284"/>
    </row>
    <row r="13" spans="2:40">
      <c r="V13" s="300"/>
    </row>
    <row r="14" spans="2:40" ht="13.5" thickBot="1">
      <c r="V14" s="300"/>
    </row>
    <row r="15" spans="2:40" ht="41.25" customHeight="1" thickBot="1">
      <c r="B15" s="11" t="s">
        <v>18</v>
      </c>
      <c r="C15" s="12" t="s">
        <v>19</v>
      </c>
      <c r="D15" s="12" t="s">
        <v>0</v>
      </c>
      <c r="E15" s="13" t="s">
        <v>1</v>
      </c>
      <c r="F15" s="14" t="s">
        <v>646</v>
      </c>
      <c r="G15" s="14" t="s">
        <v>647</v>
      </c>
      <c r="H15" s="273" t="s">
        <v>348</v>
      </c>
      <c r="I15" s="12" t="s">
        <v>2</v>
      </c>
      <c r="J15" s="181" t="s">
        <v>3</v>
      </c>
      <c r="K15" s="15" t="s">
        <v>593</v>
      </c>
      <c r="L15" s="16" t="s">
        <v>594</v>
      </c>
      <c r="M15" s="16" t="s">
        <v>595</v>
      </c>
      <c r="N15" s="16" t="s">
        <v>596</v>
      </c>
      <c r="O15" s="16" t="s">
        <v>597</v>
      </c>
      <c r="P15" s="17" t="s">
        <v>598</v>
      </c>
      <c r="Q15" s="14" t="s">
        <v>648</v>
      </c>
      <c r="R15" s="14" t="s">
        <v>697</v>
      </c>
      <c r="S15" s="10" t="s">
        <v>641</v>
      </c>
      <c r="T15" s="14" t="s">
        <v>649</v>
      </c>
      <c r="U15" s="8"/>
      <c r="V15" s="300"/>
      <c r="Y15" s="280" t="s">
        <v>701</v>
      </c>
      <c r="Z15" s="280" t="s">
        <v>700</v>
      </c>
      <c r="AA15" s="280" t="s">
        <v>788</v>
      </c>
      <c r="AB15" s="280" t="s">
        <v>699</v>
      </c>
      <c r="AC15" s="280" t="s">
        <v>698</v>
      </c>
      <c r="AD15" s="280" t="s">
        <v>624</v>
      </c>
      <c r="AE15" s="281" t="s">
        <v>593</v>
      </c>
      <c r="AF15" s="281" t="s">
        <v>594</v>
      </c>
      <c r="AG15" s="281" t="s">
        <v>595</v>
      </c>
      <c r="AH15" s="281" t="s">
        <v>596</v>
      </c>
      <c r="AI15" s="281" t="s">
        <v>597</v>
      </c>
      <c r="AJ15" s="281" t="s">
        <v>598</v>
      </c>
      <c r="AL15" s="246" t="s">
        <v>669</v>
      </c>
      <c r="AM15" s="247" t="s">
        <v>670</v>
      </c>
      <c r="AN15" s="277" t="s">
        <v>684</v>
      </c>
    </row>
    <row r="16" spans="2:40">
      <c r="B16" s="328" t="s">
        <v>4</v>
      </c>
      <c r="C16" s="334" t="s">
        <v>20</v>
      </c>
      <c r="D16" s="18" t="s">
        <v>131</v>
      </c>
      <c r="E16" s="19" t="s">
        <v>132</v>
      </c>
      <c r="F16" t="s">
        <v>1052</v>
      </c>
      <c r="G16" t="s">
        <v>1029</v>
      </c>
      <c r="H16" s="248" t="s">
        <v>354</v>
      </c>
      <c r="I16" s="20" t="s">
        <v>13</v>
      </c>
      <c r="J16" s="183" t="s">
        <v>473</v>
      </c>
      <c r="K16" s="182" t="s">
        <v>123</v>
      </c>
      <c r="L16" s="20"/>
      <c r="M16" s="20"/>
      <c r="N16" s="20"/>
      <c r="O16" s="20"/>
      <c r="P16" s="183"/>
      <c r="Q16" s="288" t="s">
        <v>803</v>
      </c>
      <c r="R16" s="276">
        <v>1</v>
      </c>
      <c r="S16" s="143" t="s">
        <v>665</v>
      </c>
      <c r="T16" s="21"/>
      <c r="U16" s="7"/>
      <c r="V16" s="300"/>
      <c r="Y16" t="str">
        <f>Q16</f>
        <v>reference_Surface</v>
      </c>
      <c r="Z16" t="str">
        <f>I16</f>
        <v>double</v>
      </c>
      <c r="AA16" t="str">
        <f>H16</f>
        <v>scalaire</v>
      </c>
      <c r="AB16" t="str">
        <f>E16</f>
        <v>Surface de référence totale du véhicule</v>
      </c>
      <c r="AC16" t="str">
        <f t="shared" ref="AC16:AC79" si="0">J16</f>
        <v>m2</v>
      </c>
      <c r="AD16" s="279" t="str">
        <f t="shared" ref="AD16:AD79" si="1">CONCATENATE(IF(S16="oui","#",""),"variable: ",Y16," ",Z16," input ","description= """,AB16,""" units= """,AC16,"""")</f>
        <v>variable: reference_Surface double input description= "Surface de référence totale du véhicule" units= "m2"</v>
      </c>
      <c r="AE16" s="7" t="str">
        <f t="shared" ref="AE16:AE79" si="2">CONCATENER_MODELCENTER(K16,$F16,$G16)</f>
        <v>Y24.Geometry.wingbody</v>
      </c>
      <c r="AF16" s="7" t="str">
        <f t="shared" ref="AF16:AF79" si="3">CONCATENER_MODELCENTER(L16,$F16,$G16)</f>
        <v/>
      </c>
      <c r="AG16" s="7" t="str">
        <f t="shared" ref="AG16:AG79" si="4">CONCATENER_MODELCENTER(M16,$F16,$G16)</f>
        <v/>
      </c>
      <c r="AH16" s="7" t="str">
        <f t="shared" ref="AH16:AH79" si="5">CONCATENER_MODELCENTER(N16,$F16,$G16)</f>
        <v/>
      </c>
      <c r="AI16" s="7" t="str">
        <f t="shared" ref="AI16:AI79" si="6">CONCATENER_MODELCENTER(O16,$F16,$G16)</f>
        <v/>
      </c>
      <c r="AJ16" s="7" t="str">
        <f t="shared" ref="AJ16:AJ79" si="7">CONCATENER_MODELCENTER(P16,$F16,$G16)</f>
        <v/>
      </c>
      <c r="AL16" s="2" t="s">
        <v>671</v>
      </c>
      <c r="AM16" s="1" t="s">
        <v>626</v>
      </c>
      <c r="AN16" s="1" t="s">
        <v>685</v>
      </c>
    </row>
    <row r="17" spans="2:40">
      <c r="B17" s="329"/>
      <c r="C17" s="323"/>
      <c r="D17" s="22" t="s">
        <v>163</v>
      </c>
      <c r="E17" s="23" t="s">
        <v>164</v>
      </c>
      <c r="F17" t="s">
        <v>1052</v>
      </c>
      <c r="G17" t="s">
        <v>1029</v>
      </c>
      <c r="H17" s="249" t="s">
        <v>354</v>
      </c>
      <c r="I17" s="24" t="s">
        <v>13</v>
      </c>
      <c r="J17" s="185" t="s">
        <v>12</v>
      </c>
      <c r="K17" s="184" t="s">
        <v>133</v>
      </c>
      <c r="L17" s="24"/>
      <c r="M17" s="24"/>
      <c r="N17" s="24"/>
      <c r="O17" s="24"/>
      <c r="P17" s="185"/>
      <c r="Q17" s="289" t="s">
        <v>790</v>
      </c>
      <c r="R17" s="162">
        <v>2</v>
      </c>
      <c r="S17" s="144" t="s">
        <v>665</v>
      </c>
      <c r="T17" s="25"/>
      <c r="U17" s="7"/>
      <c r="V17" s="300"/>
      <c r="Y17" t="str">
        <f t="shared" ref="Y17:Y80" si="8">Q17</f>
        <v>total_wing_span</v>
      </c>
      <c r="Z17" t="str">
        <f t="shared" ref="Z17:Z80" si="9">I17</f>
        <v>double</v>
      </c>
      <c r="AA17" t="str">
        <f t="shared" ref="AA17:AA80" si="10">H17</f>
        <v>scalaire</v>
      </c>
      <c r="AB17" t="str">
        <f t="shared" ref="AB17:AB80" si="11">E17</f>
        <v>Envergure totale du véhicule</v>
      </c>
      <c r="AC17" t="str">
        <f t="shared" si="0"/>
        <v>m</v>
      </c>
      <c r="AD17" s="279" t="str">
        <f t="shared" si="1"/>
        <v>variable: total_wing_span double input description= "Envergure totale du véhicule" units= "m"</v>
      </c>
      <c r="AE17" s="7" t="str">
        <f t="shared" si="2"/>
        <v>X0.Geometry.wingbody</v>
      </c>
      <c r="AF17" s="7" t="str">
        <f t="shared" si="3"/>
        <v/>
      </c>
      <c r="AG17" s="7" t="str">
        <f t="shared" si="4"/>
        <v/>
      </c>
      <c r="AH17" s="7" t="str">
        <f t="shared" si="5"/>
        <v/>
      </c>
      <c r="AI17" s="7" t="str">
        <f t="shared" si="6"/>
        <v/>
      </c>
      <c r="AJ17" s="7" t="str">
        <f t="shared" si="7"/>
        <v/>
      </c>
      <c r="AL17" s="2" t="s">
        <v>672</v>
      </c>
      <c r="AM17" s="2" t="s">
        <v>628</v>
      </c>
      <c r="AN17" s="1" t="s">
        <v>687</v>
      </c>
    </row>
    <row r="18" spans="2:40">
      <c r="B18" s="329"/>
      <c r="C18" s="323"/>
      <c r="D18" s="22" t="s">
        <v>134</v>
      </c>
      <c r="E18" s="23" t="s">
        <v>135</v>
      </c>
      <c r="F18" t="s">
        <v>1052</v>
      </c>
      <c r="G18" t="s">
        <v>1029</v>
      </c>
      <c r="H18" s="249" t="s">
        <v>354</v>
      </c>
      <c r="I18" s="24" t="s">
        <v>13</v>
      </c>
      <c r="J18" s="185" t="s">
        <v>51</v>
      </c>
      <c r="K18" s="184" t="s">
        <v>133</v>
      </c>
      <c r="L18" s="24"/>
      <c r="M18" s="24"/>
      <c r="N18" s="24"/>
      <c r="O18" s="24"/>
      <c r="P18" s="185"/>
      <c r="Q18" s="289" t="s">
        <v>791</v>
      </c>
      <c r="R18" s="162">
        <v>3</v>
      </c>
      <c r="S18" s="144" t="s">
        <v>665</v>
      </c>
      <c r="T18" s="25"/>
      <c r="U18" s="7"/>
      <c r="V18" s="300"/>
      <c r="Y18" t="str">
        <f t="shared" si="8"/>
        <v>wing_elongation_p2to3</v>
      </c>
      <c r="Z18" t="str">
        <f t="shared" si="9"/>
        <v>double</v>
      </c>
      <c r="AA18" t="str">
        <f t="shared" si="10"/>
        <v>scalaire</v>
      </c>
      <c r="AB18" t="str">
        <f t="shared" si="11"/>
        <v>Allongement de la voilure externe, entre les plans 2 et 3</v>
      </c>
      <c r="AC18" t="str">
        <f t="shared" si="0"/>
        <v>(-)</v>
      </c>
      <c r="AD18" s="279" t="str">
        <f t="shared" si="1"/>
        <v>variable: wing_elongation_p2to3 double input description= "Allongement de la voilure externe, entre les plans 2 et 3" units= "(-)"</v>
      </c>
      <c r="AE18" s="7" t="str">
        <f t="shared" si="2"/>
        <v>X0.Geometry.wingbody</v>
      </c>
      <c r="AF18" s="7" t="str">
        <f t="shared" si="3"/>
        <v/>
      </c>
      <c r="AG18" s="7" t="str">
        <f t="shared" si="4"/>
        <v/>
      </c>
      <c r="AH18" s="7" t="str">
        <f t="shared" si="5"/>
        <v/>
      </c>
      <c r="AI18" s="7" t="str">
        <f t="shared" si="6"/>
        <v/>
      </c>
      <c r="AJ18" s="7" t="str">
        <f t="shared" si="7"/>
        <v/>
      </c>
      <c r="AL18" s="2" t="s">
        <v>673</v>
      </c>
      <c r="AM18" s="2" t="s">
        <v>630</v>
      </c>
      <c r="AN18" s="278" t="s">
        <v>686</v>
      </c>
    </row>
    <row r="19" spans="2:40">
      <c r="B19" s="329"/>
      <c r="C19" s="323"/>
      <c r="D19" s="26" t="s">
        <v>136</v>
      </c>
      <c r="E19" s="27" t="s">
        <v>137</v>
      </c>
      <c r="F19" t="s">
        <v>1052</v>
      </c>
      <c r="G19" t="s">
        <v>1029</v>
      </c>
      <c r="H19" s="250" t="s">
        <v>354</v>
      </c>
      <c r="I19" s="28" t="s">
        <v>13</v>
      </c>
      <c r="J19" s="187" t="s">
        <v>51</v>
      </c>
      <c r="K19" s="186" t="s">
        <v>133</v>
      </c>
      <c r="L19" s="28"/>
      <c r="M19" s="28"/>
      <c r="N19" s="28"/>
      <c r="O19" s="28"/>
      <c r="P19" s="187"/>
      <c r="Q19" s="289" t="s">
        <v>792</v>
      </c>
      <c r="R19" s="162">
        <v>4</v>
      </c>
      <c r="S19" s="144" t="s">
        <v>665</v>
      </c>
      <c r="T19" s="25"/>
      <c r="U19" s="7"/>
      <c r="V19" s="300"/>
      <c r="Y19" t="str">
        <f t="shared" si="8"/>
        <v>wing_taper_ratio_p2to3</v>
      </c>
      <c r="Z19" t="str">
        <f t="shared" si="9"/>
        <v>double</v>
      </c>
      <c r="AA19" t="str">
        <f t="shared" si="10"/>
        <v>scalaire</v>
      </c>
      <c r="AB19" t="str">
        <f t="shared" si="11"/>
        <v>Effilement de la voilure externe, entre les plans 2 et 3</v>
      </c>
      <c r="AC19" t="str">
        <f t="shared" si="0"/>
        <v>(-)</v>
      </c>
      <c r="AD19" s="279" t="str">
        <f t="shared" si="1"/>
        <v>variable: wing_taper_ratio_p2to3 double input description= "Effilement de la voilure externe, entre les plans 2 et 3" units= "(-)"</v>
      </c>
      <c r="AE19" s="7" t="str">
        <f t="shared" si="2"/>
        <v>X0.Geometry.wingbody</v>
      </c>
      <c r="AF19" s="7" t="str">
        <f t="shared" si="3"/>
        <v/>
      </c>
      <c r="AG19" s="7" t="str">
        <f t="shared" si="4"/>
        <v/>
      </c>
      <c r="AH19" s="7" t="str">
        <f t="shared" si="5"/>
        <v/>
      </c>
      <c r="AI19" s="7" t="str">
        <f t="shared" si="6"/>
        <v/>
      </c>
      <c r="AJ19" s="7" t="str">
        <f t="shared" si="7"/>
        <v/>
      </c>
      <c r="AL19" s="2" t="s">
        <v>674</v>
      </c>
      <c r="AM19" s="2" t="s">
        <v>631</v>
      </c>
      <c r="AN19" s="278" t="s">
        <v>688</v>
      </c>
    </row>
    <row r="20" spans="2:40">
      <c r="B20" s="329"/>
      <c r="C20" s="323"/>
      <c r="D20" s="22" t="s">
        <v>138</v>
      </c>
      <c r="E20" s="23" t="s">
        <v>139</v>
      </c>
      <c r="F20" t="s">
        <v>1052</v>
      </c>
      <c r="G20" t="s">
        <v>1029</v>
      </c>
      <c r="H20" s="249" t="s">
        <v>354</v>
      </c>
      <c r="I20" s="24" t="s">
        <v>13</v>
      </c>
      <c r="J20" s="185" t="s">
        <v>42</v>
      </c>
      <c r="K20" s="184" t="s">
        <v>133</v>
      </c>
      <c r="L20" s="24" t="s">
        <v>428</v>
      </c>
      <c r="M20" s="24" t="s">
        <v>14</v>
      </c>
      <c r="N20" s="24"/>
      <c r="O20" s="24"/>
      <c r="P20" s="185"/>
      <c r="Q20" s="289" t="s">
        <v>793</v>
      </c>
      <c r="R20" s="162">
        <v>5</v>
      </c>
      <c r="S20" s="144" t="s">
        <v>665</v>
      </c>
      <c r="T20" s="25"/>
      <c r="U20" s="7"/>
      <c r="V20" s="300"/>
      <c r="Y20" t="str">
        <f t="shared" si="8"/>
        <v>wing_sweep_leading_edge_p0</v>
      </c>
      <c r="Z20" t="str">
        <f t="shared" si="9"/>
        <v>double</v>
      </c>
      <c r="AA20" t="str">
        <f t="shared" si="10"/>
        <v>scalaire</v>
      </c>
      <c r="AB20" t="str">
        <f t="shared" si="11"/>
        <v>Flèche du bord d'attaque au plan 0</v>
      </c>
      <c r="AC20" t="str">
        <f t="shared" si="0"/>
        <v>degré</v>
      </c>
      <c r="AD20" s="279" t="str">
        <f t="shared" si="1"/>
        <v>variable: wing_sweep_leading_edge_p0 double input description= "Flèche du bord d'attaque au plan 0" units= "degré"</v>
      </c>
      <c r="AE20" s="7" t="str">
        <f t="shared" si="2"/>
        <v>X0.Geometry.wingbody</v>
      </c>
      <c r="AF20" s="7" t="str">
        <f t="shared" si="3"/>
        <v>Y02.Geometry.wingbody</v>
      </c>
      <c r="AG20" s="7" t="str">
        <f t="shared" si="4"/>
        <v>Y03.Geometry.wingbody</v>
      </c>
      <c r="AH20" s="7" t="str">
        <f t="shared" si="5"/>
        <v/>
      </c>
      <c r="AI20" s="7" t="str">
        <f t="shared" si="6"/>
        <v/>
      </c>
      <c r="AJ20" s="7" t="str">
        <f t="shared" si="7"/>
        <v/>
      </c>
      <c r="AL20" s="2" t="s">
        <v>675</v>
      </c>
      <c r="AM20" s="2" t="s">
        <v>634</v>
      </c>
      <c r="AN20" s="278" t="s">
        <v>689</v>
      </c>
    </row>
    <row r="21" spans="2:40">
      <c r="B21" s="329"/>
      <c r="C21" s="323"/>
      <c r="D21" s="29" t="s">
        <v>478</v>
      </c>
      <c r="E21" s="30" t="s">
        <v>554</v>
      </c>
      <c r="F21" t="s">
        <v>1052</v>
      </c>
      <c r="G21" t="s">
        <v>1029</v>
      </c>
      <c r="H21" s="251" t="s">
        <v>354</v>
      </c>
      <c r="I21" s="31" t="s">
        <v>13</v>
      </c>
      <c r="J21" s="189" t="s">
        <v>42</v>
      </c>
      <c r="K21" s="188" t="s">
        <v>133</v>
      </c>
      <c r="L21" s="31" t="s">
        <v>575</v>
      </c>
      <c r="M21" s="31" t="s">
        <v>576</v>
      </c>
      <c r="N21" s="31"/>
      <c r="O21" s="31"/>
      <c r="P21" s="189"/>
      <c r="Q21" s="289" t="s">
        <v>794</v>
      </c>
      <c r="R21" s="162">
        <v>6</v>
      </c>
      <c r="S21" s="144" t="s">
        <v>665</v>
      </c>
      <c r="T21" s="25"/>
      <c r="U21" s="7"/>
      <c r="V21" s="300"/>
      <c r="Y21" t="str">
        <f t="shared" si="8"/>
        <v>wing_sweep_leading_edge_p0_1</v>
      </c>
      <c r="Z21" t="str">
        <f t="shared" si="9"/>
        <v>double</v>
      </c>
      <c r="AA21" t="str">
        <f t="shared" si="10"/>
        <v>scalaire</v>
      </c>
      <c r="AB21" t="str">
        <f t="shared" si="11"/>
        <v>Flèche du bord d'attaque au plan 0.1</v>
      </c>
      <c r="AC21" t="str">
        <f t="shared" si="0"/>
        <v>degré</v>
      </c>
      <c r="AD21" s="279" t="str">
        <f t="shared" si="1"/>
        <v>variable: wing_sweep_leading_edge_p0_1 double input description= "Flèche du bord d'attaque au plan 0.1" units= "degré"</v>
      </c>
      <c r="AE21" s="7" t="str">
        <f t="shared" si="2"/>
        <v>X0.Geometry.wingbody</v>
      </c>
      <c r="AF21" s="7" t="str">
        <f t="shared" si="3"/>
        <v>Y02.Geometry.wingbody</v>
      </c>
      <c r="AG21" s="7" t="str">
        <f t="shared" si="4"/>
        <v>Y03.Geometry.wingbody</v>
      </c>
      <c r="AH21" s="7" t="str">
        <f t="shared" si="5"/>
        <v/>
      </c>
      <c r="AI21" s="7" t="str">
        <f t="shared" si="6"/>
        <v/>
      </c>
      <c r="AJ21" s="7" t="str">
        <f t="shared" si="7"/>
        <v/>
      </c>
      <c r="AL21" s="2" t="s">
        <v>676</v>
      </c>
      <c r="AM21" s="2" t="s">
        <v>636</v>
      </c>
      <c r="AN21" s="278" t="s">
        <v>690</v>
      </c>
    </row>
    <row r="22" spans="2:40">
      <c r="B22" s="329"/>
      <c r="C22" s="323"/>
      <c r="D22" s="22" t="s">
        <v>140</v>
      </c>
      <c r="E22" s="23" t="s">
        <v>141</v>
      </c>
      <c r="F22" t="s">
        <v>1052</v>
      </c>
      <c r="G22" t="s">
        <v>1029</v>
      </c>
      <c r="H22" s="249" t="s">
        <v>354</v>
      </c>
      <c r="I22" s="24" t="s">
        <v>13</v>
      </c>
      <c r="J22" s="185" t="s">
        <v>42</v>
      </c>
      <c r="K22" s="230" t="s">
        <v>133</v>
      </c>
      <c r="L22" s="32" t="s">
        <v>575</v>
      </c>
      <c r="M22" s="32" t="s">
        <v>576</v>
      </c>
      <c r="N22" s="32"/>
      <c r="O22" s="32"/>
      <c r="P22" s="231"/>
      <c r="Q22" s="289" t="s">
        <v>795</v>
      </c>
      <c r="R22" s="162">
        <v>7</v>
      </c>
      <c r="S22" s="144" t="s">
        <v>665</v>
      </c>
      <c r="T22" s="25"/>
      <c r="U22" s="7"/>
      <c r="V22" s="300"/>
      <c r="Y22" t="str">
        <f t="shared" si="8"/>
        <v>wing_sweep_leading_edge_p1</v>
      </c>
      <c r="Z22" t="str">
        <f t="shared" si="9"/>
        <v>double</v>
      </c>
      <c r="AA22" t="str">
        <f t="shared" si="10"/>
        <v>scalaire</v>
      </c>
      <c r="AB22" t="str">
        <f t="shared" si="11"/>
        <v>Flèche du bord d'attaque au plan 1</v>
      </c>
      <c r="AC22" t="str">
        <f t="shared" si="0"/>
        <v>degré</v>
      </c>
      <c r="AD22" s="279" t="str">
        <f t="shared" si="1"/>
        <v>variable: wing_sweep_leading_edge_p1 double input description= "Flèche du bord d'attaque au plan 1" units= "degré"</v>
      </c>
      <c r="AE22" s="7" t="str">
        <f t="shared" si="2"/>
        <v>X0.Geometry.wingbody</v>
      </c>
      <c r="AF22" s="7" t="str">
        <f t="shared" si="3"/>
        <v>Y02.Geometry.wingbody</v>
      </c>
      <c r="AG22" s="7" t="str">
        <f t="shared" si="4"/>
        <v>Y03.Geometry.wingbody</v>
      </c>
      <c r="AH22" s="7" t="str">
        <f t="shared" si="5"/>
        <v/>
      </c>
      <c r="AI22" s="7" t="str">
        <f t="shared" si="6"/>
        <v/>
      </c>
      <c r="AJ22" s="7" t="str">
        <f t="shared" si="7"/>
        <v/>
      </c>
      <c r="AL22" s="2" t="s">
        <v>677</v>
      </c>
      <c r="AM22" s="2" t="s">
        <v>627</v>
      </c>
      <c r="AN22" s="1" t="s">
        <v>691</v>
      </c>
    </row>
    <row r="23" spans="2:40">
      <c r="B23" s="329"/>
      <c r="C23" s="323"/>
      <c r="D23" s="22" t="s">
        <v>142</v>
      </c>
      <c r="E23" s="23" t="s">
        <v>143</v>
      </c>
      <c r="F23" t="s">
        <v>1052</v>
      </c>
      <c r="G23" t="s">
        <v>1029</v>
      </c>
      <c r="H23" s="249" t="s">
        <v>354</v>
      </c>
      <c r="I23" s="24" t="s">
        <v>13</v>
      </c>
      <c r="J23" s="185" t="s">
        <v>42</v>
      </c>
      <c r="K23" s="230" t="s">
        <v>133</v>
      </c>
      <c r="L23" s="32" t="s">
        <v>575</v>
      </c>
      <c r="M23" s="32" t="s">
        <v>576</v>
      </c>
      <c r="N23" s="32"/>
      <c r="O23" s="32"/>
      <c r="P23" s="231"/>
      <c r="Q23" s="289" t="s">
        <v>796</v>
      </c>
      <c r="R23" s="162">
        <v>8</v>
      </c>
      <c r="S23" s="144" t="s">
        <v>665</v>
      </c>
      <c r="T23" s="25"/>
      <c r="U23" s="7"/>
      <c r="V23" s="300"/>
      <c r="Y23" t="str">
        <f t="shared" si="8"/>
        <v>wing_sweep_leading_edge_p2</v>
      </c>
      <c r="Z23" t="str">
        <f t="shared" si="9"/>
        <v>double</v>
      </c>
      <c r="AA23" t="str">
        <f t="shared" si="10"/>
        <v>scalaire</v>
      </c>
      <c r="AB23" t="str">
        <f t="shared" si="11"/>
        <v>Flèche du bord d'attaque au plan 2</v>
      </c>
      <c r="AC23" t="str">
        <f t="shared" si="0"/>
        <v>degré</v>
      </c>
      <c r="AD23" s="279" t="str">
        <f t="shared" si="1"/>
        <v>variable: wing_sweep_leading_edge_p2 double input description= "Flèche du bord d'attaque au plan 2" units= "degré"</v>
      </c>
      <c r="AE23" s="7" t="str">
        <f t="shared" si="2"/>
        <v>X0.Geometry.wingbody</v>
      </c>
      <c r="AF23" s="7" t="str">
        <f t="shared" si="3"/>
        <v>Y02.Geometry.wingbody</v>
      </c>
      <c r="AG23" s="7" t="str">
        <f t="shared" si="4"/>
        <v>Y03.Geometry.wingbody</v>
      </c>
      <c r="AH23" s="7" t="str">
        <f t="shared" si="5"/>
        <v/>
      </c>
      <c r="AI23" s="7" t="str">
        <f t="shared" si="6"/>
        <v/>
      </c>
      <c r="AJ23" s="7" t="str">
        <f t="shared" si="7"/>
        <v/>
      </c>
      <c r="AL23" s="2" t="s">
        <v>678</v>
      </c>
      <c r="AM23" s="2" t="s">
        <v>629</v>
      </c>
      <c r="AN23" s="1" t="s">
        <v>692</v>
      </c>
    </row>
    <row r="24" spans="2:40">
      <c r="B24" s="329"/>
      <c r="C24" s="323"/>
      <c r="D24" s="29" t="s">
        <v>479</v>
      </c>
      <c r="E24" s="30" t="s">
        <v>555</v>
      </c>
      <c r="F24" t="s">
        <v>1052</v>
      </c>
      <c r="G24" t="s">
        <v>1029</v>
      </c>
      <c r="H24" s="251" t="s">
        <v>354</v>
      </c>
      <c r="I24" s="31" t="s">
        <v>13</v>
      </c>
      <c r="J24" s="189" t="s">
        <v>42</v>
      </c>
      <c r="K24" s="232" t="s">
        <v>133</v>
      </c>
      <c r="L24" s="33" t="s">
        <v>575</v>
      </c>
      <c r="M24" s="33" t="s">
        <v>576</v>
      </c>
      <c r="N24" s="33"/>
      <c r="O24" s="33"/>
      <c r="P24" s="233"/>
      <c r="Q24" s="289" t="s">
        <v>797</v>
      </c>
      <c r="R24" s="162">
        <v>9</v>
      </c>
      <c r="S24" s="144" t="s">
        <v>665</v>
      </c>
      <c r="T24" s="25"/>
      <c r="U24" s="7"/>
      <c r="V24" s="300"/>
      <c r="Y24" t="str">
        <f t="shared" si="8"/>
        <v>wing_sweep_leading_edge_p2_1</v>
      </c>
      <c r="Z24" t="str">
        <f t="shared" si="9"/>
        <v>double</v>
      </c>
      <c r="AA24" t="str">
        <f t="shared" si="10"/>
        <v>scalaire</v>
      </c>
      <c r="AB24" t="str">
        <f t="shared" si="11"/>
        <v>Flèche du bord d'attaque au plan 2.1</v>
      </c>
      <c r="AC24" t="str">
        <f t="shared" si="0"/>
        <v>degré</v>
      </c>
      <c r="AD24" s="279" t="str">
        <f t="shared" si="1"/>
        <v>variable: wing_sweep_leading_edge_p2_1 double input description= "Flèche du bord d'attaque au plan 2.1" units= "degré"</v>
      </c>
      <c r="AE24" s="7" t="str">
        <f t="shared" si="2"/>
        <v>X0.Geometry.wingbody</v>
      </c>
      <c r="AF24" s="7" t="str">
        <f t="shared" si="3"/>
        <v>Y02.Geometry.wingbody</v>
      </c>
      <c r="AG24" s="7" t="str">
        <f t="shared" si="4"/>
        <v>Y03.Geometry.wingbody</v>
      </c>
      <c r="AH24" s="7" t="str">
        <f t="shared" si="5"/>
        <v/>
      </c>
      <c r="AI24" s="7" t="str">
        <f t="shared" si="6"/>
        <v/>
      </c>
      <c r="AJ24" s="7" t="str">
        <f t="shared" si="7"/>
        <v/>
      </c>
      <c r="AL24" s="2" t="s">
        <v>679</v>
      </c>
      <c r="AM24" s="2" t="s">
        <v>632</v>
      </c>
      <c r="AN24" s="278" t="s">
        <v>693</v>
      </c>
    </row>
    <row r="25" spans="2:40">
      <c r="B25" s="329"/>
      <c r="C25" s="323"/>
      <c r="D25" s="29" t="s">
        <v>492</v>
      </c>
      <c r="E25" s="30" t="s">
        <v>506</v>
      </c>
      <c r="F25" t="s">
        <v>1052</v>
      </c>
      <c r="G25" t="s">
        <v>1029</v>
      </c>
      <c r="H25" s="251" t="s">
        <v>354</v>
      </c>
      <c r="I25" s="31" t="s">
        <v>13</v>
      </c>
      <c r="J25" s="189" t="s">
        <v>42</v>
      </c>
      <c r="K25" s="232" t="s">
        <v>513</v>
      </c>
      <c r="L25" s="33"/>
      <c r="M25" s="33"/>
      <c r="N25" s="33"/>
      <c r="O25" s="33"/>
      <c r="P25" s="233"/>
      <c r="Q25" s="289" t="s">
        <v>798</v>
      </c>
      <c r="R25" s="162">
        <v>10</v>
      </c>
      <c r="S25" s="144" t="s">
        <v>665</v>
      </c>
      <c r="T25" s="25" t="s">
        <v>492</v>
      </c>
      <c r="U25" s="7"/>
      <c r="V25" s="300"/>
      <c r="Y25" t="str">
        <f t="shared" si="8"/>
        <v>wing_sweep_trailing_edge_p0</v>
      </c>
      <c r="Z25" t="str">
        <f t="shared" si="9"/>
        <v>double</v>
      </c>
      <c r="AA25" t="str">
        <f t="shared" si="10"/>
        <v>scalaire</v>
      </c>
      <c r="AB25" t="str">
        <f t="shared" si="11"/>
        <v>Flèche du bord de fuite au plan 0</v>
      </c>
      <c r="AC25" t="str">
        <f t="shared" si="0"/>
        <v>degré</v>
      </c>
      <c r="AD25" s="279" t="str">
        <f t="shared" si="1"/>
        <v>variable: wing_sweep_trailing_edge_p0 double input description= "Flèche du bord de fuite au plan 0" units= "degré"</v>
      </c>
      <c r="AE25" s="7" t="str">
        <f t="shared" si="2"/>
        <v>Y0x.Geometry.wingbody</v>
      </c>
      <c r="AF25" s="7" t="str">
        <f t="shared" si="3"/>
        <v/>
      </c>
      <c r="AG25" s="7" t="str">
        <f t="shared" si="4"/>
        <v/>
      </c>
      <c r="AH25" s="7" t="str">
        <f t="shared" si="5"/>
        <v/>
      </c>
      <c r="AI25" s="7" t="str">
        <f t="shared" si="6"/>
        <v/>
      </c>
      <c r="AJ25" s="7" t="str">
        <f t="shared" si="7"/>
        <v/>
      </c>
      <c r="AL25" s="2" t="s">
        <v>680</v>
      </c>
      <c r="AM25" s="2" t="s">
        <v>633</v>
      </c>
      <c r="AN25" s="278" t="s">
        <v>694</v>
      </c>
    </row>
    <row r="26" spans="2:40">
      <c r="B26" s="329"/>
      <c r="C26" s="323"/>
      <c r="D26" s="29" t="s">
        <v>493</v>
      </c>
      <c r="E26" s="30" t="s">
        <v>556</v>
      </c>
      <c r="F26" t="s">
        <v>1052</v>
      </c>
      <c r="G26" t="s">
        <v>1029</v>
      </c>
      <c r="H26" s="251" t="s">
        <v>354</v>
      </c>
      <c r="I26" s="31" t="s">
        <v>13</v>
      </c>
      <c r="J26" s="189" t="s">
        <v>42</v>
      </c>
      <c r="K26" s="232" t="s">
        <v>513</v>
      </c>
      <c r="L26" s="33"/>
      <c r="M26" s="33"/>
      <c r="N26" s="33"/>
      <c r="O26" s="33"/>
      <c r="P26" s="233"/>
      <c r="Q26" s="289" t="s">
        <v>799</v>
      </c>
      <c r="R26" s="162">
        <v>11</v>
      </c>
      <c r="S26" s="144" t="s">
        <v>665</v>
      </c>
      <c r="T26" s="25" t="s">
        <v>548</v>
      </c>
      <c r="U26" s="7"/>
      <c r="V26" s="300"/>
      <c r="Y26" t="str">
        <f t="shared" si="8"/>
        <v>wing_sweep_trailing_edge_p0_1</v>
      </c>
      <c r="Z26" t="str">
        <f t="shared" si="9"/>
        <v>double</v>
      </c>
      <c r="AA26" t="str">
        <f t="shared" si="10"/>
        <v>scalaire</v>
      </c>
      <c r="AB26" t="str">
        <f t="shared" si="11"/>
        <v>Flèche du bord de fuite au plan 0.1</v>
      </c>
      <c r="AC26" t="str">
        <f t="shared" si="0"/>
        <v>degré</v>
      </c>
      <c r="AD26" s="279" t="str">
        <f t="shared" si="1"/>
        <v>variable: wing_sweep_trailing_edge_p0_1 double input description= "Flèche du bord de fuite au plan 0.1" units= "degré"</v>
      </c>
      <c r="AE26" s="7" t="str">
        <f t="shared" si="2"/>
        <v>Y0x.Geometry.wingbody</v>
      </c>
      <c r="AF26" s="7" t="str">
        <f t="shared" si="3"/>
        <v/>
      </c>
      <c r="AG26" s="7" t="str">
        <f t="shared" si="4"/>
        <v/>
      </c>
      <c r="AH26" s="7" t="str">
        <f t="shared" si="5"/>
        <v/>
      </c>
      <c r="AI26" s="7" t="str">
        <f t="shared" si="6"/>
        <v/>
      </c>
      <c r="AJ26" s="7" t="str">
        <f t="shared" si="7"/>
        <v/>
      </c>
      <c r="AL26" s="2" t="s">
        <v>681</v>
      </c>
      <c r="AM26" s="2" t="s">
        <v>635</v>
      </c>
      <c r="AN26" s="278" t="s">
        <v>695</v>
      </c>
    </row>
    <row r="27" spans="2:40">
      <c r="B27" s="329"/>
      <c r="C27" s="323"/>
      <c r="D27" s="29" t="s">
        <v>494</v>
      </c>
      <c r="E27" s="30" t="s">
        <v>507</v>
      </c>
      <c r="F27" t="s">
        <v>1052</v>
      </c>
      <c r="G27" t="s">
        <v>1029</v>
      </c>
      <c r="H27" s="251" t="s">
        <v>354</v>
      </c>
      <c r="I27" s="31" t="s">
        <v>13</v>
      </c>
      <c r="J27" s="189" t="s">
        <v>42</v>
      </c>
      <c r="K27" s="232" t="s">
        <v>513</v>
      </c>
      <c r="L27" s="33"/>
      <c r="M27" s="33"/>
      <c r="N27" s="33"/>
      <c r="O27" s="33"/>
      <c r="P27" s="233"/>
      <c r="Q27" s="289" t="s">
        <v>800</v>
      </c>
      <c r="R27" s="162">
        <v>12</v>
      </c>
      <c r="S27" s="144" t="s">
        <v>665</v>
      </c>
      <c r="T27" s="25" t="s">
        <v>494</v>
      </c>
      <c r="U27" s="7"/>
      <c r="V27" s="300"/>
      <c r="Y27" t="str">
        <f t="shared" si="8"/>
        <v>wing_sweep_trailing_edge_p1</v>
      </c>
      <c r="Z27" t="str">
        <f t="shared" si="9"/>
        <v>double</v>
      </c>
      <c r="AA27" t="str">
        <f t="shared" si="10"/>
        <v>scalaire</v>
      </c>
      <c r="AB27" t="str">
        <f t="shared" si="11"/>
        <v>Flèche du bord de fuite au plan 1</v>
      </c>
      <c r="AC27" t="str">
        <f t="shared" si="0"/>
        <v>degré</v>
      </c>
      <c r="AD27" s="279" t="str">
        <f t="shared" si="1"/>
        <v>variable: wing_sweep_trailing_edge_p1 double input description= "Flèche du bord de fuite au plan 1" units= "degré"</v>
      </c>
      <c r="AE27" s="7" t="str">
        <f t="shared" si="2"/>
        <v>Y0x.Geometry.wingbody</v>
      </c>
      <c r="AF27" s="7" t="str">
        <f t="shared" si="3"/>
        <v/>
      </c>
      <c r="AG27" s="7" t="str">
        <f t="shared" si="4"/>
        <v/>
      </c>
      <c r="AH27" s="7" t="str">
        <f t="shared" si="5"/>
        <v/>
      </c>
      <c r="AI27" s="7" t="str">
        <f t="shared" si="6"/>
        <v/>
      </c>
      <c r="AJ27" s="7" t="str">
        <f t="shared" si="7"/>
        <v/>
      </c>
      <c r="AL27" s="2" t="s">
        <v>682</v>
      </c>
      <c r="AM27" s="2" t="s">
        <v>637</v>
      </c>
      <c r="AN27" s="278" t="s">
        <v>696</v>
      </c>
    </row>
    <row r="28" spans="2:40">
      <c r="B28" s="329"/>
      <c r="C28" s="323"/>
      <c r="D28" s="29" t="s">
        <v>495</v>
      </c>
      <c r="E28" s="30" t="s">
        <v>508</v>
      </c>
      <c r="F28" t="s">
        <v>1052</v>
      </c>
      <c r="G28" t="s">
        <v>1029</v>
      </c>
      <c r="H28" s="251" t="s">
        <v>354</v>
      </c>
      <c r="I28" s="31" t="s">
        <v>13</v>
      </c>
      <c r="J28" s="189" t="s">
        <v>42</v>
      </c>
      <c r="K28" s="232" t="s">
        <v>513</v>
      </c>
      <c r="L28" s="33"/>
      <c r="M28" s="33"/>
      <c r="N28" s="33"/>
      <c r="O28" s="33"/>
      <c r="P28" s="233"/>
      <c r="Q28" s="289" t="s">
        <v>801</v>
      </c>
      <c r="R28" s="162">
        <v>13</v>
      </c>
      <c r="S28" s="144" t="s">
        <v>665</v>
      </c>
      <c r="T28" s="25" t="s">
        <v>495</v>
      </c>
      <c r="U28" s="7"/>
      <c r="V28" s="300"/>
      <c r="Y28" t="str">
        <f t="shared" si="8"/>
        <v>wing_sweep_trailing_edge_p2</v>
      </c>
      <c r="Z28" t="str">
        <f t="shared" si="9"/>
        <v>double</v>
      </c>
      <c r="AA28" t="str">
        <f t="shared" si="10"/>
        <v>scalaire</v>
      </c>
      <c r="AB28" t="str">
        <f t="shared" si="11"/>
        <v>Flèche du bord de fuite au plan 2</v>
      </c>
      <c r="AC28" t="str">
        <f t="shared" si="0"/>
        <v>degré</v>
      </c>
      <c r="AD28" s="279" t="str">
        <f t="shared" si="1"/>
        <v>variable: wing_sweep_trailing_edge_p2 double input description= "Flèche du bord de fuite au plan 2" units= "degré"</v>
      </c>
      <c r="AE28" s="7" t="str">
        <f t="shared" si="2"/>
        <v>Y0x.Geometry.wingbody</v>
      </c>
      <c r="AF28" s="7" t="str">
        <f t="shared" si="3"/>
        <v/>
      </c>
      <c r="AG28" s="7" t="str">
        <f t="shared" si="4"/>
        <v/>
      </c>
      <c r="AH28" s="7" t="str">
        <f t="shared" si="5"/>
        <v/>
      </c>
      <c r="AI28" s="7" t="str">
        <f t="shared" si="6"/>
        <v/>
      </c>
      <c r="AJ28" s="7" t="str">
        <f t="shared" si="7"/>
        <v/>
      </c>
    </row>
    <row r="29" spans="2:40">
      <c r="B29" s="329"/>
      <c r="C29" s="323"/>
      <c r="D29" s="29" t="s">
        <v>496</v>
      </c>
      <c r="E29" s="30" t="s">
        <v>557</v>
      </c>
      <c r="F29" t="s">
        <v>1052</v>
      </c>
      <c r="G29" t="s">
        <v>1029</v>
      </c>
      <c r="H29" s="251" t="s">
        <v>354</v>
      </c>
      <c r="I29" s="31" t="s">
        <v>13</v>
      </c>
      <c r="J29" s="189" t="s">
        <v>42</v>
      </c>
      <c r="K29" s="232" t="s">
        <v>513</v>
      </c>
      <c r="L29" s="33"/>
      <c r="M29" s="33"/>
      <c r="N29" s="33"/>
      <c r="O29" s="33"/>
      <c r="P29" s="233"/>
      <c r="Q29" s="289" t="s">
        <v>802</v>
      </c>
      <c r="R29" s="162">
        <v>14</v>
      </c>
      <c r="S29" s="144" t="s">
        <v>665</v>
      </c>
      <c r="T29" s="25"/>
      <c r="U29" s="7"/>
      <c r="V29" s="300"/>
      <c r="Y29" t="str">
        <f t="shared" si="8"/>
        <v>wing_sweep_trailing_edge_p2_1</v>
      </c>
      <c r="Z29" t="str">
        <f t="shared" si="9"/>
        <v>double</v>
      </c>
      <c r="AA29" t="str">
        <f t="shared" si="10"/>
        <v>scalaire</v>
      </c>
      <c r="AB29" t="str">
        <f t="shared" si="11"/>
        <v>Flèche du bord de fuite au plan 2.1</v>
      </c>
      <c r="AC29" t="str">
        <f t="shared" si="0"/>
        <v>degré</v>
      </c>
      <c r="AD29" s="279" t="str">
        <f t="shared" si="1"/>
        <v>variable: wing_sweep_trailing_edge_p2_1 double input description= "Flèche du bord de fuite au plan 2.1" units= "degré"</v>
      </c>
      <c r="AE29" s="7" t="str">
        <f t="shared" si="2"/>
        <v>Y0x.Geometry.wingbody</v>
      </c>
      <c r="AF29" s="7" t="str">
        <f t="shared" si="3"/>
        <v/>
      </c>
      <c r="AG29" s="7" t="str">
        <f t="shared" si="4"/>
        <v/>
      </c>
      <c r="AH29" s="7" t="str">
        <f t="shared" si="5"/>
        <v/>
      </c>
      <c r="AI29" s="7" t="str">
        <f t="shared" si="6"/>
        <v/>
      </c>
      <c r="AJ29" s="7" t="str">
        <f t="shared" si="7"/>
        <v/>
      </c>
    </row>
    <row r="30" spans="2:40">
      <c r="B30" s="329"/>
      <c r="C30" s="323"/>
      <c r="D30" s="22" t="s">
        <v>144</v>
      </c>
      <c r="E30" s="23" t="s">
        <v>78</v>
      </c>
      <c r="F30" t="s">
        <v>1052</v>
      </c>
      <c r="G30" t="s">
        <v>1029</v>
      </c>
      <c r="H30" s="249" t="s">
        <v>354</v>
      </c>
      <c r="I30" s="24" t="s">
        <v>13</v>
      </c>
      <c r="J30" s="185" t="s">
        <v>51</v>
      </c>
      <c r="K30" s="230" t="s">
        <v>133</v>
      </c>
      <c r="L30" s="32" t="s">
        <v>575</v>
      </c>
      <c r="M30" s="32" t="s">
        <v>576</v>
      </c>
      <c r="N30" s="32"/>
      <c r="O30" s="32"/>
      <c r="P30" s="231"/>
      <c r="Q30" s="289" t="s">
        <v>810</v>
      </c>
      <c r="R30" s="162">
        <v>15</v>
      </c>
      <c r="S30" s="144" t="s">
        <v>665</v>
      </c>
      <c r="T30" s="25"/>
      <c r="U30" s="7"/>
      <c r="V30" s="300"/>
      <c r="Y30" t="str">
        <f t="shared" si="8"/>
        <v>wing_thickness_ratio_p0</v>
      </c>
      <c r="Z30" t="str">
        <f t="shared" si="9"/>
        <v>double</v>
      </c>
      <c r="AA30" t="str">
        <f t="shared" si="10"/>
        <v>scalaire</v>
      </c>
      <c r="AB30" t="str">
        <f t="shared" si="11"/>
        <v>Epaisseur relative du profil aérodynamique dans le plan 0</v>
      </c>
      <c r="AC30" t="str">
        <f t="shared" si="0"/>
        <v>(-)</v>
      </c>
      <c r="AD30" s="279" t="str">
        <f t="shared" si="1"/>
        <v>variable: wing_thickness_ratio_p0 double input description= "Epaisseur relative du profil aérodynamique dans le plan 0" units= "(-)"</v>
      </c>
      <c r="AE30" s="7" t="str">
        <f t="shared" si="2"/>
        <v>X0.Geometry.wingbody</v>
      </c>
      <c r="AF30" s="7" t="str">
        <f t="shared" si="3"/>
        <v>Y02.Geometry.wingbody</v>
      </c>
      <c r="AG30" s="7" t="str">
        <f t="shared" si="4"/>
        <v>Y03.Geometry.wingbody</v>
      </c>
      <c r="AH30" s="7" t="str">
        <f t="shared" si="5"/>
        <v/>
      </c>
      <c r="AI30" s="7" t="str">
        <f t="shared" si="6"/>
        <v/>
      </c>
      <c r="AJ30" s="7" t="str">
        <f t="shared" si="7"/>
        <v/>
      </c>
    </row>
    <row r="31" spans="2:40">
      <c r="B31" s="329"/>
      <c r="C31" s="323"/>
      <c r="D31" s="29" t="s">
        <v>480</v>
      </c>
      <c r="E31" s="30" t="s">
        <v>558</v>
      </c>
      <c r="F31" t="s">
        <v>1052</v>
      </c>
      <c r="G31" t="s">
        <v>1029</v>
      </c>
      <c r="H31" s="251" t="s">
        <v>354</v>
      </c>
      <c r="I31" s="31" t="s">
        <v>13</v>
      </c>
      <c r="J31" s="189" t="s">
        <v>51</v>
      </c>
      <c r="K31" s="232" t="s">
        <v>133</v>
      </c>
      <c r="L31" s="33" t="s">
        <v>575</v>
      </c>
      <c r="M31" s="33" t="s">
        <v>576</v>
      </c>
      <c r="N31" s="33"/>
      <c r="O31" s="33"/>
      <c r="P31" s="233"/>
      <c r="Q31" s="289" t="s">
        <v>811</v>
      </c>
      <c r="R31" s="162">
        <v>16</v>
      </c>
      <c r="S31" s="144" t="s">
        <v>665</v>
      </c>
      <c r="T31" s="25"/>
      <c r="U31" s="7"/>
      <c r="V31" s="300"/>
      <c r="Y31" t="str">
        <f t="shared" si="8"/>
        <v>wing_thickness_ratio_p0_1</v>
      </c>
      <c r="Z31" t="str">
        <f t="shared" si="9"/>
        <v>double</v>
      </c>
      <c r="AA31" t="str">
        <f t="shared" si="10"/>
        <v>scalaire</v>
      </c>
      <c r="AB31" t="str">
        <f t="shared" si="11"/>
        <v>Epaisseur relative du profil aérodynamique dans le plan 0.1</v>
      </c>
      <c r="AC31" t="str">
        <f t="shared" si="0"/>
        <v>(-)</v>
      </c>
      <c r="AD31" s="279" t="str">
        <f t="shared" si="1"/>
        <v>variable: wing_thickness_ratio_p0_1 double input description= "Epaisseur relative du profil aérodynamique dans le plan 0.1" units= "(-)"</v>
      </c>
      <c r="AE31" s="7" t="str">
        <f t="shared" si="2"/>
        <v>X0.Geometry.wingbody</v>
      </c>
      <c r="AF31" s="7" t="str">
        <f t="shared" si="3"/>
        <v>Y02.Geometry.wingbody</v>
      </c>
      <c r="AG31" s="7" t="str">
        <f t="shared" si="4"/>
        <v>Y03.Geometry.wingbody</v>
      </c>
      <c r="AH31" s="7" t="str">
        <f t="shared" si="5"/>
        <v/>
      </c>
      <c r="AI31" s="7" t="str">
        <f t="shared" si="6"/>
        <v/>
      </c>
      <c r="AJ31" s="7" t="str">
        <f t="shared" si="7"/>
        <v/>
      </c>
    </row>
    <row r="32" spans="2:40">
      <c r="B32" s="329"/>
      <c r="C32" s="323"/>
      <c r="D32" s="22" t="s">
        <v>145</v>
      </c>
      <c r="E32" s="23" t="s">
        <v>79</v>
      </c>
      <c r="F32" t="s">
        <v>1052</v>
      </c>
      <c r="G32" t="s">
        <v>1029</v>
      </c>
      <c r="H32" s="249" t="s">
        <v>354</v>
      </c>
      <c r="I32" s="24" t="s">
        <v>13</v>
      </c>
      <c r="J32" s="185" t="s">
        <v>51</v>
      </c>
      <c r="K32" s="230" t="s">
        <v>133</v>
      </c>
      <c r="L32" s="32" t="s">
        <v>575</v>
      </c>
      <c r="M32" s="32" t="s">
        <v>576</v>
      </c>
      <c r="N32" s="32"/>
      <c r="O32" s="32"/>
      <c r="P32" s="231"/>
      <c r="Q32" s="289" t="s">
        <v>812</v>
      </c>
      <c r="R32" s="162">
        <v>17</v>
      </c>
      <c r="S32" s="144" t="s">
        <v>665</v>
      </c>
      <c r="T32" s="25"/>
      <c r="U32" s="7"/>
      <c r="V32" s="300"/>
      <c r="Y32" t="str">
        <f t="shared" si="8"/>
        <v>wing_thickness_ratio_p1</v>
      </c>
      <c r="Z32" t="str">
        <f t="shared" si="9"/>
        <v>double</v>
      </c>
      <c r="AA32" t="str">
        <f t="shared" si="10"/>
        <v>scalaire</v>
      </c>
      <c r="AB32" t="str">
        <f t="shared" si="11"/>
        <v>Epaisseur relative du profil aérodynamique dans le plan 1</v>
      </c>
      <c r="AC32" t="str">
        <f t="shared" si="0"/>
        <v>(-)</v>
      </c>
      <c r="AD32" s="279" t="str">
        <f t="shared" si="1"/>
        <v>variable: wing_thickness_ratio_p1 double input description= "Epaisseur relative du profil aérodynamique dans le plan 1" units= "(-)"</v>
      </c>
      <c r="AE32" s="7" t="str">
        <f t="shared" si="2"/>
        <v>X0.Geometry.wingbody</v>
      </c>
      <c r="AF32" s="7" t="str">
        <f t="shared" si="3"/>
        <v>Y02.Geometry.wingbody</v>
      </c>
      <c r="AG32" s="7" t="str">
        <f t="shared" si="4"/>
        <v>Y03.Geometry.wingbody</v>
      </c>
      <c r="AH32" s="7" t="str">
        <f t="shared" si="5"/>
        <v/>
      </c>
      <c r="AI32" s="7" t="str">
        <f t="shared" si="6"/>
        <v/>
      </c>
      <c r="AJ32" s="7" t="str">
        <f t="shared" si="7"/>
        <v/>
      </c>
    </row>
    <row r="33" spans="2:36">
      <c r="B33" s="329"/>
      <c r="C33" s="323"/>
      <c r="D33" s="22" t="s">
        <v>146</v>
      </c>
      <c r="E33" s="23" t="s">
        <v>148</v>
      </c>
      <c r="F33" t="s">
        <v>1052</v>
      </c>
      <c r="G33" t="s">
        <v>1029</v>
      </c>
      <c r="H33" s="249" t="s">
        <v>354</v>
      </c>
      <c r="I33" s="24" t="s">
        <v>13</v>
      </c>
      <c r="J33" s="185" t="s">
        <v>51</v>
      </c>
      <c r="K33" s="184" t="s">
        <v>133</v>
      </c>
      <c r="L33" s="24" t="s">
        <v>575</v>
      </c>
      <c r="M33" s="24"/>
      <c r="N33" s="24"/>
      <c r="O33" s="24"/>
      <c r="P33" s="185"/>
      <c r="Q33" s="289" t="s">
        <v>813</v>
      </c>
      <c r="R33" s="162">
        <v>18</v>
      </c>
      <c r="S33" s="144" t="s">
        <v>665</v>
      </c>
      <c r="T33" s="25"/>
      <c r="U33" s="7"/>
      <c r="V33" s="239"/>
      <c r="Y33" t="str">
        <f t="shared" si="8"/>
        <v>wing_thickness_ratio_p2</v>
      </c>
      <c r="Z33" t="str">
        <f t="shared" si="9"/>
        <v>double</v>
      </c>
      <c r="AA33" t="str">
        <f t="shared" si="10"/>
        <v>scalaire</v>
      </c>
      <c r="AB33" t="str">
        <f t="shared" si="11"/>
        <v>Epaisseur relative du profil aérodynamique dans le plan 2</v>
      </c>
      <c r="AC33" t="str">
        <f t="shared" si="0"/>
        <v>(-)</v>
      </c>
      <c r="AD33" s="279" t="str">
        <f t="shared" si="1"/>
        <v>variable: wing_thickness_ratio_p2 double input description= "Epaisseur relative du profil aérodynamique dans le plan 2" units= "(-)"</v>
      </c>
      <c r="AE33" s="7" t="str">
        <f t="shared" si="2"/>
        <v>X0.Geometry.wingbody</v>
      </c>
      <c r="AF33" s="7" t="str">
        <f t="shared" si="3"/>
        <v>Y02.Geometry.wingbody</v>
      </c>
      <c r="AG33" s="7" t="str">
        <f t="shared" si="4"/>
        <v/>
      </c>
      <c r="AH33" s="7" t="str">
        <f t="shared" si="5"/>
        <v/>
      </c>
      <c r="AI33" s="7" t="str">
        <f t="shared" si="6"/>
        <v/>
      </c>
      <c r="AJ33" s="7" t="str">
        <f t="shared" si="7"/>
        <v/>
      </c>
    </row>
    <row r="34" spans="2:36">
      <c r="B34" s="329"/>
      <c r="C34" s="323"/>
      <c r="D34" s="29" t="s">
        <v>481</v>
      </c>
      <c r="E34" s="30" t="s">
        <v>559</v>
      </c>
      <c r="F34" t="s">
        <v>1052</v>
      </c>
      <c r="G34" t="s">
        <v>1029</v>
      </c>
      <c r="H34" s="251" t="s">
        <v>354</v>
      </c>
      <c r="I34" s="31" t="s">
        <v>13</v>
      </c>
      <c r="J34" s="189" t="s">
        <v>51</v>
      </c>
      <c r="K34" s="188" t="s">
        <v>133</v>
      </c>
      <c r="L34" s="31" t="s">
        <v>575</v>
      </c>
      <c r="M34" s="31"/>
      <c r="N34" s="31"/>
      <c r="O34" s="31"/>
      <c r="P34" s="189"/>
      <c r="Q34" s="289" t="s">
        <v>814</v>
      </c>
      <c r="R34" s="162">
        <v>19</v>
      </c>
      <c r="S34" s="144" t="s">
        <v>665</v>
      </c>
      <c r="T34" s="25"/>
      <c r="U34" s="7"/>
      <c r="V34" s="239"/>
      <c r="Y34" t="str">
        <f t="shared" si="8"/>
        <v>wing_thickness_ratio_p2_1</v>
      </c>
      <c r="Z34" t="str">
        <f t="shared" si="9"/>
        <v>double</v>
      </c>
      <c r="AA34" t="str">
        <f t="shared" si="10"/>
        <v>scalaire</v>
      </c>
      <c r="AB34" t="str">
        <f t="shared" si="11"/>
        <v>Epaisseur relative du profil aérodynamique dans le plan 2.1</v>
      </c>
      <c r="AC34" t="str">
        <f t="shared" si="0"/>
        <v>(-)</v>
      </c>
      <c r="AD34" s="279" t="str">
        <f t="shared" si="1"/>
        <v>variable: wing_thickness_ratio_p2_1 double input description= "Epaisseur relative du profil aérodynamique dans le plan 2.1" units= "(-)"</v>
      </c>
      <c r="AE34" s="7" t="str">
        <f t="shared" si="2"/>
        <v>X0.Geometry.wingbody</v>
      </c>
      <c r="AF34" s="7" t="str">
        <f t="shared" si="3"/>
        <v>Y02.Geometry.wingbody</v>
      </c>
      <c r="AG34" s="7" t="str">
        <f t="shared" si="4"/>
        <v/>
      </c>
      <c r="AH34" s="7" t="str">
        <f t="shared" si="5"/>
        <v/>
      </c>
      <c r="AI34" s="7" t="str">
        <f t="shared" si="6"/>
        <v/>
      </c>
      <c r="AJ34" s="7" t="str">
        <f t="shared" si="7"/>
        <v/>
      </c>
    </row>
    <row r="35" spans="2:36">
      <c r="B35" s="329"/>
      <c r="C35" s="323"/>
      <c r="D35" s="22" t="s">
        <v>147</v>
      </c>
      <c r="E35" s="23" t="s">
        <v>149</v>
      </c>
      <c r="F35" t="s">
        <v>1052</v>
      </c>
      <c r="G35" t="s">
        <v>1029</v>
      </c>
      <c r="H35" s="249" t="s">
        <v>354</v>
      </c>
      <c r="I35" s="24" t="s">
        <v>13</v>
      </c>
      <c r="J35" s="185" t="s">
        <v>51</v>
      </c>
      <c r="K35" s="184" t="s">
        <v>133</v>
      </c>
      <c r="L35" s="24" t="s">
        <v>575</v>
      </c>
      <c r="M35" s="24"/>
      <c r="N35" s="24"/>
      <c r="O35" s="24"/>
      <c r="P35" s="185"/>
      <c r="Q35" s="289" t="s">
        <v>815</v>
      </c>
      <c r="R35" s="162">
        <v>20</v>
      </c>
      <c r="S35" s="144" t="s">
        <v>665</v>
      </c>
      <c r="T35" s="25"/>
      <c r="U35" s="7"/>
      <c r="V35" s="239"/>
      <c r="Y35" t="str">
        <f t="shared" si="8"/>
        <v>wing_thickness_ratio_p3</v>
      </c>
      <c r="Z35" t="str">
        <f t="shared" si="9"/>
        <v>double</v>
      </c>
      <c r="AA35" t="str">
        <f t="shared" si="10"/>
        <v>scalaire</v>
      </c>
      <c r="AB35" t="str">
        <f t="shared" si="11"/>
        <v>Epaisseur relative du profil aérodynamique dans le plan 3</v>
      </c>
      <c r="AC35" t="str">
        <f t="shared" si="0"/>
        <v>(-)</v>
      </c>
      <c r="AD35" s="279" t="str">
        <f t="shared" si="1"/>
        <v>variable: wing_thickness_ratio_p3 double input description= "Epaisseur relative du profil aérodynamique dans le plan 3" units= "(-)"</v>
      </c>
      <c r="AE35" s="7" t="str">
        <f t="shared" si="2"/>
        <v>X0.Geometry.wingbody</v>
      </c>
      <c r="AF35" s="7" t="str">
        <f t="shared" si="3"/>
        <v>Y02.Geometry.wingbody</v>
      </c>
      <c r="AG35" s="7" t="str">
        <f t="shared" si="4"/>
        <v/>
      </c>
      <c r="AH35" s="7" t="str">
        <f t="shared" si="5"/>
        <v/>
      </c>
      <c r="AI35" s="7" t="str">
        <f t="shared" si="6"/>
        <v/>
      </c>
      <c r="AJ35" s="7" t="str">
        <f t="shared" si="7"/>
        <v/>
      </c>
    </row>
    <row r="36" spans="2:36">
      <c r="B36" s="329"/>
      <c r="C36" s="323"/>
      <c r="D36" s="22" t="s">
        <v>362</v>
      </c>
      <c r="E36" s="23" t="s">
        <v>363</v>
      </c>
      <c r="F36" t="s">
        <v>1052</v>
      </c>
      <c r="G36" t="s">
        <v>1029</v>
      </c>
      <c r="H36" s="249" t="s">
        <v>354</v>
      </c>
      <c r="I36" s="24" t="s">
        <v>13</v>
      </c>
      <c r="J36" s="185" t="s">
        <v>51</v>
      </c>
      <c r="K36" s="184" t="s">
        <v>133</v>
      </c>
      <c r="L36" s="24" t="s">
        <v>575</v>
      </c>
      <c r="M36" s="24" t="s">
        <v>576</v>
      </c>
      <c r="N36" s="24"/>
      <c r="O36" s="24"/>
      <c r="P36" s="185"/>
      <c r="Q36" s="289" t="s">
        <v>843</v>
      </c>
      <c r="R36" s="162">
        <v>21</v>
      </c>
      <c r="S36" s="144" t="s">
        <v>665</v>
      </c>
      <c r="T36" s="25"/>
      <c r="U36" s="7"/>
      <c r="V36" s="239"/>
      <c r="Y36" t="str">
        <f t="shared" si="8"/>
        <v>spar_leading_edge_pos_ratio</v>
      </c>
      <c r="Z36" t="str">
        <f t="shared" si="9"/>
        <v>double</v>
      </c>
      <c r="AA36" t="str">
        <f t="shared" si="10"/>
        <v>scalaire</v>
      </c>
      <c r="AB36" t="str">
        <f t="shared" si="11"/>
        <v>Position du longeron de bord d'attaque dans la voilure externe, en % de la corde</v>
      </c>
      <c r="AC36" t="str">
        <f t="shared" si="0"/>
        <v>(-)</v>
      </c>
      <c r="AD36" s="279" t="str">
        <f t="shared" si="1"/>
        <v>variable: spar_leading_edge_pos_ratio double input description= "Position du longeron de bord d'attaque dans la voilure externe, en % de la corde" units= "(-)"</v>
      </c>
      <c r="AE36" s="7" t="str">
        <f t="shared" si="2"/>
        <v>X0.Geometry.wingbody</v>
      </c>
      <c r="AF36" s="7" t="str">
        <f t="shared" si="3"/>
        <v>Y02.Geometry.wingbody</v>
      </c>
      <c r="AG36" s="7" t="str">
        <f t="shared" si="4"/>
        <v>Y03.Geometry.wingbody</v>
      </c>
      <c r="AH36" s="7" t="str">
        <f t="shared" si="5"/>
        <v/>
      </c>
      <c r="AI36" s="7" t="str">
        <f t="shared" si="6"/>
        <v/>
      </c>
      <c r="AJ36" s="7" t="str">
        <f t="shared" si="7"/>
        <v/>
      </c>
    </row>
    <row r="37" spans="2:36">
      <c r="B37" s="329"/>
      <c r="C37" s="323"/>
      <c r="D37" s="22" t="s">
        <v>364</v>
      </c>
      <c r="E37" s="23" t="s">
        <v>365</v>
      </c>
      <c r="F37" t="s">
        <v>1052</v>
      </c>
      <c r="G37" t="s">
        <v>1029</v>
      </c>
      <c r="H37" s="249" t="s">
        <v>354</v>
      </c>
      <c r="I37" s="24" t="s">
        <v>13</v>
      </c>
      <c r="J37" s="185" t="s">
        <v>51</v>
      </c>
      <c r="K37" s="184" t="s">
        <v>133</v>
      </c>
      <c r="L37" s="24" t="s">
        <v>575</v>
      </c>
      <c r="M37" s="24" t="s">
        <v>576</v>
      </c>
      <c r="N37" s="24"/>
      <c r="O37" s="24"/>
      <c r="P37" s="185"/>
      <c r="Q37" s="289" t="s">
        <v>844</v>
      </c>
      <c r="R37" s="162">
        <v>22</v>
      </c>
      <c r="S37" s="144" t="s">
        <v>665</v>
      </c>
      <c r="T37" s="25"/>
      <c r="U37" s="7"/>
      <c r="V37" s="239"/>
      <c r="Y37" t="str">
        <f t="shared" si="8"/>
        <v>spar_trailing_edge_pos_ratio</v>
      </c>
      <c r="Z37" t="str">
        <f t="shared" si="9"/>
        <v>double</v>
      </c>
      <c r="AA37" t="str">
        <f t="shared" si="10"/>
        <v>scalaire</v>
      </c>
      <c r="AB37" t="str">
        <f t="shared" si="11"/>
        <v>Position du longeron de bord de fuite dans la voilure externe, en % de la corde</v>
      </c>
      <c r="AC37" t="str">
        <f t="shared" si="0"/>
        <v>(-)</v>
      </c>
      <c r="AD37" s="279" t="str">
        <f t="shared" si="1"/>
        <v>variable: spar_trailing_edge_pos_ratio double input description= "Position du longeron de bord de fuite dans la voilure externe, en % de la corde" units= "(-)"</v>
      </c>
      <c r="AE37" s="7" t="str">
        <f t="shared" si="2"/>
        <v>X0.Geometry.wingbody</v>
      </c>
      <c r="AF37" s="7" t="str">
        <f t="shared" si="3"/>
        <v>Y02.Geometry.wingbody</v>
      </c>
      <c r="AG37" s="7" t="str">
        <f t="shared" si="4"/>
        <v>Y03.Geometry.wingbody</v>
      </c>
      <c r="AH37" s="7" t="str">
        <f t="shared" si="5"/>
        <v/>
      </c>
      <c r="AI37" s="7" t="str">
        <f t="shared" si="6"/>
        <v/>
      </c>
      <c r="AJ37" s="7" t="str">
        <f t="shared" si="7"/>
        <v/>
      </c>
    </row>
    <row r="38" spans="2:36">
      <c r="B38" s="329"/>
      <c r="C38" s="323"/>
      <c r="D38" s="22" t="s">
        <v>366</v>
      </c>
      <c r="E38" s="23" t="s">
        <v>367</v>
      </c>
      <c r="F38" t="s">
        <v>1052</v>
      </c>
      <c r="G38" t="s">
        <v>1029</v>
      </c>
      <c r="H38" s="249" t="s">
        <v>354</v>
      </c>
      <c r="I38" s="24" t="s">
        <v>13</v>
      </c>
      <c r="J38" s="185" t="s">
        <v>12</v>
      </c>
      <c r="K38" s="184" t="s">
        <v>83</v>
      </c>
      <c r="L38" s="24"/>
      <c r="M38" s="24"/>
      <c r="N38" s="24"/>
      <c r="O38" s="24"/>
      <c r="P38" s="185"/>
      <c r="Q38" s="289" t="s">
        <v>834</v>
      </c>
      <c r="R38" s="162">
        <v>23</v>
      </c>
      <c r="S38" s="144" t="s">
        <v>665</v>
      </c>
      <c r="T38" s="25"/>
      <c r="U38" s="7"/>
      <c r="V38" s="239"/>
      <c r="Y38" t="str">
        <f t="shared" si="8"/>
        <v>spar_leading_edge_thickness_p2</v>
      </c>
      <c r="Z38" t="str">
        <f t="shared" si="9"/>
        <v>double</v>
      </c>
      <c r="AA38" t="str">
        <f t="shared" si="10"/>
        <v>scalaire</v>
      </c>
      <c r="AB38" t="str">
        <f t="shared" si="11"/>
        <v>Epaisseur du longeron de bord d'attaque au plan 2</v>
      </c>
      <c r="AC38" t="str">
        <f t="shared" si="0"/>
        <v>m</v>
      </c>
      <c r="AD38" s="279" t="str">
        <f t="shared" si="1"/>
        <v>variable: spar_leading_edge_thickness_p2 double input description= "Epaisseur du longeron de bord d'attaque au plan 2" units= "m"</v>
      </c>
      <c r="AE38" s="7" t="str">
        <f t="shared" si="2"/>
        <v>Y30.Geometry.wingbody</v>
      </c>
      <c r="AF38" s="7" t="str">
        <f t="shared" si="3"/>
        <v/>
      </c>
      <c r="AG38" s="7" t="str">
        <f t="shared" si="4"/>
        <v/>
      </c>
      <c r="AH38" s="7" t="str">
        <f t="shared" si="5"/>
        <v/>
      </c>
      <c r="AI38" s="7" t="str">
        <f t="shared" si="6"/>
        <v/>
      </c>
      <c r="AJ38" s="7" t="str">
        <f t="shared" si="7"/>
        <v/>
      </c>
    </row>
    <row r="39" spans="2:36">
      <c r="B39" s="329"/>
      <c r="C39" s="323"/>
      <c r="D39" s="22" t="s">
        <v>368</v>
      </c>
      <c r="E39" s="23" t="s">
        <v>369</v>
      </c>
      <c r="F39" t="s">
        <v>1052</v>
      </c>
      <c r="G39" t="s">
        <v>1029</v>
      </c>
      <c r="H39" s="249" t="s">
        <v>354</v>
      </c>
      <c r="I39" s="24" t="s">
        <v>13</v>
      </c>
      <c r="J39" s="185" t="s">
        <v>12</v>
      </c>
      <c r="K39" s="184" t="s">
        <v>83</v>
      </c>
      <c r="L39" s="24"/>
      <c r="M39" s="24"/>
      <c r="N39" s="24"/>
      <c r="O39" s="24"/>
      <c r="P39" s="185"/>
      <c r="Q39" s="289" t="s">
        <v>836</v>
      </c>
      <c r="R39" s="162">
        <v>24</v>
      </c>
      <c r="S39" s="144" t="s">
        <v>665</v>
      </c>
      <c r="T39" s="25"/>
      <c r="U39" s="7"/>
      <c r="V39" s="239"/>
      <c r="Y39" t="str">
        <f t="shared" si="8"/>
        <v>spar_trailing_edge_thickness_p2</v>
      </c>
      <c r="Z39" t="str">
        <f t="shared" si="9"/>
        <v>double</v>
      </c>
      <c r="AA39" t="str">
        <f t="shared" si="10"/>
        <v>scalaire</v>
      </c>
      <c r="AB39" t="str">
        <f t="shared" si="11"/>
        <v>Epaisseur du longeron de bord de fuite au plan 2</v>
      </c>
      <c r="AC39" t="str">
        <f t="shared" si="0"/>
        <v>m</v>
      </c>
      <c r="AD39" s="279" t="str">
        <f t="shared" si="1"/>
        <v>variable: spar_trailing_edge_thickness_p2 double input description= "Epaisseur du longeron de bord de fuite au plan 2" units= "m"</v>
      </c>
      <c r="AE39" s="7" t="str">
        <f t="shared" si="2"/>
        <v>Y30.Geometry.wingbody</v>
      </c>
      <c r="AF39" s="7" t="str">
        <f t="shared" si="3"/>
        <v/>
      </c>
      <c r="AG39" s="7" t="str">
        <f t="shared" si="4"/>
        <v/>
      </c>
      <c r="AH39" s="7" t="str">
        <f t="shared" si="5"/>
        <v/>
      </c>
      <c r="AI39" s="7" t="str">
        <f t="shared" si="6"/>
        <v/>
      </c>
      <c r="AJ39" s="7" t="str">
        <f t="shared" si="7"/>
        <v/>
      </c>
    </row>
    <row r="40" spans="2:36">
      <c r="B40" s="329"/>
      <c r="C40" s="323"/>
      <c r="D40" s="29" t="s">
        <v>482</v>
      </c>
      <c r="E40" s="30" t="s">
        <v>560</v>
      </c>
      <c r="F40" t="s">
        <v>1052</v>
      </c>
      <c r="G40" t="s">
        <v>1029</v>
      </c>
      <c r="H40" s="251" t="s">
        <v>354</v>
      </c>
      <c r="I40" s="31" t="s">
        <v>13</v>
      </c>
      <c r="J40" s="189" t="s">
        <v>12</v>
      </c>
      <c r="K40" s="188" t="s">
        <v>83</v>
      </c>
      <c r="L40" s="31"/>
      <c r="M40" s="31"/>
      <c r="N40" s="31"/>
      <c r="O40" s="31"/>
      <c r="P40" s="189"/>
      <c r="Q40" s="289" t="s">
        <v>837</v>
      </c>
      <c r="R40" s="162">
        <v>25</v>
      </c>
      <c r="S40" s="144" t="s">
        <v>665</v>
      </c>
      <c r="T40" s="25"/>
      <c r="U40" s="7"/>
      <c r="V40" s="239"/>
      <c r="Y40" t="str">
        <f t="shared" si="8"/>
        <v>spar_leading_edge_thickness_p2_1</v>
      </c>
      <c r="Z40" t="str">
        <f t="shared" si="9"/>
        <v>double</v>
      </c>
      <c r="AA40" t="str">
        <f t="shared" si="10"/>
        <v>scalaire</v>
      </c>
      <c r="AB40" t="str">
        <f t="shared" si="11"/>
        <v>Epaisseur du longeron de bord d'attaque au plan 2.1</v>
      </c>
      <c r="AC40" t="str">
        <f t="shared" si="0"/>
        <v>m</v>
      </c>
      <c r="AD40" s="279" t="str">
        <f t="shared" si="1"/>
        <v>variable: spar_leading_edge_thickness_p2_1 double input description= "Epaisseur du longeron de bord d'attaque au plan 2.1" units= "m"</v>
      </c>
      <c r="AE40" s="7" t="str">
        <f t="shared" si="2"/>
        <v>Y30.Geometry.wingbody</v>
      </c>
      <c r="AF40" s="7" t="str">
        <f t="shared" si="3"/>
        <v/>
      </c>
      <c r="AG40" s="7" t="str">
        <f t="shared" si="4"/>
        <v/>
      </c>
      <c r="AH40" s="7" t="str">
        <f t="shared" si="5"/>
        <v/>
      </c>
      <c r="AI40" s="7" t="str">
        <f t="shared" si="6"/>
        <v/>
      </c>
      <c r="AJ40" s="7" t="str">
        <f t="shared" si="7"/>
        <v/>
      </c>
    </row>
    <row r="41" spans="2:36">
      <c r="B41" s="329"/>
      <c r="C41" s="323"/>
      <c r="D41" s="29" t="s">
        <v>483</v>
      </c>
      <c r="E41" s="30" t="s">
        <v>561</v>
      </c>
      <c r="F41" t="s">
        <v>1052</v>
      </c>
      <c r="G41" t="s">
        <v>1029</v>
      </c>
      <c r="H41" s="251" t="s">
        <v>354</v>
      </c>
      <c r="I41" s="31" t="s">
        <v>13</v>
      </c>
      <c r="J41" s="189" t="s">
        <v>12</v>
      </c>
      <c r="K41" s="188" t="s">
        <v>83</v>
      </c>
      <c r="L41" s="31"/>
      <c r="M41" s="31"/>
      <c r="N41" s="31"/>
      <c r="O41" s="31"/>
      <c r="P41" s="189"/>
      <c r="Q41" s="289" t="s">
        <v>838</v>
      </c>
      <c r="R41" s="162">
        <v>26</v>
      </c>
      <c r="S41" s="144" t="s">
        <v>665</v>
      </c>
      <c r="T41" s="25"/>
      <c r="U41" s="7"/>
      <c r="V41" s="239"/>
      <c r="Y41" t="str">
        <f t="shared" si="8"/>
        <v>spar_trailing_edge_thickness_p2_1</v>
      </c>
      <c r="Z41" t="str">
        <f t="shared" si="9"/>
        <v>double</v>
      </c>
      <c r="AA41" t="str">
        <f t="shared" si="10"/>
        <v>scalaire</v>
      </c>
      <c r="AB41" t="str">
        <f t="shared" si="11"/>
        <v>Epaisseur du longeron de bord de fuite au plan 2.1</v>
      </c>
      <c r="AC41" t="str">
        <f t="shared" si="0"/>
        <v>m</v>
      </c>
      <c r="AD41" s="279" t="str">
        <f t="shared" si="1"/>
        <v>variable: spar_trailing_edge_thickness_p2_1 double input description= "Epaisseur du longeron de bord de fuite au plan 2.1" units= "m"</v>
      </c>
      <c r="AE41" s="7" t="str">
        <f t="shared" si="2"/>
        <v>Y30.Geometry.wingbody</v>
      </c>
      <c r="AF41" s="7" t="str">
        <f t="shared" si="3"/>
        <v/>
      </c>
      <c r="AG41" s="7" t="str">
        <f t="shared" si="4"/>
        <v/>
      </c>
      <c r="AH41" s="7" t="str">
        <f t="shared" si="5"/>
        <v/>
      </c>
      <c r="AI41" s="7" t="str">
        <f t="shared" si="6"/>
        <v/>
      </c>
      <c r="AJ41" s="7" t="str">
        <f t="shared" si="7"/>
        <v/>
      </c>
    </row>
    <row r="42" spans="2:36">
      <c r="B42" s="329"/>
      <c r="C42" s="323"/>
      <c r="D42" s="22" t="s">
        <v>370</v>
      </c>
      <c r="E42" s="23" t="s">
        <v>371</v>
      </c>
      <c r="F42" t="s">
        <v>1052</v>
      </c>
      <c r="G42" t="s">
        <v>1029</v>
      </c>
      <c r="H42" s="249" t="s">
        <v>354</v>
      </c>
      <c r="I42" s="24" t="s">
        <v>13</v>
      </c>
      <c r="J42" s="185" t="s">
        <v>12</v>
      </c>
      <c r="K42" s="184" t="s">
        <v>83</v>
      </c>
      <c r="L42" s="24"/>
      <c r="M42" s="24"/>
      <c r="N42" s="24"/>
      <c r="O42" s="24"/>
      <c r="P42" s="185"/>
      <c r="Q42" s="289" t="s">
        <v>835</v>
      </c>
      <c r="R42" s="162">
        <v>27</v>
      </c>
      <c r="S42" s="144" t="s">
        <v>665</v>
      </c>
      <c r="T42" s="25"/>
      <c r="U42" s="7"/>
      <c r="V42" s="239"/>
      <c r="Y42" t="str">
        <f t="shared" si="8"/>
        <v>spar_leading_edge_thickness_p3</v>
      </c>
      <c r="Z42" t="str">
        <f t="shared" si="9"/>
        <v>double</v>
      </c>
      <c r="AA42" t="str">
        <f t="shared" si="10"/>
        <v>scalaire</v>
      </c>
      <c r="AB42" t="str">
        <f t="shared" si="11"/>
        <v>Epaisseur du longeron de bord d'attaque au plan 3</v>
      </c>
      <c r="AC42" t="str">
        <f t="shared" si="0"/>
        <v>m</v>
      </c>
      <c r="AD42" s="279" t="str">
        <f t="shared" si="1"/>
        <v>variable: spar_leading_edge_thickness_p3 double input description= "Epaisseur du longeron de bord d'attaque au plan 3" units= "m"</v>
      </c>
      <c r="AE42" s="7" t="str">
        <f t="shared" si="2"/>
        <v>Y30.Geometry.wingbody</v>
      </c>
      <c r="AF42" s="7" t="str">
        <f t="shared" si="3"/>
        <v/>
      </c>
      <c r="AG42" s="7" t="str">
        <f t="shared" si="4"/>
        <v/>
      </c>
      <c r="AH42" s="7" t="str">
        <f t="shared" si="5"/>
        <v/>
      </c>
      <c r="AI42" s="7" t="str">
        <f t="shared" si="6"/>
        <v/>
      </c>
      <c r="AJ42" s="7" t="str">
        <f t="shared" si="7"/>
        <v/>
      </c>
    </row>
    <row r="43" spans="2:36">
      <c r="B43" s="329"/>
      <c r="C43" s="323"/>
      <c r="D43" s="22" t="s">
        <v>372</v>
      </c>
      <c r="E43" s="23" t="s">
        <v>373</v>
      </c>
      <c r="F43" t="s">
        <v>1052</v>
      </c>
      <c r="G43" t="s">
        <v>1029</v>
      </c>
      <c r="H43" s="249" t="s">
        <v>354</v>
      </c>
      <c r="I43" s="24" t="s">
        <v>13</v>
      </c>
      <c r="J43" s="185" t="s">
        <v>12</v>
      </c>
      <c r="K43" s="184" t="s">
        <v>83</v>
      </c>
      <c r="L43" s="24"/>
      <c r="M43" s="24"/>
      <c r="N43" s="24"/>
      <c r="O43" s="24"/>
      <c r="P43" s="185"/>
      <c r="Q43" s="289" t="s">
        <v>839</v>
      </c>
      <c r="R43" s="162">
        <v>28</v>
      </c>
      <c r="S43" s="144" t="s">
        <v>665</v>
      </c>
      <c r="T43" s="25"/>
      <c r="U43" s="7"/>
      <c r="V43" s="239"/>
      <c r="Y43" t="str">
        <f t="shared" si="8"/>
        <v>spar_trailing_edge_thickness_p3</v>
      </c>
      <c r="Z43" t="str">
        <f t="shared" si="9"/>
        <v>double</v>
      </c>
      <c r="AA43" t="str">
        <f t="shared" si="10"/>
        <v>scalaire</v>
      </c>
      <c r="AB43" t="str">
        <f t="shared" si="11"/>
        <v>Epaisseur du longeron de bord de fuite au plan 3</v>
      </c>
      <c r="AC43" t="str">
        <f t="shared" si="0"/>
        <v>m</v>
      </c>
      <c r="AD43" s="279" t="str">
        <f t="shared" si="1"/>
        <v>variable: spar_trailing_edge_thickness_p3 double input description= "Epaisseur du longeron de bord de fuite au plan 3" units= "m"</v>
      </c>
      <c r="AE43" s="7" t="str">
        <f t="shared" si="2"/>
        <v>Y30.Geometry.wingbody</v>
      </c>
      <c r="AF43" s="7" t="str">
        <f t="shared" si="3"/>
        <v/>
      </c>
      <c r="AG43" s="7" t="str">
        <f t="shared" si="4"/>
        <v/>
      </c>
      <c r="AH43" s="7" t="str">
        <f t="shared" si="5"/>
        <v/>
      </c>
      <c r="AI43" s="7" t="str">
        <f t="shared" si="6"/>
        <v/>
      </c>
      <c r="AJ43" s="7" t="str">
        <f t="shared" si="7"/>
        <v/>
      </c>
    </row>
    <row r="44" spans="2:36">
      <c r="B44" s="329"/>
      <c r="C44" s="323"/>
      <c r="D44" s="22" t="s">
        <v>15</v>
      </c>
      <c r="E44" s="23" t="s">
        <v>374</v>
      </c>
      <c r="F44" t="s">
        <v>1052</v>
      </c>
      <c r="G44" t="s">
        <v>1029</v>
      </c>
      <c r="H44" s="249" t="s">
        <v>354</v>
      </c>
      <c r="I44" s="24" t="s">
        <v>13</v>
      </c>
      <c r="J44" s="185" t="s">
        <v>12</v>
      </c>
      <c r="K44" s="184" t="s">
        <v>83</v>
      </c>
      <c r="L44" s="24" t="s">
        <v>577</v>
      </c>
      <c r="M44" s="24"/>
      <c r="N44" s="24"/>
      <c r="O44" s="24"/>
      <c r="P44" s="185"/>
      <c r="Q44" s="289" t="s">
        <v>804</v>
      </c>
      <c r="R44" s="162">
        <v>29</v>
      </c>
      <c r="S44" s="144" t="s">
        <v>665</v>
      </c>
      <c r="T44" s="25"/>
      <c r="U44" s="7"/>
      <c r="V44" s="239"/>
      <c r="Y44" t="str">
        <f t="shared" si="8"/>
        <v>wing_chord_p0</v>
      </c>
      <c r="Z44" t="str">
        <f t="shared" si="9"/>
        <v>double</v>
      </c>
      <c r="AA44" t="str">
        <f t="shared" si="10"/>
        <v>scalaire</v>
      </c>
      <c r="AB44" t="str">
        <f t="shared" si="11"/>
        <v>Corde au plan 0</v>
      </c>
      <c r="AC44" t="str">
        <f t="shared" si="0"/>
        <v>m</v>
      </c>
      <c r="AD44" s="279" t="str">
        <f t="shared" si="1"/>
        <v>variable: wing_chord_p0 double input description= "Corde au plan 0" units= "m"</v>
      </c>
      <c r="AE44" s="7" t="str">
        <f t="shared" si="2"/>
        <v>Y30.Geometry.wingbody</v>
      </c>
      <c r="AF44" s="7" t="str">
        <f t="shared" si="3"/>
        <v>Y32.Geometry.wingbody</v>
      </c>
      <c r="AG44" s="7" t="str">
        <f t="shared" si="4"/>
        <v/>
      </c>
      <c r="AH44" s="7" t="str">
        <f t="shared" si="5"/>
        <v/>
      </c>
      <c r="AI44" s="7" t="str">
        <f t="shared" si="6"/>
        <v/>
      </c>
      <c r="AJ44" s="7" t="str">
        <f t="shared" si="7"/>
        <v/>
      </c>
    </row>
    <row r="45" spans="2:36">
      <c r="B45" s="329"/>
      <c r="C45" s="323"/>
      <c r="D45" s="29" t="s">
        <v>484</v>
      </c>
      <c r="E45" s="30" t="s">
        <v>562</v>
      </c>
      <c r="F45" t="s">
        <v>1052</v>
      </c>
      <c r="G45" t="s">
        <v>1029</v>
      </c>
      <c r="H45" s="251" t="s">
        <v>354</v>
      </c>
      <c r="I45" s="31" t="s">
        <v>13</v>
      </c>
      <c r="J45" s="189" t="s">
        <v>12</v>
      </c>
      <c r="K45" s="188" t="s">
        <v>83</v>
      </c>
      <c r="L45" s="31" t="s">
        <v>577</v>
      </c>
      <c r="M45" s="31"/>
      <c r="N45" s="31"/>
      <c r="O45" s="31"/>
      <c r="P45" s="189"/>
      <c r="Q45" s="289" t="s">
        <v>808</v>
      </c>
      <c r="R45" s="162">
        <v>30</v>
      </c>
      <c r="S45" s="144" t="s">
        <v>665</v>
      </c>
      <c r="T45" s="25" t="s">
        <v>547</v>
      </c>
      <c r="U45" s="7"/>
      <c r="V45" s="239"/>
      <c r="Y45" t="str">
        <f t="shared" si="8"/>
        <v>wing_chord_p0_1</v>
      </c>
      <c r="Z45" t="str">
        <f t="shared" si="9"/>
        <v>double</v>
      </c>
      <c r="AA45" t="str">
        <f t="shared" si="10"/>
        <v>scalaire</v>
      </c>
      <c r="AB45" t="str">
        <f t="shared" si="11"/>
        <v>Corde au plan 0.1</v>
      </c>
      <c r="AC45" t="str">
        <f t="shared" si="0"/>
        <v>m</v>
      </c>
      <c r="AD45" s="279" t="str">
        <f t="shared" si="1"/>
        <v>variable: wing_chord_p0_1 double input description= "Corde au plan 0.1" units= "m"</v>
      </c>
      <c r="AE45" s="7" t="str">
        <f t="shared" si="2"/>
        <v>Y30.Geometry.wingbody</v>
      </c>
      <c r="AF45" s="7" t="str">
        <f t="shared" si="3"/>
        <v>Y32.Geometry.wingbody</v>
      </c>
      <c r="AG45" s="7" t="str">
        <f t="shared" si="4"/>
        <v/>
      </c>
      <c r="AH45" s="7" t="str">
        <f t="shared" si="5"/>
        <v/>
      </c>
      <c r="AI45" s="7" t="str">
        <f t="shared" si="6"/>
        <v/>
      </c>
      <c r="AJ45" s="7" t="str">
        <f t="shared" si="7"/>
        <v/>
      </c>
    </row>
    <row r="46" spans="2:36">
      <c r="B46" s="329"/>
      <c r="C46" s="323"/>
      <c r="D46" s="22" t="s">
        <v>16</v>
      </c>
      <c r="E46" s="23" t="s">
        <v>375</v>
      </c>
      <c r="F46" t="s">
        <v>1052</v>
      </c>
      <c r="G46" t="s">
        <v>1029</v>
      </c>
      <c r="H46" s="249" t="s">
        <v>354</v>
      </c>
      <c r="I46" s="24" t="s">
        <v>13</v>
      </c>
      <c r="J46" s="185" t="s">
        <v>12</v>
      </c>
      <c r="K46" s="184" t="s">
        <v>83</v>
      </c>
      <c r="L46" s="24" t="s">
        <v>577</v>
      </c>
      <c r="M46" s="24"/>
      <c r="N46" s="24"/>
      <c r="O46" s="24"/>
      <c r="P46" s="185"/>
      <c r="Q46" s="289" t="s">
        <v>805</v>
      </c>
      <c r="R46" s="162">
        <v>31</v>
      </c>
      <c r="S46" s="144" t="s">
        <v>665</v>
      </c>
      <c r="T46" s="25"/>
      <c r="U46" s="7"/>
      <c r="V46" s="239"/>
      <c r="Y46" t="str">
        <f t="shared" si="8"/>
        <v>wing_chord_p1</v>
      </c>
      <c r="Z46" t="str">
        <f t="shared" si="9"/>
        <v>double</v>
      </c>
      <c r="AA46" t="str">
        <f t="shared" si="10"/>
        <v>scalaire</v>
      </c>
      <c r="AB46" t="str">
        <f t="shared" si="11"/>
        <v>Corde au plan 1</v>
      </c>
      <c r="AC46" t="str">
        <f t="shared" si="0"/>
        <v>m</v>
      </c>
      <c r="AD46" s="279" t="str">
        <f t="shared" si="1"/>
        <v>variable: wing_chord_p1 double input description= "Corde au plan 1" units= "m"</v>
      </c>
      <c r="AE46" s="7" t="str">
        <f t="shared" si="2"/>
        <v>Y30.Geometry.wingbody</v>
      </c>
      <c r="AF46" s="7" t="str">
        <f t="shared" si="3"/>
        <v>Y32.Geometry.wingbody</v>
      </c>
      <c r="AG46" s="7" t="str">
        <f t="shared" si="4"/>
        <v/>
      </c>
      <c r="AH46" s="7" t="str">
        <f t="shared" si="5"/>
        <v/>
      </c>
      <c r="AI46" s="7" t="str">
        <f t="shared" si="6"/>
        <v/>
      </c>
      <c r="AJ46" s="7" t="str">
        <f t="shared" si="7"/>
        <v/>
      </c>
    </row>
    <row r="47" spans="2:36">
      <c r="B47" s="329"/>
      <c r="C47" s="323"/>
      <c r="D47" s="22" t="s">
        <v>10</v>
      </c>
      <c r="E47" s="23" t="s">
        <v>376</v>
      </c>
      <c r="F47" t="s">
        <v>1052</v>
      </c>
      <c r="G47" t="s">
        <v>1029</v>
      </c>
      <c r="H47" s="249" t="s">
        <v>354</v>
      </c>
      <c r="I47" s="24" t="s">
        <v>13</v>
      </c>
      <c r="J47" s="185" t="s">
        <v>12</v>
      </c>
      <c r="K47" s="184" t="s">
        <v>133</v>
      </c>
      <c r="L47" s="24" t="s">
        <v>575</v>
      </c>
      <c r="M47" s="24" t="s">
        <v>576</v>
      </c>
      <c r="N47" s="24"/>
      <c r="O47" s="24"/>
      <c r="P47" s="185"/>
      <c r="Q47" s="289" t="s">
        <v>806</v>
      </c>
      <c r="R47" s="162">
        <v>32</v>
      </c>
      <c r="S47" s="144" t="s">
        <v>665</v>
      </c>
      <c r="T47" s="25"/>
      <c r="U47" s="7"/>
      <c r="V47" s="239"/>
      <c r="Y47" t="str">
        <f t="shared" si="8"/>
        <v>wing_chord_p2</v>
      </c>
      <c r="Z47" t="str">
        <f t="shared" si="9"/>
        <v>double</v>
      </c>
      <c r="AA47" t="str">
        <f t="shared" si="10"/>
        <v>scalaire</v>
      </c>
      <c r="AB47" t="str">
        <f t="shared" si="11"/>
        <v>Corde au plan 2</v>
      </c>
      <c r="AC47" t="str">
        <f t="shared" si="0"/>
        <v>m</v>
      </c>
      <c r="AD47" s="279" t="str">
        <f t="shared" si="1"/>
        <v>variable: wing_chord_p2 double input description= "Corde au plan 2" units= "m"</v>
      </c>
      <c r="AE47" s="7" t="str">
        <f t="shared" si="2"/>
        <v>X0.Geometry.wingbody</v>
      </c>
      <c r="AF47" s="7" t="str">
        <f t="shared" si="3"/>
        <v>Y02.Geometry.wingbody</v>
      </c>
      <c r="AG47" s="7" t="str">
        <f t="shared" si="4"/>
        <v>Y03.Geometry.wingbody</v>
      </c>
      <c r="AH47" s="7" t="str">
        <f t="shared" si="5"/>
        <v/>
      </c>
      <c r="AI47" s="7" t="str">
        <f t="shared" si="6"/>
        <v/>
      </c>
      <c r="AJ47" s="7" t="str">
        <f t="shared" si="7"/>
        <v/>
      </c>
    </row>
    <row r="48" spans="2:36">
      <c r="B48" s="329"/>
      <c r="C48" s="323"/>
      <c r="D48" s="29" t="s">
        <v>485</v>
      </c>
      <c r="E48" s="30" t="s">
        <v>563</v>
      </c>
      <c r="F48" t="s">
        <v>1052</v>
      </c>
      <c r="G48" t="s">
        <v>1029</v>
      </c>
      <c r="H48" s="251" t="s">
        <v>354</v>
      </c>
      <c r="I48" s="31" t="s">
        <v>13</v>
      </c>
      <c r="J48" s="189" t="s">
        <v>12</v>
      </c>
      <c r="K48" s="188" t="s">
        <v>133</v>
      </c>
      <c r="L48" s="31" t="s">
        <v>575</v>
      </c>
      <c r="M48" s="31" t="s">
        <v>576</v>
      </c>
      <c r="N48" s="31"/>
      <c r="O48" s="31"/>
      <c r="P48" s="189"/>
      <c r="Q48" s="289" t="s">
        <v>809</v>
      </c>
      <c r="R48" s="162">
        <v>33</v>
      </c>
      <c r="S48" s="144" t="s">
        <v>665</v>
      </c>
      <c r="T48" s="25"/>
      <c r="U48" s="7"/>
      <c r="V48" s="239"/>
      <c r="Y48" t="str">
        <f t="shared" si="8"/>
        <v>wing_chord_p2_1</v>
      </c>
      <c r="Z48" t="str">
        <f t="shared" si="9"/>
        <v>double</v>
      </c>
      <c r="AA48" t="str">
        <f t="shared" si="10"/>
        <v>scalaire</v>
      </c>
      <c r="AB48" t="str">
        <f t="shared" si="11"/>
        <v>Corde au plan 2.1</v>
      </c>
      <c r="AC48" t="str">
        <f t="shared" si="0"/>
        <v>m</v>
      </c>
      <c r="AD48" s="279" t="str">
        <f t="shared" si="1"/>
        <v>variable: wing_chord_p2_1 double input description= "Corde au plan 2.1" units= "m"</v>
      </c>
      <c r="AE48" s="7" t="str">
        <f t="shared" si="2"/>
        <v>X0.Geometry.wingbody</v>
      </c>
      <c r="AF48" s="7" t="str">
        <f t="shared" si="3"/>
        <v>Y02.Geometry.wingbody</v>
      </c>
      <c r="AG48" s="7" t="str">
        <f t="shared" si="4"/>
        <v>Y03.Geometry.wingbody</v>
      </c>
      <c r="AH48" s="7" t="str">
        <f t="shared" si="5"/>
        <v/>
      </c>
      <c r="AI48" s="7" t="str">
        <f t="shared" si="6"/>
        <v/>
      </c>
      <c r="AJ48" s="7" t="str">
        <f t="shared" si="7"/>
        <v/>
      </c>
    </row>
    <row r="49" spans="2:36">
      <c r="B49" s="329"/>
      <c r="C49" s="323"/>
      <c r="D49" s="22" t="s">
        <v>11</v>
      </c>
      <c r="E49" s="23" t="s">
        <v>419</v>
      </c>
      <c r="F49" t="s">
        <v>1052</v>
      </c>
      <c r="G49" t="s">
        <v>1029</v>
      </c>
      <c r="H49" s="249" t="s">
        <v>354</v>
      </c>
      <c r="I49" s="24" t="s">
        <v>13</v>
      </c>
      <c r="J49" s="185" t="s">
        <v>12</v>
      </c>
      <c r="K49" s="184" t="s">
        <v>428</v>
      </c>
      <c r="L49" s="24" t="s">
        <v>576</v>
      </c>
      <c r="M49" s="24"/>
      <c r="N49" s="24"/>
      <c r="O49" s="24"/>
      <c r="P49" s="185"/>
      <c r="Q49" s="289" t="s">
        <v>807</v>
      </c>
      <c r="R49" s="162">
        <v>34</v>
      </c>
      <c r="S49" s="144" t="s">
        <v>665</v>
      </c>
      <c r="T49" s="25"/>
      <c r="U49" s="7"/>
      <c r="V49" s="239"/>
      <c r="Y49" t="str">
        <f t="shared" si="8"/>
        <v>wing_chord_p3</v>
      </c>
      <c r="Z49" t="str">
        <f t="shared" si="9"/>
        <v>double</v>
      </c>
      <c r="AA49" t="str">
        <f t="shared" si="10"/>
        <v>scalaire</v>
      </c>
      <c r="AB49" t="str">
        <f t="shared" si="11"/>
        <v>Corde au plan 3</v>
      </c>
      <c r="AC49" t="str">
        <f t="shared" si="0"/>
        <v>m</v>
      </c>
      <c r="AD49" s="279" t="str">
        <f t="shared" si="1"/>
        <v>variable: wing_chord_p3 double input description= "Corde au plan 3" units= "m"</v>
      </c>
      <c r="AE49" s="7" t="str">
        <f t="shared" si="2"/>
        <v>Y02.Geometry.wingbody</v>
      </c>
      <c r="AF49" s="7" t="str">
        <f t="shared" si="3"/>
        <v>Y03.Geometry.wingbody</v>
      </c>
      <c r="AG49" s="7" t="str">
        <f t="shared" si="4"/>
        <v/>
      </c>
      <c r="AH49" s="7" t="str">
        <f t="shared" si="5"/>
        <v/>
      </c>
      <c r="AI49" s="7" t="str">
        <f t="shared" si="6"/>
        <v/>
      </c>
      <c r="AJ49" s="7" t="str">
        <f t="shared" si="7"/>
        <v/>
      </c>
    </row>
    <row r="50" spans="2:36">
      <c r="B50" s="329"/>
      <c r="C50" s="323"/>
      <c r="D50" s="29" t="s">
        <v>497</v>
      </c>
      <c r="E50" s="30" t="s">
        <v>510</v>
      </c>
      <c r="F50" t="s">
        <v>1052</v>
      </c>
      <c r="G50" t="s">
        <v>1029</v>
      </c>
      <c r="H50" s="251" t="s">
        <v>354</v>
      </c>
      <c r="I50" s="31" t="s">
        <v>13</v>
      </c>
      <c r="J50" s="189" t="s">
        <v>12</v>
      </c>
      <c r="K50" s="188" t="s">
        <v>133</v>
      </c>
      <c r="L50" s="31"/>
      <c r="M50" s="31"/>
      <c r="N50" s="31"/>
      <c r="O50" s="31"/>
      <c r="P50" s="189"/>
      <c r="Q50" s="289" t="s">
        <v>841</v>
      </c>
      <c r="R50" s="162">
        <v>35</v>
      </c>
      <c r="S50" s="144" t="s">
        <v>665</v>
      </c>
      <c r="T50" s="25"/>
      <c r="U50" s="7"/>
      <c r="V50" s="239"/>
      <c r="Y50" t="str">
        <f t="shared" si="8"/>
        <v>lateral_length_p1to2</v>
      </c>
      <c r="Z50" t="str">
        <f t="shared" si="9"/>
        <v>double</v>
      </c>
      <c r="AA50" t="str">
        <f t="shared" si="10"/>
        <v>scalaire</v>
      </c>
      <c r="AB50" t="str">
        <f t="shared" si="11"/>
        <v>Largeur de la zone de transition (distance latérale entre les plans 1 et 2)</v>
      </c>
      <c r="AC50" t="str">
        <f t="shared" si="0"/>
        <v>m</v>
      </c>
      <c r="AD50" s="279" t="str">
        <f t="shared" si="1"/>
        <v>variable: lateral_length_p1to2 double input description= "Largeur de la zone de transition (distance latérale entre les plans 1 et 2)" units= "m"</v>
      </c>
      <c r="AE50" s="7" t="str">
        <f t="shared" si="2"/>
        <v>X0.Geometry.wingbody</v>
      </c>
      <c r="AF50" s="7" t="str">
        <f t="shared" si="3"/>
        <v/>
      </c>
      <c r="AG50" s="7" t="str">
        <f t="shared" si="4"/>
        <v/>
      </c>
      <c r="AH50" s="7" t="str">
        <f t="shared" si="5"/>
        <v/>
      </c>
      <c r="AI50" s="7" t="str">
        <f t="shared" si="6"/>
        <v/>
      </c>
      <c r="AJ50" s="7" t="str">
        <f t="shared" si="7"/>
        <v/>
      </c>
    </row>
    <row r="51" spans="2:36" ht="12.75" customHeight="1">
      <c r="B51" s="329"/>
      <c r="C51" s="323"/>
      <c r="D51" s="29" t="s">
        <v>498</v>
      </c>
      <c r="E51" s="30" t="s">
        <v>509</v>
      </c>
      <c r="F51" t="s">
        <v>1052</v>
      </c>
      <c r="G51" t="s">
        <v>1029</v>
      </c>
      <c r="H51" s="251" t="s">
        <v>354</v>
      </c>
      <c r="I51" s="31" t="s">
        <v>13</v>
      </c>
      <c r="J51" s="189" t="s">
        <v>12</v>
      </c>
      <c r="K51" s="188" t="s">
        <v>133</v>
      </c>
      <c r="L51" s="31"/>
      <c r="M51" s="31"/>
      <c r="N51" s="31"/>
      <c r="O51" s="31"/>
      <c r="P51" s="189"/>
      <c r="Q51" s="289" t="s">
        <v>842</v>
      </c>
      <c r="R51" s="162">
        <v>36</v>
      </c>
      <c r="S51" s="144" t="s">
        <v>665</v>
      </c>
      <c r="T51" s="25"/>
      <c r="U51" s="7"/>
      <c r="V51" s="239"/>
      <c r="Y51" t="str">
        <f t="shared" si="8"/>
        <v>lateral_length_p2to2_1</v>
      </c>
      <c r="Z51" t="str">
        <f t="shared" si="9"/>
        <v>double</v>
      </c>
      <c r="AA51" t="str">
        <f t="shared" si="10"/>
        <v>scalaire</v>
      </c>
      <c r="AB51" t="str">
        <f t="shared" si="11"/>
        <v>Largeur du premier tronçon de la voilure externe (distance latérale entre les plans 2 et 2.1)</v>
      </c>
      <c r="AC51" t="str">
        <f t="shared" si="0"/>
        <v>m</v>
      </c>
      <c r="AD51" s="279" t="str">
        <f t="shared" si="1"/>
        <v>variable: lateral_length_p2to2_1 double input description= "Largeur du premier tronçon de la voilure externe (distance latérale entre les plans 2 et 2.1)" units= "m"</v>
      </c>
      <c r="AE51" s="7" t="str">
        <f t="shared" si="2"/>
        <v>X0.Geometry.wingbody</v>
      </c>
      <c r="AF51" s="7" t="str">
        <f t="shared" si="3"/>
        <v/>
      </c>
      <c r="AG51" s="7" t="str">
        <f t="shared" si="4"/>
        <v/>
      </c>
      <c r="AH51" s="7" t="str">
        <f t="shared" si="5"/>
        <v/>
      </c>
      <c r="AI51" s="7" t="str">
        <f t="shared" si="6"/>
        <v/>
      </c>
      <c r="AJ51" s="7" t="str">
        <f t="shared" si="7"/>
        <v/>
      </c>
    </row>
    <row r="52" spans="2:36">
      <c r="B52" s="329"/>
      <c r="C52" s="323"/>
      <c r="D52" s="29" t="s">
        <v>486</v>
      </c>
      <c r="E52" s="30" t="s">
        <v>569</v>
      </c>
      <c r="F52" t="s">
        <v>1052</v>
      </c>
      <c r="G52" t="s">
        <v>1029</v>
      </c>
      <c r="H52" s="251" t="s">
        <v>354</v>
      </c>
      <c r="I52" s="31" t="s">
        <v>13</v>
      </c>
      <c r="J52" s="189" t="s">
        <v>12</v>
      </c>
      <c r="K52" s="188" t="s">
        <v>428</v>
      </c>
      <c r="L52" s="31" t="s">
        <v>576</v>
      </c>
      <c r="M52" s="31"/>
      <c r="N52" s="31"/>
      <c r="O52" s="31"/>
      <c r="P52" s="189"/>
      <c r="Q52" s="289" t="s">
        <v>852</v>
      </c>
      <c r="R52" s="162">
        <v>37</v>
      </c>
      <c r="S52" s="144" t="s">
        <v>665</v>
      </c>
      <c r="T52" s="25" t="s">
        <v>546</v>
      </c>
      <c r="U52" s="7"/>
      <c r="V52" s="239"/>
      <c r="Y52" t="str">
        <f t="shared" si="8"/>
        <v>pos_y_p0_1</v>
      </c>
      <c r="Z52" t="str">
        <f t="shared" si="9"/>
        <v>double</v>
      </c>
      <c r="AA52" t="str">
        <f t="shared" si="10"/>
        <v>scalaire</v>
      </c>
      <c r="AB52" t="str">
        <f t="shared" si="11"/>
        <v>Position latérale du plan 0.1 ( = lsoute)</v>
      </c>
      <c r="AC52" t="str">
        <f t="shared" si="0"/>
        <v>m</v>
      </c>
      <c r="AD52" s="279" t="str">
        <f t="shared" si="1"/>
        <v>variable: pos_y_p0_1 double input description= "Position latérale du plan 0.1 ( = lsoute)" units= "m"</v>
      </c>
      <c r="AE52" s="7" t="str">
        <f t="shared" si="2"/>
        <v>Y02.Geometry.wingbody</v>
      </c>
      <c r="AF52" s="7" t="str">
        <f t="shared" si="3"/>
        <v>Y03.Geometry.wingbody</v>
      </c>
      <c r="AG52" s="7" t="str">
        <f t="shared" si="4"/>
        <v/>
      </c>
      <c r="AH52" s="7" t="str">
        <f t="shared" si="5"/>
        <v/>
      </c>
      <c r="AI52" s="7" t="str">
        <f t="shared" si="6"/>
        <v/>
      </c>
      <c r="AJ52" s="7" t="str">
        <f t="shared" si="7"/>
        <v/>
      </c>
    </row>
    <row r="53" spans="2:36">
      <c r="B53" s="329"/>
      <c r="C53" s="323"/>
      <c r="D53" s="22" t="s">
        <v>55</v>
      </c>
      <c r="E53" s="23" t="s">
        <v>420</v>
      </c>
      <c r="F53" t="s">
        <v>1052</v>
      </c>
      <c r="G53" t="s">
        <v>1029</v>
      </c>
      <c r="H53" s="249" t="s">
        <v>354</v>
      </c>
      <c r="I53" s="24" t="s">
        <v>13</v>
      </c>
      <c r="J53" s="185" t="s">
        <v>12</v>
      </c>
      <c r="K53" s="184" t="s">
        <v>428</v>
      </c>
      <c r="L53" s="24" t="s">
        <v>576</v>
      </c>
      <c r="M53" s="24"/>
      <c r="N53" s="24"/>
      <c r="O53" s="24"/>
      <c r="P53" s="185"/>
      <c r="Q53" s="289" t="s">
        <v>853</v>
      </c>
      <c r="R53" s="162">
        <v>38</v>
      </c>
      <c r="S53" s="144" t="s">
        <v>665</v>
      </c>
      <c r="T53" s="25"/>
      <c r="U53" s="7"/>
      <c r="V53" s="239"/>
      <c r="Y53" t="str">
        <f t="shared" si="8"/>
        <v>pos_y_p1</v>
      </c>
      <c r="Z53" t="str">
        <f t="shared" si="9"/>
        <v>double</v>
      </c>
      <c r="AA53" t="str">
        <f t="shared" si="10"/>
        <v>scalaire</v>
      </c>
      <c r="AB53" t="str">
        <f t="shared" si="11"/>
        <v>Position latérale du plan 1</v>
      </c>
      <c r="AC53" t="str">
        <f t="shared" si="0"/>
        <v>m</v>
      </c>
      <c r="AD53" s="279" t="str">
        <f t="shared" si="1"/>
        <v>variable: pos_y_p1 double input description= "Position latérale du plan 1" units= "m"</v>
      </c>
      <c r="AE53" s="7" t="str">
        <f t="shared" si="2"/>
        <v>Y02.Geometry.wingbody</v>
      </c>
      <c r="AF53" s="7" t="str">
        <f t="shared" si="3"/>
        <v>Y03.Geometry.wingbody</v>
      </c>
      <c r="AG53" s="7" t="str">
        <f t="shared" si="4"/>
        <v/>
      </c>
      <c r="AH53" s="7" t="str">
        <f t="shared" si="5"/>
        <v/>
      </c>
      <c r="AI53" s="7" t="str">
        <f t="shared" si="6"/>
        <v/>
      </c>
      <c r="AJ53" s="7" t="str">
        <f t="shared" si="7"/>
        <v/>
      </c>
    </row>
    <row r="54" spans="2:36">
      <c r="B54" s="329"/>
      <c r="C54" s="323"/>
      <c r="D54" s="22" t="s">
        <v>56</v>
      </c>
      <c r="E54" s="23" t="s">
        <v>421</v>
      </c>
      <c r="F54" t="s">
        <v>1052</v>
      </c>
      <c r="G54" t="s">
        <v>1029</v>
      </c>
      <c r="H54" s="249" t="s">
        <v>354</v>
      </c>
      <c r="I54" s="24" t="s">
        <v>13</v>
      </c>
      <c r="J54" s="185" t="s">
        <v>12</v>
      </c>
      <c r="K54" s="184" t="s">
        <v>428</v>
      </c>
      <c r="L54" s="24" t="s">
        <v>576</v>
      </c>
      <c r="M54" s="24"/>
      <c r="N54" s="24"/>
      <c r="O54" s="24"/>
      <c r="P54" s="185"/>
      <c r="Q54" s="289" t="s">
        <v>854</v>
      </c>
      <c r="R54" s="162">
        <v>39</v>
      </c>
      <c r="S54" s="144" t="s">
        <v>665</v>
      </c>
      <c r="T54" s="25"/>
      <c r="U54" s="7"/>
      <c r="V54" s="239"/>
      <c r="Y54" t="str">
        <f t="shared" si="8"/>
        <v>pos_y_p2</v>
      </c>
      <c r="Z54" t="str">
        <f t="shared" si="9"/>
        <v>double</v>
      </c>
      <c r="AA54" t="str">
        <f t="shared" si="10"/>
        <v>scalaire</v>
      </c>
      <c r="AB54" t="str">
        <f t="shared" si="11"/>
        <v>Position latérale du plan 2</v>
      </c>
      <c r="AC54" t="str">
        <f t="shared" si="0"/>
        <v>m</v>
      </c>
      <c r="AD54" s="279" t="str">
        <f t="shared" si="1"/>
        <v>variable: pos_y_p2 double input description= "Position latérale du plan 2" units= "m"</v>
      </c>
      <c r="AE54" s="7" t="str">
        <f t="shared" si="2"/>
        <v>Y02.Geometry.wingbody</v>
      </c>
      <c r="AF54" s="7" t="str">
        <f t="shared" si="3"/>
        <v>Y03.Geometry.wingbody</v>
      </c>
      <c r="AG54" s="7" t="str">
        <f t="shared" si="4"/>
        <v/>
      </c>
      <c r="AH54" s="7" t="str">
        <f t="shared" si="5"/>
        <v/>
      </c>
      <c r="AI54" s="7" t="str">
        <f t="shared" si="6"/>
        <v/>
      </c>
      <c r="AJ54" s="7" t="str">
        <f t="shared" si="7"/>
        <v/>
      </c>
    </row>
    <row r="55" spans="2:36">
      <c r="B55" s="329"/>
      <c r="C55" s="323"/>
      <c r="D55" s="29" t="s">
        <v>487</v>
      </c>
      <c r="E55" s="30" t="s">
        <v>564</v>
      </c>
      <c r="F55" t="s">
        <v>1052</v>
      </c>
      <c r="G55" t="s">
        <v>1029</v>
      </c>
      <c r="H55" s="251" t="s">
        <v>354</v>
      </c>
      <c r="I55" s="31" t="s">
        <v>13</v>
      </c>
      <c r="J55" s="189" t="s">
        <v>12</v>
      </c>
      <c r="K55" s="188" t="s">
        <v>428</v>
      </c>
      <c r="L55" s="31" t="s">
        <v>576</v>
      </c>
      <c r="M55" s="31"/>
      <c r="N55" s="31"/>
      <c r="O55" s="31"/>
      <c r="P55" s="189"/>
      <c r="Q55" s="289" t="s">
        <v>855</v>
      </c>
      <c r="R55" s="162">
        <v>40</v>
      </c>
      <c r="S55" s="144" t="s">
        <v>665</v>
      </c>
      <c r="T55" s="25"/>
      <c r="U55" s="7"/>
      <c r="V55" s="239"/>
      <c r="Y55" t="str">
        <f t="shared" si="8"/>
        <v>pos_y_p2_1</v>
      </c>
      <c r="Z55" t="str">
        <f t="shared" si="9"/>
        <v>double</v>
      </c>
      <c r="AA55" t="str">
        <f t="shared" si="10"/>
        <v>scalaire</v>
      </c>
      <c r="AB55" t="str">
        <f t="shared" si="11"/>
        <v>Position latérale du plan 2.1</v>
      </c>
      <c r="AC55" t="str">
        <f t="shared" si="0"/>
        <v>m</v>
      </c>
      <c r="AD55" s="279" t="str">
        <f t="shared" si="1"/>
        <v>variable: pos_y_p2_1 double input description= "Position latérale du plan 2.1" units= "m"</v>
      </c>
      <c r="AE55" s="7" t="str">
        <f t="shared" si="2"/>
        <v>Y02.Geometry.wingbody</v>
      </c>
      <c r="AF55" s="7" t="str">
        <f t="shared" si="3"/>
        <v>Y03.Geometry.wingbody</v>
      </c>
      <c r="AG55" s="7" t="str">
        <f t="shared" si="4"/>
        <v/>
      </c>
      <c r="AH55" s="7" t="str">
        <f t="shared" si="5"/>
        <v/>
      </c>
      <c r="AI55" s="7" t="str">
        <f t="shared" si="6"/>
        <v/>
      </c>
      <c r="AJ55" s="7" t="str">
        <f t="shared" si="7"/>
        <v/>
      </c>
    </row>
    <row r="56" spans="2:36">
      <c r="B56" s="329"/>
      <c r="C56" s="323"/>
      <c r="D56" s="22" t="s">
        <v>57</v>
      </c>
      <c r="E56" s="23" t="s">
        <v>571</v>
      </c>
      <c r="F56" t="s">
        <v>1052</v>
      </c>
      <c r="G56" t="s">
        <v>1029</v>
      </c>
      <c r="H56" s="249" t="s">
        <v>354</v>
      </c>
      <c r="I56" s="24" t="s">
        <v>13</v>
      </c>
      <c r="J56" s="185" t="s">
        <v>12</v>
      </c>
      <c r="K56" s="184" t="s">
        <v>428</v>
      </c>
      <c r="L56" s="24" t="s">
        <v>576</v>
      </c>
      <c r="M56" s="24"/>
      <c r="N56" s="24"/>
      <c r="O56" s="24"/>
      <c r="P56" s="185"/>
      <c r="Q56" s="289" t="s">
        <v>856</v>
      </c>
      <c r="R56" s="162">
        <v>41</v>
      </c>
      <c r="S56" s="144" t="s">
        <v>665</v>
      </c>
      <c r="T56" s="25"/>
      <c r="U56" s="7"/>
      <c r="V56" s="239"/>
      <c r="Y56" t="str">
        <f t="shared" si="8"/>
        <v>pos_y_p3</v>
      </c>
      <c r="Z56" t="str">
        <f t="shared" si="9"/>
        <v>double</v>
      </c>
      <c r="AA56" t="str">
        <f t="shared" si="10"/>
        <v>scalaire</v>
      </c>
      <c r="AB56" t="str">
        <f t="shared" si="11"/>
        <v>Position latérale du plan 3 ( = demi-envergure)</v>
      </c>
      <c r="AC56" t="str">
        <f t="shared" si="0"/>
        <v>m</v>
      </c>
      <c r="AD56" s="279" t="str">
        <f t="shared" si="1"/>
        <v>variable: pos_y_p3 double input description= "Position latérale du plan 3 ( = demi-envergure)" units= "m"</v>
      </c>
      <c r="AE56" s="7" t="str">
        <f t="shared" si="2"/>
        <v>Y02.Geometry.wingbody</v>
      </c>
      <c r="AF56" s="7" t="str">
        <f t="shared" si="3"/>
        <v>Y03.Geometry.wingbody</v>
      </c>
      <c r="AG56" s="7" t="str">
        <f t="shared" si="4"/>
        <v/>
      </c>
      <c r="AH56" s="7" t="str">
        <f t="shared" si="5"/>
        <v/>
      </c>
      <c r="AI56" s="7" t="str">
        <f t="shared" si="6"/>
        <v/>
      </c>
      <c r="AJ56" s="7" t="str">
        <f t="shared" si="7"/>
        <v/>
      </c>
    </row>
    <row r="57" spans="2:36">
      <c r="B57" s="329"/>
      <c r="C57" s="323"/>
      <c r="D57" s="29" t="s">
        <v>488</v>
      </c>
      <c r="E57" s="30" t="s">
        <v>565</v>
      </c>
      <c r="F57" t="s">
        <v>1052</v>
      </c>
      <c r="G57" t="s">
        <v>1029</v>
      </c>
      <c r="H57" s="251" t="s">
        <v>354</v>
      </c>
      <c r="I57" s="31" t="s">
        <v>13</v>
      </c>
      <c r="J57" s="189" t="s">
        <v>12</v>
      </c>
      <c r="K57" s="188" t="s">
        <v>428</v>
      </c>
      <c r="L57" s="31" t="s">
        <v>576</v>
      </c>
      <c r="M57" s="31"/>
      <c r="N57" s="31"/>
      <c r="O57" s="31"/>
      <c r="P57" s="189"/>
      <c r="Q57" s="289" t="s">
        <v>857</v>
      </c>
      <c r="R57" s="162">
        <v>42</v>
      </c>
      <c r="S57" s="144" t="s">
        <v>665</v>
      </c>
      <c r="T57" s="25"/>
      <c r="U57" s="7"/>
      <c r="V57" s="239"/>
      <c r="Y57" t="str">
        <f t="shared" si="8"/>
        <v>pos_x_leading_edge_p0_1</v>
      </c>
      <c r="Z57" t="str">
        <f t="shared" si="9"/>
        <v>double</v>
      </c>
      <c r="AA57" t="str">
        <f t="shared" si="10"/>
        <v>scalaire</v>
      </c>
      <c r="AB57" t="str">
        <f t="shared" si="11"/>
        <v>Position longitudinale du bord d'attaque au plan 0.1</v>
      </c>
      <c r="AC57" t="str">
        <f t="shared" si="0"/>
        <v>m</v>
      </c>
      <c r="AD57" s="279" t="str">
        <f t="shared" si="1"/>
        <v>variable: pos_x_leading_edge_p0_1 double input description= "Position longitudinale du bord d'attaque au plan 0.1" units= "m"</v>
      </c>
      <c r="AE57" s="7" t="str">
        <f t="shared" si="2"/>
        <v>Y02.Geometry.wingbody</v>
      </c>
      <c r="AF57" s="7" t="str">
        <f t="shared" si="3"/>
        <v>Y03.Geometry.wingbody</v>
      </c>
      <c r="AG57" s="7" t="str">
        <f t="shared" si="4"/>
        <v/>
      </c>
      <c r="AH57" s="7" t="str">
        <f t="shared" si="5"/>
        <v/>
      </c>
      <c r="AI57" s="7" t="str">
        <f t="shared" si="6"/>
        <v/>
      </c>
      <c r="AJ57" s="7" t="str">
        <f t="shared" si="7"/>
        <v/>
      </c>
    </row>
    <row r="58" spans="2:36">
      <c r="B58" s="329"/>
      <c r="C58" s="323"/>
      <c r="D58" s="22" t="s">
        <v>58</v>
      </c>
      <c r="E58" s="23" t="s">
        <v>75</v>
      </c>
      <c r="F58" t="s">
        <v>1052</v>
      </c>
      <c r="G58" t="s">
        <v>1029</v>
      </c>
      <c r="H58" s="249" t="s">
        <v>354</v>
      </c>
      <c r="I58" s="24" t="s">
        <v>13</v>
      </c>
      <c r="J58" s="185" t="s">
        <v>12</v>
      </c>
      <c r="K58" s="184" t="s">
        <v>428</v>
      </c>
      <c r="L58" s="24" t="s">
        <v>576</v>
      </c>
      <c r="M58" s="24"/>
      <c r="N58" s="24"/>
      <c r="O58" s="24"/>
      <c r="P58" s="185"/>
      <c r="Q58" s="289" t="s">
        <v>858</v>
      </c>
      <c r="R58" s="162">
        <v>43</v>
      </c>
      <c r="S58" s="144" t="s">
        <v>665</v>
      </c>
      <c r="T58" s="25"/>
      <c r="U58" s="7"/>
      <c r="V58" s="239"/>
      <c r="Y58" t="str">
        <f t="shared" si="8"/>
        <v>pos_x_leading_edge_p1</v>
      </c>
      <c r="Z58" t="str">
        <f t="shared" si="9"/>
        <v>double</v>
      </c>
      <c r="AA58" t="str">
        <f t="shared" si="10"/>
        <v>scalaire</v>
      </c>
      <c r="AB58" t="str">
        <f t="shared" si="11"/>
        <v>Position longitudinale du bord d'attaque au plan 1</v>
      </c>
      <c r="AC58" t="str">
        <f t="shared" si="0"/>
        <v>m</v>
      </c>
      <c r="AD58" s="279" t="str">
        <f t="shared" si="1"/>
        <v>variable: pos_x_leading_edge_p1 double input description= "Position longitudinale du bord d'attaque au plan 1" units= "m"</v>
      </c>
      <c r="AE58" s="7" t="str">
        <f t="shared" si="2"/>
        <v>Y02.Geometry.wingbody</v>
      </c>
      <c r="AF58" s="7" t="str">
        <f t="shared" si="3"/>
        <v>Y03.Geometry.wingbody</v>
      </c>
      <c r="AG58" s="7" t="str">
        <f t="shared" si="4"/>
        <v/>
      </c>
      <c r="AH58" s="7" t="str">
        <f t="shared" si="5"/>
        <v/>
      </c>
      <c r="AI58" s="7" t="str">
        <f t="shared" si="6"/>
        <v/>
      </c>
      <c r="AJ58" s="7" t="str">
        <f t="shared" si="7"/>
        <v/>
      </c>
    </row>
    <row r="59" spans="2:36">
      <c r="B59" s="329"/>
      <c r="C59" s="323"/>
      <c r="D59" s="22" t="s">
        <v>59</v>
      </c>
      <c r="E59" s="23" t="s">
        <v>76</v>
      </c>
      <c r="F59" t="s">
        <v>1052</v>
      </c>
      <c r="G59" t="s">
        <v>1029</v>
      </c>
      <c r="H59" s="249" t="s">
        <v>354</v>
      </c>
      <c r="I59" s="24" t="s">
        <v>13</v>
      </c>
      <c r="J59" s="185" t="s">
        <v>12</v>
      </c>
      <c r="K59" s="184" t="s">
        <v>428</v>
      </c>
      <c r="L59" s="24" t="s">
        <v>576</v>
      </c>
      <c r="M59" s="24"/>
      <c r="N59" s="24"/>
      <c r="O59" s="24"/>
      <c r="P59" s="185"/>
      <c r="Q59" s="289" t="s">
        <v>859</v>
      </c>
      <c r="R59" s="162">
        <v>44</v>
      </c>
      <c r="S59" s="144" t="s">
        <v>665</v>
      </c>
      <c r="T59" s="25"/>
      <c r="U59" s="7"/>
      <c r="V59" s="239"/>
      <c r="Y59" t="str">
        <f t="shared" si="8"/>
        <v>pos_x_leading_edge_p2</v>
      </c>
      <c r="Z59" t="str">
        <f t="shared" si="9"/>
        <v>double</v>
      </c>
      <c r="AA59" t="str">
        <f t="shared" si="10"/>
        <v>scalaire</v>
      </c>
      <c r="AB59" t="str">
        <f t="shared" si="11"/>
        <v>Position longitudinale du bord d'attaque au plan 2</v>
      </c>
      <c r="AC59" t="str">
        <f t="shared" si="0"/>
        <v>m</v>
      </c>
      <c r="AD59" s="279" t="str">
        <f t="shared" si="1"/>
        <v>variable: pos_x_leading_edge_p2 double input description= "Position longitudinale du bord d'attaque au plan 2" units= "m"</v>
      </c>
      <c r="AE59" s="7" t="str">
        <f t="shared" si="2"/>
        <v>Y02.Geometry.wingbody</v>
      </c>
      <c r="AF59" s="7" t="str">
        <f t="shared" si="3"/>
        <v>Y03.Geometry.wingbody</v>
      </c>
      <c r="AG59" s="7" t="str">
        <f t="shared" si="4"/>
        <v/>
      </c>
      <c r="AH59" s="7" t="str">
        <f t="shared" si="5"/>
        <v/>
      </c>
      <c r="AI59" s="7" t="str">
        <f t="shared" si="6"/>
        <v/>
      </c>
      <c r="AJ59" s="7" t="str">
        <f t="shared" si="7"/>
        <v/>
      </c>
    </row>
    <row r="60" spans="2:36">
      <c r="B60" s="329"/>
      <c r="C60" s="323"/>
      <c r="D60" s="29" t="s">
        <v>489</v>
      </c>
      <c r="E60" s="30" t="s">
        <v>566</v>
      </c>
      <c r="F60" t="s">
        <v>1052</v>
      </c>
      <c r="G60" t="s">
        <v>1029</v>
      </c>
      <c r="H60" s="251" t="s">
        <v>354</v>
      </c>
      <c r="I60" s="31" t="s">
        <v>13</v>
      </c>
      <c r="J60" s="189" t="s">
        <v>12</v>
      </c>
      <c r="K60" s="188" t="s">
        <v>428</v>
      </c>
      <c r="L60" s="31" t="s">
        <v>576</v>
      </c>
      <c r="M60" s="31"/>
      <c r="N60" s="31"/>
      <c r="O60" s="31"/>
      <c r="P60" s="189"/>
      <c r="Q60" s="289" t="s">
        <v>860</v>
      </c>
      <c r="R60" s="162">
        <v>45</v>
      </c>
      <c r="S60" s="144" t="s">
        <v>665</v>
      </c>
      <c r="T60" s="25"/>
      <c r="U60" s="7"/>
      <c r="V60" s="239"/>
      <c r="Y60" t="str">
        <f t="shared" si="8"/>
        <v>pos_x_leading_edge_p2_1</v>
      </c>
      <c r="Z60" t="str">
        <f t="shared" si="9"/>
        <v>double</v>
      </c>
      <c r="AA60" t="str">
        <f t="shared" si="10"/>
        <v>scalaire</v>
      </c>
      <c r="AB60" t="str">
        <f t="shared" si="11"/>
        <v>Position longitudinale du bord d'attaque au plan 2.1</v>
      </c>
      <c r="AC60" t="str">
        <f t="shared" si="0"/>
        <v>m</v>
      </c>
      <c r="AD60" s="279" t="str">
        <f t="shared" si="1"/>
        <v>variable: pos_x_leading_edge_p2_1 double input description= "Position longitudinale du bord d'attaque au plan 2.1" units= "m"</v>
      </c>
      <c r="AE60" s="7" t="str">
        <f t="shared" si="2"/>
        <v>Y02.Geometry.wingbody</v>
      </c>
      <c r="AF60" s="7" t="str">
        <f t="shared" si="3"/>
        <v>Y03.Geometry.wingbody</v>
      </c>
      <c r="AG60" s="7" t="str">
        <f t="shared" si="4"/>
        <v/>
      </c>
      <c r="AH60" s="7" t="str">
        <f t="shared" si="5"/>
        <v/>
      </c>
      <c r="AI60" s="7" t="str">
        <f t="shared" si="6"/>
        <v/>
      </c>
      <c r="AJ60" s="7" t="str">
        <f t="shared" si="7"/>
        <v/>
      </c>
    </row>
    <row r="61" spans="2:36">
      <c r="B61" s="329"/>
      <c r="C61" s="323"/>
      <c r="D61" s="22" t="s">
        <v>60</v>
      </c>
      <c r="E61" s="23" t="s">
        <v>77</v>
      </c>
      <c r="F61" t="s">
        <v>1052</v>
      </c>
      <c r="G61" t="s">
        <v>1029</v>
      </c>
      <c r="H61" s="249" t="s">
        <v>354</v>
      </c>
      <c r="I61" s="24" t="s">
        <v>13</v>
      </c>
      <c r="J61" s="185" t="s">
        <v>12</v>
      </c>
      <c r="K61" s="184" t="s">
        <v>428</v>
      </c>
      <c r="L61" s="24" t="s">
        <v>576</v>
      </c>
      <c r="M61" s="24"/>
      <c r="N61" s="24"/>
      <c r="O61" s="24"/>
      <c r="P61" s="185"/>
      <c r="Q61" s="289" t="s">
        <v>861</v>
      </c>
      <c r="R61" s="162">
        <v>46</v>
      </c>
      <c r="S61" s="144" t="s">
        <v>665</v>
      </c>
      <c r="T61" s="25"/>
      <c r="U61" s="7"/>
      <c r="V61" s="239"/>
      <c r="Y61" t="str">
        <f t="shared" si="8"/>
        <v>pos_x_leading_edge_p3</v>
      </c>
      <c r="Z61" t="str">
        <f t="shared" si="9"/>
        <v>double</v>
      </c>
      <c r="AA61" t="str">
        <f t="shared" si="10"/>
        <v>scalaire</v>
      </c>
      <c r="AB61" t="str">
        <f t="shared" si="11"/>
        <v>Position longitudinale du bord d'attaque au plan 3</v>
      </c>
      <c r="AC61" t="str">
        <f t="shared" si="0"/>
        <v>m</v>
      </c>
      <c r="AD61" s="279" t="str">
        <f t="shared" si="1"/>
        <v>variable: pos_x_leading_edge_p3 double input description= "Position longitudinale du bord d'attaque au plan 3" units= "m"</v>
      </c>
      <c r="AE61" s="7" t="str">
        <f t="shared" si="2"/>
        <v>Y02.Geometry.wingbody</v>
      </c>
      <c r="AF61" s="7" t="str">
        <f t="shared" si="3"/>
        <v>Y03.Geometry.wingbody</v>
      </c>
      <c r="AG61" s="7" t="str">
        <f t="shared" si="4"/>
        <v/>
      </c>
      <c r="AH61" s="7" t="str">
        <f t="shared" si="5"/>
        <v/>
      </c>
      <c r="AI61" s="7" t="str">
        <f t="shared" si="6"/>
        <v/>
      </c>
      <c r="AJ61" s="7" t="str">
        <f t="shared" si="7"/>
        <v/>
      </c>
    </row>
    <row r="62" spans="2:36">
      <c r="B62" s="329"/>
      <c r="C62" s="323"/>
      <c r="D62" s="22" t="s">
        <v>150</v>
      </c>
      <c r="E62" s="23" t="s">
        <v>151</v>
      </c>
      <c r="F62" t="s">
        <v>1052</v>
      </c>
      <c r="G62" t="s">
        <v>1029</v>
      </c>
      <c r="H62" s="249" t="s">
        <v>354</v>
      </c>
      <c r="I62" s="24" t="s">
        <v>13</v>
      </c>
      <c r="J62" s="185" t="s">
        <v>42</v>
      </c>
      <c r="K62" s="184" t="s">
        <v>133</v>
      </c>
      <c r="L62" s="24" t="s">
        <v>575</v>
      </c>
      <c r="M62" s="24" t="s">
        <v>576</v>
      </c>
      <c r="N62" s="24"/>
      <c r="O62" s="24"/>
      <c r="P62" s="185"/>
      <c r="Q62" s="289" t="s">
        <v>900</v>
      </c>
      <c r="R62" s="162">
        <v>47</v>
      </c>
      <c r="S62" s="144" t="s">
        <v>665</v>
      </c>
      <c r="T62" s="25"/>
      <c r="U62" s="7"/>
      <c r="V62" s="239"/>
      <c r="Y62" t="str">
        <f t="shared" si="8"/>
        <v>wing_dihedral_p2to3</v>
      </c>
      <c r="Z62" t="str">
        <f t="shared" si="9"/>
        <v>double</v>
      </c>
      <c r="AA62" t="str">
        <f t="shared" si="10"/>
        <v>scalaire</v>
      </c>
      <c r="AB62" t="str">
        <f t="shared" si="11"/>
        <v>Dièdre de la voilure externe, entre les plans 2 et 3</v>
      </c>
      <c r="AC62" t="str">
        <f t="shared" si="0"/>
        <v>degré</v>
      </c>
      <c r="AD62" s="279" t="str">
        <f t="shared" si="1"/>
        <v>variable: wing_dihedral_p2to3 double input description= "Dièdre de la voilure externe, entre les plans 2 et 3" units= "degré"</v>
      </c>
      <c r="AE62" s="7" t="str">
        <f t="shared" si="2"/>
        <v>X0.Geometry.wingbody</v>
      </c>
      <c r="AF62" s="7" t="str">
        <f t="shared" si="3"/>
        <v>Y02.Geometry.wingbody</v>
      </c>
      <c r="AG62" s="7" t="str">
        <f t="shared" si="4"/>
        <v>Y03.Geometry.wingbody</v>
      </c>
      <c r="AH62" s="7" t="str">
        <f t="shared" si="5"/>
        <v/>
      </c>
      <c r="AI62" s="7" t="str">
        <f t="shared" si="6"/>
        <v/>
      </c>
      <c r="AJ62" s="7" t="str">
        <f t="shared" si="7"/>
        <v/>
      </c>
    </row>
    <row r="63" spans="2:36">
      <c r="B63" s="329"/>
      <c r="C63" s="323"/>
      <c r="D63" s="22" t="s">
        <v>152</v>
      </c>
      <c r="E63" s="23" t="s">
        <v>153</v>
      </c>
      <c r="F63" t="s">
        <v>1052</v>
      </c>
      <c r="G63" t="s">
        <v>1029</v>
      </c>
      <c r="H63" s="249" t="s">
        <v>354</v>
      </c>
      <c r="I63" s="24" t="s">
        <v>13</v>
      </c>
      <c r="J63" s="185" t="s">
        <v>12</v>
      </c>
      <c r="K63" s="184" t="s">
        <v>133</v>
      </c>
      <c r="L63" s="24" t="s">
        <v>575</v>
      </c>
      <c r="M63" s="24" t="s">
        <v>576</v>
      </c>
      <c r="N63" s="24"/>
      <c r="O63" s="24"/>
      <c r="P63" s="185"/>
      <c r="Q63" s="289" t="s">
        <v>862</v>
      </c>
      <c r="R63" s="162">
        <v>48</v>
      </c>
      <c r="S63" s="144" t="s">
        <v>665</v>
      </c>
      <c r="T63" s="25"/>
      <c r="U63" s="7"/>
      <c r="V63" s="239"/>
      <c r="Y63" t="str">
        <f t="shared" si="8"/>
        <v>pos_z_leading_edge_p0</v>
      </c>
      <c r="Z63" t="str">
        <f t="shared" si="9"/>
        <v>double</v>
      </c>
      <c r="AA63" t="str">
        <f t="shared" si="10"/>
        <v>scalaire</v>
      </c>
      <c r="AB63" t="str">
        <f t="shared" si="11"/>
        <v>Position verticale du bord d'attaque au plan 0</v>
      </c>
      <c r="AC63" t="str">
        <f t="shared" si="0"/>
        <v>m</v>
      </c>
      <c r="AD63" s="279" t="str">
        <f t="shared" si="1"/>
        <v>variable: pos_z_leading_edge_p0 double input description= "Position verticale du bord d'attaque au plan 0" units= "m"</v>
      </c>
      <c r="AE63" s="7" t="str">
        <f t="shared" si="2"/>
        <v>X0.Geometry.wingbody</v>
      </c>
      <c r="AF63" s="7" t="str">
        <f t="shared" si="3"/>
        <v>Y02.Geometry.wingbody</v>
      </c>
      <c r="AG63" s="7" t="str">
        <f t="shared" si="4"/>
        <v>Y03.Geometry.wingbody</v>
      </c>
      <c r="AH63" s="7" t="str">
        <f t="shared" si="5"/>
        <v/>
      </c>
      <c r="AI63" s="7" t="str">
        <f t="shared" si="6"/>
        <v/>
      </c>
      <c r="AJ63" s="7" t="str">
        <f t="shared" si="7"/>
        <v/>
      </c>
    </row>
    <row r="64" spans="2:36">
      <c r="B64" s="329"/>
      <c r="C64" s="323"/>
      <c r="D64" s="29" t="s">
        <v>490</v>
      </c>
      <c r="E64" s="30" t="s">
        <v>567</v>
      </c>
      <c r="F64" t="s">
        <v>1052</v>
      </c>
      <c r="G64" t="s">
        <v>1029</v>
      </c>
      <c r="H64" s="251" t="s">
        <v>354</v>
      </c>
      <c r="I64" s="31" t="s">
        <v>13</v>
      </c>
      <c r="J64" s="189" t="s">
        <v>12</v>
      </c>
      <c r="K64" s="188" t="s">
        <v>133</v>
      </c>
      <c r="L64" s="31" t="s">
        <v>575</v>
      </c>
      <c r="M64" s="31" t="s">
        <v>576</v>
      </c>
      <c r="N64" s="31"/>
      <c r="O64" s="31"/>
      <c r="P64" s="189"/>
      <c r="Q64" s="289" t="s">
        <v>863</v>
      </c>
      <c r="R64" s="162">
        <v>49</v>
      </c>
      <c r="S64" s="144" t="s">
        <v>665</v>
      </c>
      <c r="T64" s="25"/>
      <c r="U64" s="7"/>
      <c r="V64" s="239"/>
      <c r="Y64" t="str">
        <f t="shared" si="8"/>
        <v>pos_z_leading_edge_p0_1</v>
      </c>
      <c r="Z64" t="str">
        <f t="shared" si="9"/>
        <v>double</v>
      </c>
      <c r="AA64" t="str">
        <f t="shared" si="10"/>
        <v>scalaire</v>
      </c>
      <c r="AB64" t="str">
        <f t="shared" si="11"/>
        <v>Position verticale du bord d'attaque au plan 0.1</v>
      </c>
      <c r="AC64" t="str">
        <f t="shared" si="0"/>
        <v>m</v>
      </c>
      <c r="AD64" s="279" t="str">
        <f t="shared" si="1"/>
        <v>variable: pos_z_leading_edge_p0_1 double input description= "Position verticale du bord d'attaque au plan 0.1" units= "m"</v>
      </c>
      <c r="AE64" s="7" t="str">
        <f t="shared" si="2"/>
        <v>X0.Geometry.wingbody</v>
      </c>
      <c r="AF64" s="7" t="str">
        <f t="shared" si="3"/>
        <v>Y02.Geometry.wingbody</v>
      </c>
      <c r="AG64" s="7" t="str">
        <f t="shared" si="4"/>
        <v>Y03.Geometry.wingbody</v>
      </c>
      <c r="AH64" s="7" t="str">
        <f t="shared" si="5"/>
        <v/>
      </c>
      <c r="AI64" s="7" t="str">
        <f t="shared" si="6"/>
        <v/>
      </c>
      <c r="AJ64" s="7" t="str">
        <f t="shared" si="7"/>
        <v/>
      </c>
    </row>
    <row r="65" spans="2:36">
      <c r="B65" s="329"/>
      <c r="C65" s="323"/>
      <c r="D65" s="22" t="s">
        <v>154</v>
      </c>
      <c r="E65" s="23" t="s">
        <v>155</v>
      </c>
      <c r="F65" t="s">
        <v>1052</v>
      </c>
      <c r="G65" t="s">
        <v>1029</v>
      </c>
      <c r="H65" s="249" t="s">
        <v>354</v>
      </c>
      <c r="I65" s="24" t="s">
        <v>13</v>
      </c>
      <c r="J65" s="185" t="s">
        <v>12</v>
      </c>
      <c r="K65" s="184" t="s">
        <v>133</v>
      </c>
      <c r="L65" s="24" t="s">
        <v>575</v>
      </c>
      <c r="M65" s="24" t="s">
        <v>576</v>
      </c>
      <c r="N65" s="24"/>
      <c r="O65" s="24"/>
      <c r="P65" s="185"/>
      <c r="Q65" s="289" t="s">
        <v>864</v>
      </c>
      <c r="R65" s="162">
        <v>50</v>
      </c>
      <c r="S65" s="144" t="s">
        <v>665</v>
      </c>
      <c r="T65" s="25"/>
      <c r="U65" s="7"/>
      <c r="V65" s="239"/>
      <c r="Y65" t="str">
        <f t="shared" si="8"/>
        <v>pos_z_leading_edge_p1</v>
      </c>
      <c r="Z65" t="str">
        <f t="shared" si="9"/>
        <v>double</v>
      </c>
      <c r="AA65" t="str">
        <f t="shared" si="10"/>
        <v>scalaire</v>
      </c>
      <c r="AB65" t="str">
        <f t="shared" si="11"/>
        <v>Position verticale du bord d'attaque au plan 1</v>
      </c>
      <c r="AC65" t="str">
        <f t="shared" si="0"/>
        <v>m</v>
      </c>
      <c r="AD65" s="279" t="str">
        <f t="shared" si="1"/>
        <v>variable: pos_z_leading_edge_p1 double input description= "Position verticale du bord d'attaque au plan 1" units= "m"</v>
      </c>
      <c r="AE65" s="7" t="str">
        <f t="shared" si="2"/>
        <v>X0.Geometry.wingbody</v>
      </c>
      <c r="AF65" s="7" t="str">
        <f t="shared" si="3"/>
        <v>Y02.Geometry.wingbody</v>
      </c>
      <c r="AG65" s="7" t="str">
        <f t="shared" si="4"/>
        <v>Y03.Geometry.wingbody</v>
      </c>
      <c r="AH65" s="7" t="str">
        <f t="shared" si="5"/>
        <v/>
      </c>
      <c r="AI65" s="7" t="str">
        <f t="shared" si="6"/>
        <v/>
      </c>
      <c r="AJ65" s="7" t="str">
        <f t="shared" si="7"/>
        <v/>
      </c>
    </row>
    <row r="66" spans="2:36">
      <c r="B66" s="329"/>
      <c r="C66" s="323"/>
      <c r="D66" s="22" t="s">
        <v>156</v>
      </c>
      <c r="E66" s="23" t="s">
        <v>157</v>
      </c>
      <c r="F66" t="s">
        <v>1052</v>
      </c>
      <c r="G66" t="s">
        <v>1029</v>
      </c>
      <c r="H66" s="249" t="s">
        <v>354</v>
      </c>
      <c r="I66" s="24" t="s">
        <v>13</v>
      </c>
      <c r="J66" s="185" t="s">
        <v>12</v>
      </c>
      <c r="K66" s="184" t="s">
        <v>133</v>
      </c>
      <c r="L66" s="24" t="s">
        <v>575</v>
      </c>
      <c r="M66" s="24" t="s">
        <v>576</v>
      </c>
      <c r="N66" s="24"/>
      <c r="O66" s="24"/>
      <c r="P66" s="185"/>
      <c r="Q66" s="289" t="s">
        <v>865</v>
      </c>
      <c r="R66" s="162">
        <v>51</v>
      </c>
      <c r="S66" s="144" t="s">
        <v>665</v>
      </c>
      <c r="T66" s="25"/>
      <c r="U66" s="7"/>
      <c r="V66" s="239"/>
      <c r="Y66" t="str">
        <f t="shared" si="8"/>
        <v>pos_z_leading_edge_p2</v>
      </c>
      <c r="Z66" t="str">
        <f t="shared" si="9"/>
        <v>double</v>
      </c>
      <c r="AA66" t="str">
        <f t="shared" si="10"/>
        <v>scalaire</v>
      </c>
      <c r="AB66" t="str">
        <f t="shared" si="11"/>
        <v>Position verticale du bord d'attaque au plan 2</v>
      </c>
      <c r="AC66" t="str">
        <f t="shared" si="0"/>
        <v>m</v>
      </c>
      <c r="AD66" s="279" t="str">
        <f t="shared" si="1"/>
        <v>variable: pos_z_leading_edge_p2 double input description= "Position verticale du bord d'attaque au plan 2" units= "m"</v>
      </c>
      <c r="AE66" s="7" t="str">
        <f t="shared" si="2"/>
        <v>X0.Geometry.wingbody</v>
      </c>
      <c r="AF66" s="7" t="str">
        <f t="shared" si="3"/>
        <v>Y02.Geometry.wingbody</v>
      </c>
      <c r="AG66" s="7" t="str">
        <f t="shared" si="4"/>
        <v>Y03.Geometry.wingbody</v>
      </c>
      <c r="AH66" s="7" t="str">
        <f t="shared" si="5"/>
        <v/>
      </c>
      <c r="AI66" s="7" t="str">
        <f t="shared" si="6"/>
        <v/>
      </c>
      <c r="AJ66" s="7" t="str">
        <f t="shared" si="7"/>
        <v/>
      </c>
    </row>
    <row r="67" spans="2:36">
      <c r="B67" s="329"/>
      <c r="C67" s="323"/>
      <c r="D67" s="29" t="s">
        <v>491</v>
      </c>
      <c r="E67" s="30" t="s">
        <v>568</v>
      </c>
      <c r="F67" t="s">
        <v>1052</v>
      </c>
      <c r="G67" t="s">
        <v>1029</v>
      </c>
      <c r="H67" s="251" t="s">
        <v>354</v>
      </c>
      <c r="I67" s="31" t="s">
        <v>13</v>
      </c>
      <c r="J67" s="189" t="s">
        <v>12</v>
      </c>
      <c r="K67" s="188" t="s">
        <v>428</v>
      </c>
      <c r="L67" s="31" t="s">
        <v>576</v>
      </c>
      <c r="M67" s="31"/>
      <c r="N67" s="31"/>
      <c r="O67" s="31"/>
      <c r="P67" s="189"/>
      <c r="Q67" s="289" t="s">
        <v>866</v>
      </c>
      <c r="R67" s="162">
        <v>52</v>
      </c>
      <c r="S67" s="144" t="s">
        <v>665</v>
      </c>
      <c r="T67" s="25"/>
      <c r="U67" s="7"/>
      <c r="V67" s="239"/>
      <c r="Y67" t="str">
        <f t="shared" si="8"/>
        <v>pos_z_leading_edge_p2_1</v>
      </c>
      <c r="Z67" t="str">
        <f t="shared" si="9"/>
        <v>double</v>
      </c>
      <c r="AA67" t="str">
        <f t="shared" si="10"/>
        <v>scalaire</v>
      </c>
      <c r="AB67" t="str">
        <f t="shared" si="11"/>
        <v>Position verticale du bord d'attaque au plan 2.1</v>
      </c>
      <c r="AC67" t="str">
        <f t="shared" si="0"/>
        <v>m</v>
      </c>
      <c r="AD67" s="279" t="str">
        <f t="shared" si="1"/>
        <v>variable: pos_z_leading_edge_p2_1 double input description= "Position verticale du bord d'attaque au plan 2.1" units= "m"</v>
      </c>
      <c r="AE67" s="7" t="str">
        <f t="shared" si="2"/>
        <v>Y02.Geometry.wingbody</v>
      </c>
      <c r="AF67" s="7" t="str">
        <f t="shared" si="3"/>
        <v>Y03.Geometry.wingbody</v>
      </c>
      <c r="AG67" s="7" t="str">
        <f t="shared" si="4"/>
        <v/>
      </c>
      <c r="AH67" s="7" t="str">
        <f t="shared" si="5"/>
        <v/>
      </c>
      <c r="AI67" s="7" t="str">
        <f t="shared" si="6"/>
        <v/>
      </c>
      <c r="AJ67" s="7" t="str">
        <f t="shared" si="7"/>
        <v/>
      </c>
    </row>
    <row r="68" spans="2:36">
      <c r="B68" s="329"/>
      <c r="C68" s="323"/>
      <c r="D68" s="22" t="s">
        <v>158</v>
      </c>
      <c r="E68" s="23" t="s">
        <v>159</v>
      </c>
      <c r="F68" t="s">
        <v>1052</v>
      </c>
      <c r="G68" t="s">
        <v>1029</v>
      </c>
      <c r="H68" s="249" t="s">
        <v>354</v>
      </c>
      <c r="I68" s="24" t="s">
        <v>13</v>
      </c>
      <c r="J68" s="185" t="s">
        <v>12</v>
      </c>
      <c r="K68" s="184" t="s">
        <v>428</v>
      </c>
      <c r="L68" s="24" t="s">
        <v>576</v>
      </c>
      <c r="M68" s="24"/>
      <c r="N68" s="24"/>
      <c r="O68" s="24"/>
      <c r="P68" s="185"/>
      <c r="Q68" s="289" t="s">
        <v>867</v>
      </c>
      <c r="R68" s="162">
        <v>53</v>
      </c>
      <c r="S68" s="144" t="s">
        <v>665</v>
      </c>
      <c r="T68" s="25"/>
      <c r="U68" s="7"/>
      <c r="V68" s="239"/>
      <c r="Y68" t="str">
        <f t="shared" si="8"/>
        <v>pos_z_leading_edge_p3</v>
      </c>
      <c r="Z68" t="str">
        <f t="shared" si="9"/>
        <v>double</v>
      </c>
      <c r="AA68" t="str">
        <f t="shared" si="10"/>
        <v>scalaire</v>
      </c>
      <c r="AB68" t="str">
        <f t="shared" si="11"/>
        <v>Position verticale du bord d'attaque au plan 3</v>
      </c>
      <c r="AC68" t="str">
        <f t="shared" si="0"/>
        <v>m</v>
      </c>
      <c r="AD68" s="279" t="str">
        <f t="shared" si="1"/>
        <v>variable: pos_z_leading_edge_p3 double input description= "Position verticale du bord d'attaque au plan 3" units= "m"</v>
      </c>
      <c r="AE68" s="7" t="str">
        <f t="shared" si="2"/>
        <v>Y02.Geometry.wingbody</v>
      </c>
      <c r="AF68" s="7" t="str">
        <f t="shared" si="3"/>
        <v>Y03.Geometry.wingbody</v>
      </c>
      <c r="AG68" s="7" t="str">
        <f t="shared" si="4"/>
        <v/>
      </c>
      <c r="AH68" s="7" t="str">
        <f t="shared" si="5"/>
        <v/>
      </c>
      <c r="AI68" s="7" t="str">
        <f t="shared" si="6"/>
        <v/>
      </c>
      <c r="AJ68" s="7" t="str">
        <f t="shared" si="7"/>
        <v/>
      </c>
    </row>
    <row r="69" spans="2:36">
      <c r="B69" s="329"/>
      <c r="C69" s="324"/>
      <c r="D69" s="22" t="s">
        <v>161</v>
      </c>
      <c r="E69" s="23" t="s">
        <v>82</v>
      </c>
      <c r="F69" t="s">
        <v>1052</v>
      </c>
      <c r="G69" t="s">
        <v>1029</v>
      </c>
      <c r="H69" s="249" t="s">
        <v>354</v>
      </c>
      <c r="I69" s="24" t="s">
        <v>13</v>
      </c>
      <c r="J69" s="185" t="s">
        <v>12</v>
      </c>
      <c r="K69" s="184" t="s">
        <v>133</v>
      </c>
      <c r="L69" s="24" t="s">
        <v>575</v>
      </c>
      <c r="M69" s="24" t="s">
        <v>576</v>
      </c>
      <c r="N69" s="24"/>
      <c r="O69" s="24"/>
      <c r="P69" s="185"/>
      <c r="Q69" s="289" t="s">
        <v>840</v>
      </c>
      <c r="R69" s="162">
        <v>54</v>
      </c>
      <c r="S69" s="144" t="s">
        <v>665</v>
      </c>
      <c r="T69" s="25"/>
      <c r="U69" s="7"/>
      <c r="V69" s="239"/>
      <c r="Y69" t="str">
        <f t="shared" si="8"/>
        <v>nose_curavture_radius</v>
      </c>
      <c r="Z69" t="str">
        <f t="shared" si="9"/>
        <v>double</v>
      </c>
      <c r="AA69" t="str">
        <f t="shared" si="10"/>
        <v>scalaire</v>
      </c>
      <c r="AB69" t="str">
        <f t="shared" si="11"/>
        <v>Rayon de courbure du nez de l'avion</v>
      </c>
      <c r="AC69" t="str">
        <f t="shared" si="0"/>
        <v>m</v>
      </c>
      <c r="AD69" s="279" t="str">
        <f t="shared" si="1"/>
        <v>variable: nose_curavture_radius double input description= "Rayon de courbure du nez de l'avion" units= "m"</v>
      </c>
      <c r="AE69" s="7" t="str">
        <f t="shared" si="2"/>
        <v>X0.Geometry.wingbody</v>
      </c>
      <c r="AF69" s="7" t="str">
        <f t="shared" si="3"/>
        <v>Y02.Geometry.wingbody</v>
      </c>
      <c r="AG69" s="7" t="str">
        <f t="shared" si="4"/>
        <v>Y03.Geometry.wingbody</v>
      </c>
      <c r="AH69" s="7" t="str">
        <f t="shared" si="5"/>
        <v/>
      </c>
      <c r="AI69" s="7" t="str">
        <f t="shared" si="6"/>
        <v/>
      </c>
      <c r="AJ69" s="7" t="str">
        <f t="shared" si="7"/>
        <v/>
      </c>
    </row>
    <row r="70" spans="2:36">
      <c r="B70" s="329"/>
      <c r="C70" s="322" t="s">
        <v>21</v>
      </c>
      <c r="D70" s="22" t="s">
        <v>22</v>
      </c>
      <c r="E70" s="23" t="s">
        <v>23</v>
      </c>
      <c r="F70" t="s">
        <v>1052</v>
      </c>
      <c r="G70" t="s">
        <v>1046</v>
      </c>
      <c r="H70" s="249" t="s">
        <v>354</v>
      </c>
      <c r="I70" s="24" t="s">
        <v>13</v>
      </c>
      <c r="J70" s="185" t="s">
        <v>12</v>
      </c>
      <c r="K70" s="184" t="s">
        <v>14</v>
      </c>
      <c r="L70" s="24"/>
      <c r="M70" s="24"/>
      <c r="N70" s="24"/>
      <c r="O70" s="24"/>
      <c r="P70" s="185"/>
      <c r="Q70" s="289" t="s">
        <v>845</v>
      </c>
      <c r="R70" s="162">
        <v>55</v>
      </c>
      <c r="S70" s="144" t="s">
        <v>665</v>
      </c>
      <c r="T70" s="25"/>
      <c r="U70" s="7"/>
      <c r="V70" s="239"/>
      <c r="Y70" t="str">
        <f t="shared" si="8"/>
        <v>cockpit_length</v>
      </c>
      <c r="Z70" t="str">
        <f t="shared" si="9"/>
        <v>double</v>
      </c>
      <c r="AA70" t="str">
        <f t="shared" si="10"/>
        <v>scalaire</v>
      </c>
      <c r="AB70" t="str">
        <f t="shared" si="11"/>
        <v>Longueur du cockpit</v>
      </c>
      <c r="AC70" t="str">
        <f t="shared" si="0"/>
        <v>m</v>
      </c>
      <c r="AD70" s="279" t="str">
        <f t="shared" si="1"/>
        <v>variable: cockpit_length double input description= "Longueur du cockpit" units= "m"</v>
      </c>
      <c r="AE70" s="7" t="str">
        <f t="shared" si="2"/>
        <v>Y03.Geometry.cabin</v>
      </c>
      <c r="AF70" s="7" t="str">
        <f t="shared" si="3"/>
        <v/>
      </c>
      <c r="AG70" s="7" t="str">
        <f t="shared" si="4"/>
        <v/>
      </c>
      <c r="AH70" s="7" t="str">
        <f t="shared" si="5"/>
        <v/>
      </c>
      <c r="AI70" s="7" t="str">
        <f t="shared" si="6"/>
        <v/>
      </c>
      <c r="AJ70" s="7" t="str">
        <f t="shared" si="7"/>
        <v/>
      </c>
    </row>
    <row r="71" spans="2:36">
      <c r="B71" s="329"/>
      <c r="C71" s="323"/>
      <c r="D71" s="22" t="s">
        <v>26</v>
      </c>
      <c r="E71" s="23" t="s">
        <v>28</v>
      </c>
      <c r="F71" t="s">
        <v>1052</v>
      </c>
      <c r="G71" t="s">
        <v>1046</v>
      </c>
      <c r="H71" s="249" t="s">
        <v>354</v>
      </c>
      <c r="I71" s="24" t="s">
        <v>13</v>
      </c>
      <c r="J71" s="185" t="s">
        <v>12</v>
      </c>
      <c r="K71" s="184" t="s">
        <v>14</v>
      </c>
      <c r="L71" s="24"/>
      <c r="M71" s="24"/>
      <c r="N71" s="24"/>
      <c r="O71" s="24"/>
      <c r="P71" s="185"/>
      <c r="Q71" s="289" t="s">
        <v>846</v>
      </c>
      <c r="R71" s="162">
        <v>56</v>
      </c>
      <c r="S71" s="144" t="s">
        <v>665</v>
      </c>
      <c r="T71" s="25"/>
      <c r="U71" s="7"/>
      <c r="V71" s="239"/>
      <c r="Y71" t="str">
        <f t="shared" si="8"/>
        <v>back_rect_cabin_length</v>
      </c>
      <c r="Z71" t="str">
        <f t="shared" si="9"/>
        <v>double</v>
      </c>
      <c r="AA71" t="str">
        <f t="shared" si="10"/>
        <v>scalaire</v>
      </c>
      <c r="AB71" t="str">
        <f t="shared" si="11"/>
        <v>Longueur de la zone rectangulaire arrière de la cabine</v>
      </c>
      <c r="AC71" t="str">
        <f t="shared" si="0"/>
        <v>m</v>
      </c>
      <c r="AD71" s="279" t="str">
        <f t="shared" si="1"/>
        <v>variable: back_rect_cabin_length double input description= "Longueur de la zone rectangulaire arrière de la cabine" units= "m"</v>
      </c>
      <c r="AE71" s="7" t="str">
        <f t="shared" si="2"/>
        <v>Y03.Geometry.cabin</v>
      </c>
      <c r="AF71" s="7" t="str">
        <f t="shared" si="3"/>
        <v/>
      </c>
      <c r="AG71" s="7" t="str">
        <f t="shared" si="4"/>
        <v/>
      </c>
      <c r="AH71" s="7" t="str">
        <f t="shared" si="5"/>
        <v/>
      </c>
      <c r="AI71" s="7" t="str">
        <f t="shared" si="6"/>
        <v/>
      </c>
      <c r="AJ71" s="7" t="str">
        <f t="shared" si="7"/>
        <v/>
      </c>
    </row>
    <row r="72" spans="2:36">
      <c r="B72" s="329"/>
      <c r="C72" s="323"/>
      <c r="D72" s="22" t="s">
        <v>25</v>
      </c>
      <c r="E72" s="23" t="s">
        <v>27</v>
      </c>
      <c r="F72" t="s">
        <v>1052</v>
      </c>
      <c r="G72" t="s">
        <v>1046</v>
      </c>
      <c r="H72" s="249" t="s">
        <v>354</v>
      </c>
      <c r="I72" s="24" t="s">
        <v>13</v>
      </c>
      <c r="J72" s="185" t="s">
        <v>12</v>
      </c>
      <c r="K72" s="184" t="s">
        <v>14</v>
      </c>
      <c r="L72" s="24"/>
      <c r="M72" s="24"/>
      <c r="N72" s="24"/>
      <c r="O72" s="24"/>
      <c r="P72" s="185"/>
      <c r="Q72" s="289" t="s">
        <v>847</v>
      </c>
      <c r="R72" s="162">
        <v>57</v>
      </c>
      <c r="S72" s="144" t="s">
        <v>665</v>
      </c>
      <c r="T72" s="25"/>
      <c r="U72" s="7"/>
      <c r="V72" s="239"/>
      <c r="Y72" t="str">
        <f t="shared" si="8"/>
        <v>front_triang_cabin_length</v>
      </c>
      <c r="Z72" t="str">
        <f t="shared" si="9"/>
        <v>double</v>
      </c>
      <c r="AA72" t="str">
        <f t="shared" si="10"/>
        <v>scalaire</v>
      </c>
      <c r="AB72" t="str">
        <f t="shared" si="11"/>
        <v>Longueur de la zone triangulaire avant de la cabine</v>
      </c>
      <c r="AC72" t="str">
        <f t="shared" si="0"/>
        <v>m</v>
      </c>
      <c r="AD72" s="279" t="str">
        <f t="shared" si="1"/>
        <v>variable: front_triang_cabin_length double input description= "Longueur de la zone triangulaire avant de la cabine" units= "m"</v>
      </c>
      <c r="AE72" s="7" t="str">
        <f t="shared" si="2"/>
        <v>Y03.Geometry.cabin</v>
      </c>
      <c r="AF72" s="7" t="str">
        <f t="shared" si="3"/>
        <v/>
      </c>
      <c r="AG72" s="7" t="str">
        <f t="shared" si="4"/>
        <v/>
      </c>
      <c r="AH72" s="7" t="str">
        <f t="shared" si="5"/>
        <v/>
      </c>
      <c r="AI72" s="7" t="str">
        <f t="shared" si="6"/>
        <v/>
      </c>
      <c r="AJ72" s="7" t="str">
        <f t="shared" si="7"/>
        <v/>
      </c>
    </row>
    <row r="73" spans="2:36">
      <c r="B73" s="329"/>
      <c r="C73" s="323"/>
      <c r="D73" s="29" t="s">
        <v>537</v>
      </c>
      <c r="E73" s="30" t="s">
        <v>538</v>
      </c>
      <c r="F73" t="s">
        <v>1052</v>
      </c>
      <c r="G73" t="s">
        <v>1046</v>
      </c>
      <c r="H73" s="251" t="s">
        <v>354</v>
      </c>
      <c r="I73" s="31" t="s">
        <v>13</v>
      </c>
      <c r="J73" s="189" t="s">
        <v>12</v>
      </c>
      <c r="K73" s="188" t="s">
        <v>14</v>
      </c>
      <c r="L73" s="31"/>
      <c r="M73" s="31"/>
      <c r="N73" s="31"/>
      <c r="O73" s="31"/>
      <c r="P73" s="189"/>
      <c r="Q73" s="289" t="s">
        <v>848</v>
      </c>
      <c r="R73" s="162">
        <v>58</v>
      </c>
      <c r="S73" s="144" t="s">
        <v>665</v>
      </c>
      <c r="T73" s="25"/>
      <c r="U73" s="7"/>
      <c r="V73" s="239"/>
      <c r="Y73" t="str">
        <f t="shared" si="8"/>
        <v>fuselage_back_p0_length</v>
      </c>
      <c r="Z73" t="str">
        <f t="shared" si="9"/>
        <v>double</v>
      </c>
      <c r="AA73" t="str">
        <f t="shared" si="10"/>
        <v>scalaire</v>
      </c>
      <c r="AB73" t="str">
        <f t="shared" si="11"/>
        <v>Longueur de la zone arrière du corps central au plan 0</v>
      </c>
      <c r="AC73" t="str">
        <f t="shared" si="0"/>
        <v>m</v>
      </c>
      <c r="AD73" s="279" t="str">
        <f t="shared" si="1"/>
        <v>variable: fuselage_back_p0_length double input description= "Longueur de la zone arrière du corps central au plan 0" units= "m"</v>
      </c>
      <c r="AE73" s="7" t="str">
        <f t="shared" si="2"/>
        <v>Y03.Geometry.cabin</v>
      </c>
      <c r="AF73" s="7" t="str">
        <f t="shared" si="3"/>
        <v/>
      </c>
      <c r="AG73" s="7" t="str">
        <f t="shared" si="4"/>
        <v/>
      </c>
      <c r="AH73" s="7" t="str">
        <f t="shared" si="5"/>
        <v/>
      </c>
      <c r="AI73" s="7" t="str">
        <f t="shared" si="6"/>
        <v/>
      </c>
      <c r="AJ73" s="7" t="str">
        <f t="shared" si="7"/>
        <v/>
      </c>
    </row>
    <row r="74" spans="2:36">
      <c r="B74" s="329"/>
      <c r="C74" s="323"/>
      <c r="D74" s="29" t="s">
        <v>511</v>
      </c>
      <c r="E74" s="30" t="s">
        <v>512</v>
      </c>
      <c r="F74" t="s">
        <v>1052</v>
      </c>
      <c r="G74" t="s">
        <v>1046</v>
      </c>
      <c r="H74" s="251" t="s">
        <v>354</v>
      </c>
      <c r="I74" s="31" t="s">
        <v>13</v>
      </c>
      <c r="J74" s="189" t="s">
        <v>12</v>
      </c>
      <c r="K74" s="188" t="s">
        <v>14</v>
      </c>
      <c r="L74" s="31"/>
      <c r="M74" s="31"/>
      <c r="N74" s="31"/>
      <c r="O74" s="31"/>
      <c r="P74" s="189"/>
      <c r="Q74" s="289" t="s">
        <v>849</v>
      </c>
      <c r="R74" s="162">
        <v>59</v>
      </c>
      <c r="S74" s="144" t="s">
        <v>665</v>
      </c>
      <c r="T74" s="25"/>
      <c r="U74" s="7"/>
      <c r="V74" s="239"/>
      <c r="Y74" t="str">
        <f t="shared" si="8"/>
        <v>fuselage_back_p0_1_length</v>
      </c>
      <c r="Z74" t="str">
        <f t="shared" si="9"/>
        <v>double</v>
      </c>
      <c r="AA74" t="str">
        <f t="shared" si="10"/>
        <v>scalaire</v>
      </c>
      <c r="AB74" t="str">
        <f t="shared" si="11"/>
        <v>Longueur de la zone arrière du corps central au plan 0.1</v>
      </c>
      <c r="AC74" t="str">
        <f t="shared" si="0"/>
        <v>m</v>
      </c>
      <c r="AD74" s="279" t="str">
        <f t="shared" si="1"/>
        <v>variable: fuselage_back_p0_1_length double input description= "Longueur de la zone arrière du corps central au plan 0.1" units= "m"</v>
      </c>
      <c r="AE74" s="7" t="str">
        <f t="shared" si="2"/>
        <v>Y03.Geometry.cabin</v>
      </c>
      <c r="AF74" s="7" t="str">
        <f t="shared" si="3"/>
        <v/>
      </c>
      <c r="AG74" s="7" t="str">
        <f t="shared" si="4"/>
        <v/>
      </c>
      <c r="AH74" s="7" t="str">
        <f t="shared" si="5"/>
        <v/>
      </c>
      <c r="AI74" s="7" t="str">
        <f t="shared" si="6"/>
        <v/>
      </c>
      <c r="AJ74" s="7" t="str">
        <f t="shared" si="7"/>
        <v/>
      </c>
    </row>
    <row r="75" spans="2:36" ht="15">
      <c r="B75" s="329"/>
      <c r="C75" s="323"/>
      <c r="D75" s="22" t="s">
        <v>45</v>
      </c>
      <c r="E75" s="23" t="s">
        <v>46</v>
      </c>
      <c r="F75" t="s">
        <v>1052</v>
      </c>
      <c r="G75" t="s">
        <v>1046</v>
      </c>
      <c r="H75" s="249" t="s">
        <v>354</v>
      </c>
      <c r="I75" s="24" t="s">
        <v>13</v>
      </c>
      <c r="J75" s="185" t="s">
        <v>12</v>
      </c>
      <c r="K75" s="184" t="s">
        <v>14</v>
      </c>
      <c r="L75" s="24"/>
      <c r="M75" s="24"/>
      <c r="N75" s="24"/>
      <c r="O75" s="24"/>
      <c r="P75" s="185"/>
      <c r="Q75" s="287" t="s">
        <v>851</v>
      </c>
      <c r="R75" s="162">
        <v>60</v>
      </c>
      <c r="S75" s="144" t="s">
        <v>665</v>
      </c>
      <c r="T75" s="25"/>
      <c r="U75" s="7"/>
      <c r="V75" s="239"/>
      <c r="Y75" t="str">
        <f t="shared" si="8"/>
        <v>pos_internal_partition_leading_edge</v>
      </c>
      <c r="Z75" t="str">
        <f t="shared" si="9"/>
        <v>double</v>
      </c>
      <c r="AA75" t="str">
        <f t="shared" si="10"/>
        <v>scalaire</v>
      </c>
      <c r="AB75" t="str">
        <f t="shared" si="11"/>
        <v>Position longitudinale du bord d'attaque de la cloison interne</v>
      </c>
      <c r="AC75" t="str">
        <f t="shared" si="0"/>
        <v>m</v>
      </c>
      <c r="AD75" s="279" t="str">
        <f t="shared" si="1"/>
        <v>variable: pos_internal_partition_leading_edge double input description= "Position longitudinale du bord d'attaque de la cloison interne" units= "m"</v>
      </c>
      <c r="AE75" s="7" t="str">
        <f t="shared" si="2"/>
        <v>Y03.Geometry.cabin</v>
      </c>
      <c r="AF75" s="7" t="str">
        <f t="shared" si="3"/>
        <v/>
      </c>
      <c r="AG75" s="7" t="str">
        <f t="shared" si="4"/>
        <v/>
      </c>
      <c r="AH75" s="7" t="str">
        <f t="shared" si="5"/>
        <v/>
      </c>
      <c r="AI75" s="7" t="str">
        <f t="shared" si="6"/>
        <v/>
      </c>
      <c r="AJ75" s="7" t="str">
        <f t="shared" si="7"/>
        <v/>
      </c>
    </row>
    <row r="76" spans="2:36">
      <c r="B76" s="329"/>
      <c r="C76" s="323"/>
      <c r="D76" s="22" t="s">
        <v>43</v>
      </c>
      <c r="E76" s="23" t="s">
        <v>44</v>
      </c>
      <c r="F76" t="s">
        <v>1052</v>
      </c>
      <c r="G76" t="s">
        <v>1046</v>
      </c>
      <c r="H76" s="249" t="s">
        <v>354</v>
      </c>
      <c r="I76" s="24" t="s">
        <v>13</v>
      </c>
      <c r="J76" s="185" t="s">
        <v>12</v>
      </c>
      <c r="K76" s="184" t="s">
        <v>14</v>
      </c>
      <c r="L76" s="24"/>
      <c r="M76" s="24"/>
      <c r="N76" s="24"/>
      <c r="O76" s="24"/>
      <c r="P76" s="185"/>
      <c r="Q76" s="289" t="s">
        <v>850</v>
      </c>
      <c r="R76" s="162">
        <v>61</v>
      </c>
      <c r="S76" s="144" t="s">
        <v>665</v>
      </c>
      <c r="T76" s="25"/>
      <c r="U76" s="7"/>
      <c r="V76" s="239"/>
      <c r="Y76" t="str">
        <f t="shared" si="8"/>
        <v>cockpit_width</v>
      </c>
      <c r="Z76" t="str">
        <f t="shared" si="9"/>
        <v>double</v>
      </c>
      <c r="AA76" t="str">
        <f t="shared" si="10"/>
        <v>scalaire</v>
      </c>
      <c r="AB76" t="str">
        <f t="shared" si="11"/>
        <v>Largeur du cockpit</v>
      </c>
      <c r="AC76" t="str">
        <f t="shared" si="0"/>
        <v>m</v>
      </c>
      <c r="AD76" s="279" t="str">
        <f t="shared" si="1"/>
        <v>variable: cockpit_width double input description= "Largeur du cockpit" units= "m"</v>
      </c>
      <c r="AE76" s="7" t="str">
        <f t="shared" si="2"/>
        <v>Y03.Geometry.cabin</v>
      </c>
      <c r="AF76" s="7" t="str">
        <f t="shared" si="3"/>
        <v/>
      </c>
      <c r="AG76" s="7" t="str">
        <f t="shared" si="4"/>
        <v/>
      </c>
      <c r="AH76" s="7" t="str">
        <f t="shared" si="5"/>
        <v/>
      </c>
      <c r="AI76" s="7" t="str">
        <f t="shared" si="6"/>
        <v/>
      </c>
      <c r="AJ76" s="7" t="str">
        <f t="shared" si="7"/>
        <v/>
      </c>
    </row>
    <row r="77" spans="2:36">
      <c r="B77" s="329"/>
      <c r="C77" s="323"/>
      <c r="D77" s="22" t="s">
        <v>29</v>
      </c>
      <c r="E77" s="23" t="s">
        <v>30</v>
      </c>
      <c r="F77" t="s">
        <v>1052</v>
      </c>
      <c r="G77" t="s">
        <v>1046</v>
      </c>
      <c r="H77" s="249" t="s">
        <v>354</v>
      </c>
      <c r="I77" s="24" t="s">
        <v>13</v>
      </c>
      <c r="J77" s="185" t="s">
        <v>12</v>
      </c>
      <c r="K77" s="184" t="s">
        <v>14</v>
      </c>
      <c r="L77" s="24"/>
      <c r="M77" s="24"/>
      <c r="N77" s="24"/>
      <c r="O77" s="24"/>
      <c r="P77" s="185"/>
      <c r="Q77" s="289" t="s">
        <v>868</v>
      </c>
      <c r="R77" s="162">
        <v>62</v>
      </c>
      <c r="S77" s="144" t="s">
        <v>665</v>
      </c>
      <c r="T77" s="25"/>
      <c r="U77" s="7"/>
      <c r="V77" s="239"/>
      <c r="Y77" t="str">
        <f t="shared" si="8"/>
        <v>py_internal_partition</v>
      </c>
      <c r="Z77" t="str">
        <f t="shared" si="9"/>
        <v>double</v>
      </c>
      <c r="AA77" t="str">
        <f t="shared" si="10"/>
        <v>scalaire</v>
      </c>
      <c r="AB77" t="str">
        <f t="shared" si="11"/>
        <v>Position latérale de la cloison interne</v>
      </c>
      <c r="AC77" t="str">
        <f t="shared" si="0"/>
        <v>m</v>
      </c>
      <c r="AD77" s="279" t="str">
        <f t="shared" si="1"/>
        <v>variable: py_internal_partition double input description= "Position latérale de la cloison interne" units= "m"</v>
      </c>
      <c r="AE77" s="7" t="str">
        <f t="shared" si="2"/>
        <v>Y03.Geometry.cabin</v>
      </c>
      <c r="AF77" s="7" t="str">
        <f t="shared" si="3"/>
        <v/>
      </c>
      <c r="AG77" s="7" t="str">
        <f t="shared" si="4"/>
        <v/>
      </c>
      <c r="AH77" s="7" t="str">
        <f t="shared" si="5"/>
        <v/>
      </c>
      <c r="AI77" s="7" t="str">
        <f t="shared" si="6"/>
        <v/>
      </c>
      <c r="AJ77" s="7" t="str">
        <f t="shared" si="7"/>
        <v/>
      </c>
    </row>
    <row r="78" spans="2:36">
      <c r="B78" s="329"/>
      <c r="C78" s="323"/>
      <c r="D78" s="22" t="s">
        <v>31</v>
      </c>
      <c r="E78" s="23" t="s">
        <v>39</v>
      </c>
      <c r="F78" t="s">
        <v>1052</v>
      </c>
      <c r="G78" t="s">
        <v>1046</v>
      </c>
      <c r="H78" s="249" t="s">
        <v>354</v>
      </c>
      <c r="I78" s="24" t="s">
        <v>13</v>
      </c>
      <c r="J78" s="185" t="s">
        <v>12</v>
      </c>
      <c r="K78" s="184" t="s">
        <v>14</v>
      </c>
      <c r="L78" s="24"/>
      <c r="M78" s="24"/>
      <c r="N78" s="24"/>
      <c r="O78" s="24"/>
      <c r="P78" s="185"/>
      <c r="Q78" s="289" t="s">
        <v>869</v>
      </c>
      <c r="R78" s="162">
        <v>63</v>
      </c>
      <c r="S78" s="144" t="s">
        <v>665</v>
      </c>
      <c r="T78" s="25"/>
      <c r="U78" s="7"/>
      <c r="V78" s="239"/>
      <c r="Y78" t="str">
        <f t="shared" si="8"/>
        <v>internal_partition_tickness</v>
      </c>
      <c r="Z78" t="str">
        <f t="shared" si="9"/>
        <v>double</v>
      </c>
      <c r="AA78" t="str">
        <f t="shared" si="10"/>
        <v>scalaire</v>
      </c>
      <c r="AB78" t="str">
        <f t="shared" si="11"/>
        <v>Epaisseur d'une cloison interne</v>
      </c>
      <c r="AC78" t="str">
        <f t="shared" si="0"/>
        <v>m</v>
      </c>
      <c r="AD78" s="279" t="str">
        <f t="shared" si="1"/>
        <v>variable: internal_partition_tickness double input description= "Epaisseur d'une cloison interne" units= "m"</v>
      </c>
      <c r="AE78" s="7" t="str">
        <f t="shared" si="2"/>
        <v>Y03.Geometry.cabin</v>
      </c>
      <c r="AF78" s="7" t="str">
        <f t="shared" si="3"/>
        <v/>
      </c>
      <c r="AG78" s="7" t="str">
        <f t="shared" si="4"/>
        <v/>
      </c>
      <c r="AH78" s="7" t="str">
        <f t="shared" si="5"/>
        <v/>
      </c>
      <c r="AI78" s="7" t="str">
        <f t="shared" si="6"/>
        <v/>
      </c>
      <c r="AJ78" s="7" t="str">
        <f t="shared" si="7"/>
        <v/>
      </c>
    </row>
    <row r="79" spans="2:36">
      <c r="B79" s="329"/>
      <c r="C79" s="323"/>
      <c r="D79" s="22" t="s">
        <v>84</v>
      </c>
      <c r="E79" s="23" t="s">
        <v>24</v>
      </c>
      <c r="F79" t="s">
        <v>1052</v>
      </c>
      <c r="G79" t="s">
        <v>1046</v>
      </c>
      <c r="H79" s="249" t="s">
        <v>354</v>
      </c>
      <c r="I79" s="24" t="s">
        <v>13</v>
      </c>
      <c r="J79" s="185" t="s">
        <v>12</v>
      </c>
      <c r="K79" s="184" t="s">
        <v>14</v>
      </c>
      <c r="L79" s="24"/>
      <c r="M79" s="24"/>
      <c r="N79" s="24"/>
      <c r="O79" s="24"/>
      <c r="P79" s="185"/>
      <c r="Q79" s="289" t="s">
        <v>870</v>
      </c>
      <c r="R79" s="162">
        <v>64</v>
      </c>
      <c r="S79" s="144" t="s">
        <v>665</v>
      </c>
      <c r="T79" s="25"/>
      <c r="U79" s="7"/>
      <c r="V79" s="239"/>
      <c r="Y79" t="str">
        <f t="shared" si="8"/>
        <v>bulkhead_thickness</v>
      </c>
      <c r="Z79" t="str">
        <f t="shared" si="9"/>
        <v>double</v>
      </c>
      <c r="AA79" t="str">
        <f t="shared" si="10"/>
        <v>scalaire</v>
      </c>
      <c r="AB79" t="str">
        <f t="shared" si="11"/>
        <v>Epaisseur de la paroi cabine (bulkhead)</v>
      </c>
      <c r="AC79" t="str">
        <f t="shared" si="0"/>
        <v>m</v>
      </c>
      <c r="AD79" s="279" t="str">
        <f t="shared" si="1"/>
        <v>variable: bulkhead_thickness double input description= "Epaisseur de la paroi cabine (bulkhead)" units= "m"</v>
      </c>
      <c r="AE79" s="7" t="str">
        <f t="shared" si="2"/>
        <v>Y03.Geometry.cabin</v>
      </c>
      <c r="AF79" s="7" t="str">
        <f t="shared" si="3"/>
        <v/>
      </c>
      <c r="AG79" s="7" t="str">
        <f t="shared" si="4"/>
        <v/>
      </c>
      <c r="AH79" s="7" t="str">
        <f t="shared" si="5"/>
        <v/>
      </c>
      <c r="AI79" s="7" t="str">
        <f t="shared" si="6"/>
        <v/>
      </c>
      <c r="AJ79" s="7" t="str">
        <f t="shared" si="7"/>
        <v/>
      </c>
    </row>
    <row r="80" spans="2:36">
      <c r="B80" s="329"/>
      <c r="C80" s="323"/>
      <c r="D80" s="22" t="s">
        <v>32</v>
      </c>
      <c r="E80" s="23" t="s">
        <v>33</v>
      </c>
      <c r="F80" t="s">
        <v>1052</v>
      </c>
      <c r="G80" t="s">
        <v>1046</v>
      </c>
      <c r="H80" s="249" t="s">
        <v>354</v>
      </c>
      <c r="I80" s="24" t="s">
        <v>13</v>
      </c>
      <c r="J80" s="185" t="s">
        <v>12</v>
      </c>
      <c r="K80" s="184" t="s">
        <v>14</v>
      </c>
      <c r="L80" s="24"/>
      <c r="M80" s="24"/>
      <c r="N80" s="24"/>
      <c r="O80" s="24"/>
      <c r="P80" s="185"/>
      <c r="Q80" s="289" t="s">
        <v>871</v>
      </c>
      <c r="R80" s="162">
        <v>65</v>
      </c>
      <c r="S80" s="144" t="s">
        <v>665</v>
      </c>
      <c r="T80" s="25"/>
      <c r="U80" s="7"/>
      <c r="V80" s="239"/>
      <c r="Y80" t="str">
        <f t="shared" si="8"/>
        <v>cabin_height</v>
      </c>
      <c r="Z80" t="str">
        <f t="shared" si="9"/>
        <v>double</v>
      </c>
      <c r="AA80" t="str">
        <f t="shared" si="10"/>
        <v>scalaire</v>
      </c>
      <c r="AB80" t="str">
        <f t="shared" si="11"/>
        <v>Hauteur de la cabine</v>
      </c>
      <c r="AC80" t="str">
        <f t="shared" ref="AC80:AC143" si="12">J80</f>
        <v>m</v>
      </c>
      <c r="AD80" s="279" t="str">
        <f t="shared" ref="AD80:AD143" si="13">CONCATENATE(IF(S80="oui","#",""),"variable: ",Y80," ",Z80," input ","description= """,AB80,""" units= """,AC80,"""")</f>
        <v>variable: cabin_height double input description= "Hauteur de la cabine" units= "m"</v>
      </c>
      <c r="AE80" s="7" t="str">
        <f t="shared" ref="AE80:AE143" si="14">CONCATENER_MODELCENTER(K80,$F80,$G80)</f>
        <v>Y03.Geometry.cabin</v>
      </c>
      <c r="AF80" s="7" t="str">
        <f t="shared" ref="AF80:AF143" si="15">CONCATENER_MODELCENTER(L80,$F80,$G80)</f>
        <v/>
      </c>
      <c r="AG80" s="7" t="str">
        <f t="shared" ref="AG80:AG143" si="16">CONCATENER_MODELCENTER(M80,$F80,$G80)</f>
        <v/>
      </c>
      <c r="AH80" s="7" t="str">
        <f t="shared" ref="AH80:AH143" si="17">CONCATENER_MODELCENTER(N80,$F80,$G80)</f>
        <v/>
      </c>
      <c r="AI80" s="7" t="str">
        <f t="shared" ref="AI80:AI143" si="18">CONCATENER_MODELCENTER(O80,$F80,$G80)</f>
        <v/>
      </c>
      <c r="AJ80" s="7" t="str">
        <f t="shared" ref="AJ80:AJ143" si="19">CONCATENER_MODELCENTER(P80,$F80,$G80)</f>
        <v/>
      </c>
    </row>
    <row r="81" spans="2:36">
      <c r="B81" s="329"/>
      <c r="C81" s="323"/>
      <c r="D81" s="22" t="s">
        <v>40</v>
      </c>
      <c r="E81" s="23" t="s">
        <v>41</v>
      </c>
      <c r="F81" t="s">
        <v>1052</v>
      </c>
      <c r="G81" t="s">
        <v>1046</v>
      </c>
      <c r="H81" s="249" t="s">
        <v>354</v>
      </c>
      <c r="I81" s="24" t="s">
        <v>13</v>
      </c>
      <c r="J81" s="185" t="s">
        <v>12</v>
      </c>
      <c r="K81" s="184" t="s">
        <v>14</v>
      </c>
      <c r="L81" s="24"/>
      <c r="M81" s="24"/>
      <c r="N81" s="24"/>
      <c r="O81" s="24"/>
      <c r="P81" s="185"/>
      <c r="Q81" s="289" t="s">
        <v>872</v>
      </c>
      <c r="R81" s="162">
        <v>66</v>
      </c>
      <c r="S81" s="144" t="s">
        <v>665</v>
      </c>
      <c r="T81" s="25"/>
      <c r="U81" s="7"/>
      <c r="V81" s="239"/>
      <c r="Y81" t="str">
        <f t="shared" ref="Y81:Y144" si="20">Q81</f>
        <v>cabin_floor_thickness</v>
      </c>
      <c r="Z81" t="str">
        <f t="shared" ref="Z81:Z144" si="21">I81</f>
        <v>double</v>
      </c>
      <c r="AA81" t="str">
        <f t="shared" ref="AA81:AA144" si="22">H81</f>
        <v>scalaire</v>
      </c>
      <c r="AB81" t="str">
        <f t="shared" ref="AB81:AB144" si="23">E81</f>
        <v>Epaisseur du plancher cabine</v>
      </c>
      <c r="AC81" t="str">
        <f t="shared" si="12"/>
        <v>m</v>
      </c>
      <c r="AD81" s="279" t="str">
        <f t="shared" si="13"/>
        <v>variable: cabin_floor_thickness double input description= "Epaisseur du plancher cabine" units= "m"</v>
      </c>
      <c r="AE81" s="7" t="str">
        <f t="shared" si="14"/>
        <v>Y03.Geometry.cabin</v>
      </c>
      <c r="AF81" s="7" t="str">
        <f t="shared" si="15"/>
        <v/>
      </c>
      <c r="AG81" s="7" t="str">
        <f t="shared" si="16"/>
        <v/>
      </c>
      <c r="AH81" s="7" t="str">
        <f t="shared" si="17"/>
        <v/>
      </c>
      <c r="AI81" s="7" t="str">
        <f t="shared" si="18"/>
        <v/>
      </c>
      <c r="AJ81" s="7" t="str">
        <f t="shared" si="19"/>
        <v/>
      </c>
    </row>
    <row r="82" spans="2:36">
      <c r="B82" s="329"/>
      <c r="C82" s="323"/>
      <c r="D82" s="22" t="s">
        <v>85</v>
      </c>
      <c r="E82" s="23" t="s">
        <v>86</v>
      </c>
      <c r="F82" t="s">
        <v>1052</v>
      </c>
      <c r="G82" t="s">
        <v>1046</v>
      </c>
      <c r="H82" s="249" t="s">
        <v>354</v>
      </c>
      <c r="I82" s="24" t="s">
        <v>13</v>
      </c>
      <c r="J82" s="185" t="s">
        <v>12</v>
      </c>
      <c r="K82" s="184" t="s">
        <v>83</v>
      </c>
      <c r="L82" s="24"/>
      <c r="M82" s="24"/>
      <c r="N82" s="24"/>
      <c r="O82" s="24"/>
      <c r="P82" s="185"/>
      <c r="Q82" s="289" t="s">
        <v>873</v>
      </c>
      <c r="R82" s="162">
        <v>67</v>
      </c>
      <c r="S82" s="144" t="s">
        <v>665</v>
      </c>
      <c r="T82" s="25"/>
      <c r="U82" s="7"/>
      <c r="V82" s="239"/>
      <c r="Y82" t="str">
        <f t="shared" si="20"/>
        <v>pz_cabin_floor</v>
      </c>
      <c r="Z82" t="str">
        <f t="shared" si="21"/>
        <v>double</v>
      </c>
      <c r="AA82" t="str">
        <f t="shared" si="22"/>
        <v>scalaire</v>
      </c>
      <c r="AB82" t="str">
        <f t="shared" si="23"/>
        <v>Position verticale du plancher cabine</v>
      </c>
      <c r="AC82" t="str">
        <f t="shared" si="12"/>
        <v>m</v>
      </c>
      <c r="AD82" s="279" t="str">
        <f t="shared" si="13"/>
        <v>variable: pz_cabin_floor double input description= "Position verticale du plancher cabine" units= "m"</v>
      </c>
      <c r="AE82" s="7" t="str">
        <f t="shared" si="14"/>
        <v>Y30.Geometry.cabin</v>
      </c>
      <c r="AF82" s="7" t="str">
        <f t="shared" si="15"/>
        <v/>
      </c>
      <c r="AG82" s="7" t="str">
        <f t="shared" si="16"/>
        <v/>
      </c>
      <c r="AH82" s="7" t="str">
        <f t="shared" si="17"/>
        <v/>
      </c>
      <c r="AI82" s="7" t="str">
        <f t="shared" si="18"/>
        <v/>
      </c>
      <c r="AJ82" s="7" t="str">
        <f t="shared" si="19"/>
        <v/>
      </c>
    </row>
    <row r="83" spans="2:36">
      <c r="B83" s="329"/>
      <c r="C83" s="324"/>
      <c r="D83" s="22" t="s">
        <v>178</v>
      </c>
      <c r="E83" s="23" t="s">
        <v>87</v>
      </c>
      <c r="F83" t="s">
        <v>1052</v>
      </c>
      <c r="G83" t="s">
        <v>1046</v>
      </c>
      <c r="H83" s="249" t="s">
        <v>354</v>
      </c>
      <c r="I83" s="24" t="s">
        <v>13</v>
      </c>
      <c r="J83" s="185" t="s">
        <v>42</v>
      </c>
      <c r="K83" s="184" t="s">
        <v>83</v>
      </c>
      <c r="L83" s="24"/>
      <c r="M83" s="24"/>
      <c r="N83" s="24"/>
      <c r="O83" s="24"/>
      <c r="P83" s="185"/>
      <c r="Q83" s="289" t="s">
        <v>874</v>
      </c>
      <c r="R83" s="162">
        <v>68</v>
      </c>
      <c r="S83" s="144" t="s">
        <v>665</v>
      </c>
      <c r="T83" s="25"/>
      <c r="U83" s="7"/>
      <c r="V83" s="239"/>
      <c r="Y83" t="str">
        <f t="shared" si="20"/>
        <v>cabin_angle</v>
      </c>
      <c r="Z83" t="str">
        <f t="shared" si="21"/>
        <v>double</v>
      </c>
      <c r="AA83" t="str">
        <f t="shared" si="22"/>
        <v>scalaire</v>
      </c>
      <c r="AB83" t="str">
        <f t="shared" si="23"/>
        <v>Angle de la cabine par rapport à l'axe longitudinal</v>
      </c>
      <c r="AC83" t="str">
        <f t="shared" si="12"/>
        <v>degré</v>
      </c>
      <c r="AD83" s="279" t="str">
        <f t="shared" si="13"/>
        <v>variable: cabin_angle double input description= "Angle de la cabine par rapport à l'axe longitudinal" units= "degré"</v>
      </c>
      <c r="AE83" s="7" t="str">
        <f t="shared" si="14"/>
        <v>Y30.Geometry.cabin</v>
      </c>
      <c r="AF83" s="7" t="str">
        <f t="shared" si="15"/>
        <v/>
      </c>
      <c r="AG83" s="7" t="str">
        <f t="shared" si="16"/>
        <v/>
      </c>
      <c r="AH83" s="7" t="str">
        <f t="shared" si="17"/>
        <v/>
      </c>
      <c r="AI83" s="7" t="str">
        <f t="shared" si="18"/>
        <v/>
      </c>
      <c r="AJ83" s="7" t="str">
        <f t="shared" si="19"/>
        <v/>
      </c>
    </row>
    <row r="84" spans="2:36">
      <c r="B84" s="329"/>
      <c r="C84" s="322" t="s">
        <v>34</v>
      </c>
      <c r="D84" s="22" t="s">
        <v>35</v>
      </c>
      <c r="E84" s="23" t="s">
        <v>36</v>
      </c>
      <c r="F84" t="s">
        <v>1052</v>
      </c>
      <c r="G84" t="s">
        <v>1039</v>
      </c>
      <c r="H84" s="249" t="s">
        <v>354</v>
      </c>
      <c r="I84" s="24" t="s">
        <v>13</v>
      </c>
      <c r="J84" s="185" t="s">
        <v>12</v>
      </c>
      <c r="K84" s="184" t="s">
        <v>14</v>
      </c>
      <c r="L84" s="24"/>
      <c r="M84" s="24"/>
      <c r="N84" s="24"/>
      <c r="O84" s="24"/>
      <c r="P84" s="185"/>
      <c r="Q84" s="289" t="s">
        <v>875</v>
      </c>
      <c r="R84" s="162">
        <v>69</v>
      </c>
      <c r="S84" s="144" t="s">
        <v>665</v>
      </c>
      <c r="T84" s="25"/>
      <c r="U84" s="7"/>
      <c r="V84" s="239"/>
      <c r="Y84" t="str">
        <f t="shared" si="20"/>
        <v>hold_length</v>
      </c>
      <c r="Z84" t="str">
        <f t="shared" si="21"/>
        <v>double</v>
      </c>
      <c r="AA84" t="str">
        <f t="shared" si="22"/>
        <v>scalaire</v>
      </c>
      <c r="AB84" t="str">
        <f t="shared" si="23"/>
        <v>Longueur de la soute</v>
      </c>
      <c r="AC84" t="str">
        <f t="shared" si="12"/>
        <v>m</v>
      </c>
      <c r="AD84" s="279" t="str">
        <f t="shared" si="13"/>
        <v>variable: hold_length double input description= "Longueur de la soute" units= "m"</v>
      </c>
      <c r="AE84" s="7" t="str">
        <f t="shared" si="14"/>
        <v>Y03.Geometry.cargo_hold</v>
      </c>
      <c r="AF84" s="7" t="str">
        <f t="shared" si="15"/>
        <v/>
      </c>
      <c r="AG84" s="7" t="str">
        <f t="shared" si="16"/>
        <v/>
      </c>
      <c r="AH84" s="7" t="str">
        <f t="shared" si="17"/>
        <v/>
      </c>
      <c r="AI84" s="7" t="str">
        <f t="shared" si="18"/>
        <v/>
      </c>
      <c r="AJ84" s="7" t="str">
        <f t="shared" si="19"/>
        <v/>
      </c>
    </row>
    <row r="85" spans="2:36">
      <c r="B85" s="329"/>
      <c r="C85" s="323"/>
      <c r="D85" s="29" t="s">
        <v>499</v>
      </c>
      <c r="E85" s="30" t="s">
        <v>536</v>
      </c>
      <c r="F85" t="s">
        <v>1052</v>
      </c>
      <c r="G85" t="s">
        <v>1039</v>
      </c>
      <c r="H85" s="251" t="s">
        <v>354</v>
      </c>
      <c r="I85" s="31" t="s">
        <v>13</v>
      </c>
      <c r="J85" s="189" t="s">
        <v>12</v>
      </c>
      <c r="K85" s="188" t="s">
        <v>14</v>
      </c>
      <c r="L85" s="31"/>
      <c r="M85" s="31"/>
      <c r="N85" s="31"/>
      <c r="O85" s="31"/>
      <c r="P85" s="189"/>
      <c r="Q85" s="289" t="s">
        <v>876</v>
      </c>
      <c r="R85" s="162">
        <v>70</v>
      </c>
      <c r="S85" s="144" t="s">
        <v>665</v>
      </c>
      <c r="T85" s="25"/>
      <c r="U85" s="7"/>
      <c r="V85" s="239"/>
      <c r="Y85" t="str">
        <f t="shared" si="20"/>
        <v>hold_width</v>
      </c>
      <c r="Z85" t="str">
        <f t="shared" si="21"/>
        <v>double</v>
      </c>
      <c r="AA85" t="str">
        <f t="shared" si="22"/>
        <v>scalaire</v>
      </c>
      <c r="AB85" t="str">
        <f t="shared" si="23"/>
        <v>Largeur de la soute ( = ycloison)</v>
      </c>
      <c r="AC85" t="str">
        <f t="shared" si="12"/>
        <v>m</v>
      </c>
      <c r="AD85" s="279" t="str">
        <f t="shared" si="13"/>
        <v>variable: hold_width double input description= "Largeur de la soute ( = ycloison)" units= "m"</v>
      </c>
      <c r="AE85" s="7" t="str">
        <f t="shared" si="14"/>
        <v>Y03.Geometry.cargo_hold</v>
      </c>
      <c r="AF85" s="7" t="str">
        <f t="shared" si="15"/>
        <v/>
      </c>
      <c r="AG85" s="7" t="str">
        <f t="shared" si="16"/>
        <v/>
      </c>
      <c r="AH85" s="7" t="str">
        <f t="shared" si="17"/>
        <v/>
      </c>
      <c r="AI85" s="7" t="str">
        <f t="shared" si="18"/>
        <v/>
      </c>
      <c r="AJ85" s="7" t="str">
        <f t="shared" si="19"/>
        <v/>
      </c>
    </row>
    <row r="86" spans="2:36">
      <c r="B86" s="329"/>
      <c r="C86" s="324"/>
      <c r="D86" s="22" t="s">
        <v>37</v>
      </c>
      <c r="E86" s="23" t="s">
        <v>38</v>
      </c>
      <c r="F86" t="s">
        <v>1052</v>
      </c>
      <c r="G86" t="s">
        <v>1039</v>
      </c>
      <c r="H86" s="249" t="s">
        <v>354</v>
      </c>
      <c r="I86" s="24" t="s">
        <v>13</v>
      </c>
      <c r="J86" s="185" t="s">
        <v>12</v>
      </c>
      <c r="K86" s="184" t="s">
        <v>14</v>
      </c>
      <c r="L86" s="24"/>
      <c r="M86" s="24"/>
      <c r="N86" s="24"/>
      <c r="O86" s="24"/>
      <c r="P86" s="185"/>
      <c r="Q86" s="289" t="s">
        <v>877</v>
      </c>
      <c r="R86" s="162">
        <v>71</v>
      </c>
      <c r="S86" s="144" t="s">
        <v>665</v>
      </c>
      <c r="T86" s="25"/>
      <c r="U86" s="7"/>
      <c r="V86" s="239"/>
      <c r="Y86" t="str">
        <f t="shared" si="20"/>
        <v>hold_height</v>
      </c>
      <c r="Z86" t="str">
        <f t="shared" si="21"/>
        <v>double</v>
      </c>
      <c r="AA86" t="str">
        <f t="shared" si="22"/>
        <v>scalaire</v>
      </c>
      <c r="AB86" t="str">
        <f t="shared" si="23"/>
        <v>Hauteur de la soute</v>
      </c>
      <c r="AC86" t="str">
        <f t="shared" si="12"/>
        <v>m</v>
      </c>
      <c r="AD86" s="279" t="str">
        <f t="shared" si="13"/>
        <v>variable: hold_height double input description= "Hauteur de la soute" units= "m"</v>
      </c>
      <c r="AE86" s="7" t="str">
        <f t="shared" si="14"/>
        <v>Y03.Geometry.cargo_hold</v>
      </c>
      <c r="AF86" s="7" t="str">
        <f t="shared" si="15"/>
        <v/>
      </c>
      <c r="AG86" s="7" t="str">
        <f t="shared" si="16"/>
        <v/>
      </c>
      <c r="AH86" s="7" t="str">
        <f t="shared" si="17"/>
        <v/>
      </c>
      <c r="AI86" s="7" t="str">
        <f t="shared" si="18"/>
        <v/>
      </c>
      <c r="AJ86" s="7" t="str">
        <f t="shared" si="19"/>
        <v/>
      </c>
    </row>
    <row r="87" spans="2:36">
      <c r="B87" s="329"/>
      <c r="C87" s="322" t="s">
        <v>212</v>
      </c>
      <c r="D87" s="22" t="s">
        <v>214</v>
      </c>
      <c r="E87" s="23" t="s">
        <v>213</v>
      </c>
      <c r="F87" t="s">
        <v>1052</v>
      </c>
      <c r="G87" t="s">
        <v>1019</v>
      </c>
      <c r="H87" s="249" t="s">
        <v>354</v>
      </c>
      <c r="I87" s="24" t="s">
        <v>13</v>
      </c>
      <c r="J87" s="185" t="s">
        <v>473</v>
      </c>
      <c r="K87" s="184" t="s">
        <v>133</v>
      </c>
      <c r="L87" s="24"/>
      <c r="M87" s="24"/>
      <c r="N87" s="24"/>
      <c r="O87" s="24"/>
      <c r="P87" s="185"/>
      <c r="Q87" s="289" t="s">
        <v>878</v>
      </c>
      <c r="R87" s="162">
        <v>72</v>
      </c>
      <c r="S87" s="144" t="s">
        <v>665</v>
      </c>
      <c r="T87" s="25"/>
      <c r="U87" s="7"/>
      <c r="V87" s="239"/>
      <c r="Y87" t="str">
        <f t="shared" si="20"/>
        <v>rudder_reference_surface</v>
      </c>
      <c r="Z87" t="str">
        <f t="shared" si="21"/>
        <v>double</v>
      </c>
      <c r="AA87" t="str">
        <f t="shared" si="22"/>
        <v>scalaire</v>
      </c>
      <c r="AB87" t="str">
        <f t="shared" si="23"/>
        <v>Surface de référence de la surface verticale</v>
      </c>
      <c r="AC87" t="str">
        <f t="shared" si="12"/>
        <v>m2</v>
      </c>
      <c r="AD87" s="279" t="str">
        <f t="shared" si="13"/>
        <v>variable: rudder_reference_surface double input description= "Surface de référence de la surface verticale" units= "m2"</v>
      </c>
      <c r="AE87" s="7" t="str">
        <f t="shared" si="14"/>
        <v>X0.Geometry.rudder</v>
      </c>
      <c r="AF87" s="7" t="str">
        <f t="shared" si="15"/>
        <v/>
      </c>
      <c r="AG87" s="7" t="str">
        <f t="shared" si="16"/>
        <v/>
      </c>
      <c r="AH87" s="7" t="str">
        <f t="shared" si="17"/>
        <v/>
      </c>
      <c r="AI87" s="7" t="str">
        <f t="shared" si="18"/>
        <v/>
      </c>
      <c r="AJ87" s="7" t="str">
        <f t="shared" si="19"/>
        <v/>
      </c>
    </row>
    <row r="88" spans="2:36">
      <c r="B88" s="329"/>
      <c r="C88" s="323"/>
      <c r="D88" s="22" t="s">
        <v>215</v>
      </c>
      <c r="E88" s="23" t="s">
        <v>219</v>
      </c>
      <c r="F88" t="s">
        <v>1052</v>
      </c>
      <c r="G88" t="s">
        <v>1019</v>
      </c>
      <c r="H88" s="249" t="s">
        <v>354</v>
      </c>
      <c r="I88" s="24" t="s">
        <v>13</v>
      </c>
      <c r="J88" s="185" t="s">
        <v>51</v>
      </c>
      <c r="K88" s="184" t="s">
        <v>133</v>
      </c>
      <c r="L88" s="24"/>
      <c r="M88" s="24"/>
      <c r="N88" s="24"/>
      <c r="O88" s="24"/>
      <c r="P88" s="185"/>
      <c r="Q88" s="289" t="s">
        <v>879</v>
      </c>
      <c r="R88" s="162">
        <v>73</v>
      </c>
      <c r="S88" s="144" t="s">
        <v>665</v>
      </c>
      <c r="T88" s="25"/>
      <c r="U88" s="7"/>
      <c r="V88" s="239"/>
      <c r="Y88" t="str">
        <f t="shared" si="20"/>
        <v>rudder_elongation</v>
      </c>
      <c r="Z88" t="str">
        <f t="shared" si="21"/>
        <v>double</v>
      </c>
      <c r="AA88" t="str">
        <f t="shared" si="22"/>
        <v>scalaire</v>
      </c>
      <c r="AB88" t="str">
        <f t="shared" si="23"/>
        <v>Allongement de la surface verticale</v>
      </c>
      <c r="AC88" t="str">
        <f t="shared" si="12"/>
        <v>(-)</v>
      </c>
      <c r="AD88" s="279" t="str">
        <f t="shared" si="13"/>
        <v>variable: rudder_elongation double input description= "Allongement de la surface verticale" units= "(-)"</v>
      </c>
      <c r="AE88" s="7" t="str">
        <f t="shared" si="14"/>
        <v>X0.Geometry.rudder</v>
      </c>
      <c r="AF88" s="7" t="str">
        <f t="shared" si="15"/>
        <v/>
      </c>
      <c r="AG88" s="7" t="str">
        <f t="shared" si="16"/>
        <v/>
      </c>
      <c r="AH88" s="7" t="str">
        <f t="shared" si="17"/>
        <v/>
      </c>
      <c r="AI88" s="7" t="str">
        <f t="shared" si="18"/>
        <v/>
      </c>
      <c r="AJ88" s="7" t="str">
        <f t="shared" si="19"/>
        <v/>
      </c>
    </row>
    <row r="89" spans="2:36">
      <c r="B89" s="329"/>
      <c r="C89" s="323"/>
      <c r="D89" s="22" t="s">
        <v>391</v>
      </c>
      <c r="E89" s="23" t="s">
        <v>216</v>
      </c>
      <c r="F89" t="s">
        <v>1052</v>
      </c>
      <c r="G89" t="s">
        <v>1019</v>
      </c>
      <c r="H89" s="249" t="s">
        <v>354</v>
      </c>
      <c r="I89" s="24" t="s">
        <v>13</v>
      </c>
      <c r="J89" s="185" t="s">
        <v>51</v>
      </c>
      <c r="K89" s="184" t="s">
        <v>133</v>
      </c>
      <c r="L89" s="24" t="s">
        <v>575</v>
      </c>
      <c r="M89" s="24"/>
      <c r="N89" s="24"/>
      <c r="O89" s="24"/>
      <c r="P89" s="185"/>
      <c r="Q89" s="289" t="s">
        <v>880</v>
      </c>
      <c r="R89" s="162">
        <v>74</v>
      </c>
      <c r="S89" s="144" t="s">
        <v>665</v>
      </c>
      <c r="T89" s="25"/>
      <c r="U89" s="7"/>
      <c r="V89" s="239"/>
      <c r="Y89" t="str">
        <f t="shared" si="20"/>
        <v>rudder_taper_ratio</v>
      </c>
      <c r="Z89" t="str">
        <f t="shared" si="21"/>
        <v>double</v>
      </c>
      <c r="AA89" t="str">
        <f t="shared" si="22"/>
        <v>scalaire</v>
      </c>
      <c r="AB89" t="str">
        <f t="shared" si="23"/>
        <v>Effilement de la surface verticale</v>
      </c>
      <c r="AC89" t="str">
        <f t="shared" si="12"/>
        <v>(-)</v>
      </c>
      <c r="AD89" s="279" t="str">
        <f t="shared" si="13"/>
        <v>variable: rudder_taper_ratio double input description= "Effilement de la surface verticale" units= "(-)"</v>
      </c>
      <c r="AE89" s="7" t="str">
        <f t="shared" si="14"/>
        <v>X0.Geometry.rudder</v>
      </c>
      <c r="AF89" s="7" t="str">
        <f t="shared" si="15"/>
        <v>Y02.Geometry.rudder</v>
      </c>
      <c r="AG89" s="7" t="str">
        <f t="shared" si="16"/>
        <v/>
      </c>
      <c r="AH89" s="7" t="str">
        <f t="shared" si="17"/>
        <v/>
      </c>
      <c r="AI89" s="7" t="str">
        <f t="shared" si="18"/>
        <v/>
      </c>
      <c r="AJ89" s="7" t="str">
        <f t="shared" si="19"/>
        <v/>
      </c>
    </row>
    <row r="90" spans="2:36">
      <c r="B90" s="329"/>
      <c r="C90" s="323"/>
      <c r="D90" s="22" t="s">
        <v>217</v>
      </c>
      <c r="E90" s="23" t="s">
        <v>220</v>
      </c>
      <c r="F90" t="s">
        <v>1052</v>
      </c>
      <c r="G90" t="s">
        <v>1019</v>
      </c>
      <c r="H90" s="249" t="s">
        <v>354</v>
      </c>
      <c r="I90" s="24" t="s">
        <v>13</v>
      </c>
      <c r="J90" s="185" t="s">
        <v>42</v>
      </c>
      <c r="K90" s="184" t="s">
        <v>133</v>
      </c>
      <c r="L90" s="24" t="s">
        <v>575</v>
      </c>
      <c r="M90" s="24"/>
      <c r="N90" s="24"/>
      <c r="O90" s="24"/>
      <c r="P90" s="185"/>
      <c r="Q90" s="289" t="s">
        <v>881</v>
      </c>
      <c r="R90" s="162">
        <v>75</v>
      </c>
      <c r="S90" s="144" t="s">
        <v>665</v>
      </c>
      <c r="T90" s="25"/>
      <c r="U90" s="7"/>
      <c r="V90" s="239"/>
      <c r="Y90" t="str">
        <f t="shared" si="20"/>
        <v>rudder_sweep_leading_edge</v>
      </c>
      <c r="Z90" t="str">
        <f t="shared" si="21"/>
        <v>double</v>
      </c>
      <c r="AA90" t="str">
        <f t="shared" si="22"/>
        <v>scalaire</v>
      </c>
      <c r="AB90" t="str">
        <f t="shared" si="23"/>
        <v>Flèche au bord d'attaque à l'emplanture de la surface verticale</v>
      </c>
      <c r="AC90" t="str">
        <f t="shared" si="12"/>
        <v>degré</v>
      </c>
      <c r="AD90" s="279" t="str">
        <f t="shared" si="13"/>
        <v>variable: rudder_sweep_leading_edge double input description= "Flèche au bord d'attaque à l'emplanture de la surface verticale" units= "degré"</v>
      </c>
      <c r="AE90" s="7" t="str">
        <f t="shared" si="14"/>
        <v>X0.Geometry.rudder</v>
      </c>
      <c r="AF90" s="7" t="str">
        <f t="shared" si="15"/>
        <v>Y02.Geometry.rudder</v>
      </c>
      <c r="AG90" s="7" t="str">
        <f t="shared" si="16"/>
        <v/>
      </c>
      <c r="AH90" s="7" t="str">
        <f t="shared" si="17"/>
        <v/>
      </c>
      <c r="AI90" s="7" t="str">
        <f t="shared" si="18"/>
        <v/>
      </c>
      <c r="AJ90" s="7" t="str">
        <f t="shared" si="19"/>
        <v/>
      </c>
    </row>
    <row r="91" spans="2:36">
      <c r="B91" s="329"/>
      <c r="C91" s="323"/>
      <c r="D91" s="22" t="s">
        <v>218</v>
      </c>
      <c r="E91" s="23" t="s">
        <v>221</v>
      </c>
      <c r="F91" t="s">
        <v>1052</v>
      </c>
      <c r="G91" t="s">
        <v>1019</v>
      </c>
      <c r="H91" s="249" t="s">
        <v>354</v>
      </c>
      <c r="I91" s="24" t="s">
        <v>13</v>
      </c>
      <c r="J91" s="185" t="s">
        <v>51</v>
      </c>
      <c r="K91" s="184" t="s">
        <v>133</v>
      </c>
      <c r="L91" s="24" t="s">
        <v>575</v>
      </c>
      <c r="M91" s="24"/>
      <c r="N91" s="24"/>
      <c r="O91" s="24"/>
      <c r="P91" s="185"/>
      <c r="Q91" s="289" t="s">
        <v>882</v>
      </c>
      <c r="R91" s="162">
        <v>76</v>
      </c>
      <c r="S91" s="144" t="s">
        <v>665</v>
      </c>
      <c r="T91" s="25"/>
      <c r="U91" s="7"/>
      <c r="V91" s="239"/>
      <c r="Y91" t="str">
        <f t="shared" si="20"/>
        <v>rudder_thickness_ratio</v>
      </c>
      <c r="Z91" t="str">
        <f t="shared" si="21"/>
        <v>double</v>
      </c>
      <c r="AA91" t="str">
        <f t="shared" si="22"/>
        <v>scalaire</v>
      </c>
      <c r="AB91" t="str">
        <f t="shared" si="23"/>
        <v>Epaisseur relative de la surface verticale</v>
      </c>
      <c r="AC91" t="str">
        <f t="shared" si="12"/>
        <v>(-)</v>
      </c>
      <c r="AD91" s="279" t="str">
        <f t="shared" si="13"/>
        <v>variable: rudder_thickness_ratio double input description= "Epaisseur relative de la surface verticale" units= "(-)"</v>
      </c>
      <c r="AE91" s="7" t="str">
        <f t="shared" si="14"/>
        <v>X0.Geometry.rudder</v>
      </c>
      <c r="AF91" s="7" t="str">
        <f t="shared" si="15"/>
        <v>Y02.Geometry.rudder</v>
      </c>
      <c r="AG91" s="7" t="str">
        <f t="shared" si="16"/>
        <v/>
      </c>
      <c r="AH91" s="7" t="str">
        <f t="shared" si="17"/>
        <v/>
      </c>
      <c r="AI91" s="7" t="str">
        <f t="shared" si="18"/>
        <v/>
      </c>
      <c r="AJ91" s="7" t="str">
        <f t="shared" si="19"/>
        <v/>
      </c>
    </row>
    <row r="92" spans="2:36">
      <c r="B92" s="329"/>
      <c r="C92" s="323"/>
      <c r="D92" s="22" t="s">
        <v>426</v>
      </c>
      <c r="E92" s="23" t="s">
        <v>427</v>
      </c>
      <c r="F92" t="s">
        <v>1052</v>
      </c>
      <c r="G92" t="s">
        <v>1019</v>
      </c>
      <c r="H92" s="249" t="s">
        <v>354</v>
      </c>
      <c r="I92" s="24" t="s">
        <v>13</v>
      </c>
      <c r="J92" s="185" t="s">
        <v>12</v>
      </c>
      <c r="K92" s="184" t="s">
        <v>428</v>
      </c>
      <c r="L92" s="24"/>
      <c r="M92" s="24"/>
      <c r="N92" s="24"/>
      <c r="O92" s="24"/>
      <c r="P92" s="185"/>
      <c r="Q92" s="289" t="s">
        <v>883</v>
      </c>
      <c r="R92" s="162">
        <v>77</v>
      </c>
      <c r="S92" s="144" t="s">
        <v>665</v>
      </c>
      <c r="T92" s="25"/>
      <c r="U92" s="7"/>
      <c r="V92" s="239"/>
      <c r="Y92" t="str">
        <f t="shared" si="20"/>
        <v>rudder_height</v>
      </c>
      <c r="Z92" t="str">
        <f t="shared" si="21"/>
        <v>double</v>
      </c>
      <c r="AA92" t="str">
        <f t="shared" si="22"/>
        <v>scalaire</v>
      </c>
      <c r="AB92" t="str">
        <f t="shared" si="23"/>
        <v>Hauteur de la surface verticale</v>
      </c>
      <c r="AC92" t="str">
        <f t="shared" si="12"/>
        <v>m</v>
      </c>
      <c r="AD92" s="279" t="str">
        <f t="shared" si="13"/>
        <v>variable: rudder_height double input description= "Hauteur de la surface verticale" units= "m"</v>
      </c>
      <c r="AE92" s="7" t="str">
        <f t="shared" si="14"/>
        <v>Y02.Geometry.rudder</v>
      </c>
      <c r="AF92" s="7" t="str">
        <f t="shared" si="15"/>
        <v/>
      </c>
      <c r="AG92" s="7" t="str">
        <f t="shared" si="16"/>
        <v/>
      </c>
      <c r="AH92" s="7" t="str">
        <f t="shared" si="17"/>
        <v/>
      </c>
      <c r="AI92" s="7" t="str">
        <f t="shared" si="18"/>
        <v/>
      </c>
      <c r="AJ92" s="7" t="str">
        <f t="shared" si="19"/>
        <v/>
      </c>
    </row>
    <row r="93" spans="2:36">
      <c r="B93" s="329"/>
      <c r="C93" s="323"/>
      <c r="D93" s="22" t="s">
        <v>225</v>
      </c>
      <c r="E93" s="23" t="s">
        <v>222</v>
      </c>
      <c r="F93" t="s">
        <v>1052</v>
      </c>
      <c r="G93" t="s">
        <v>1019</v>
      </c>
      <c r="H93" s="249" t="s">
        <v>354</v>
      </c>
      <c r="I93" s="24" t="s">
        <v>13</v>
      </c>
      <c r="J93" s="185" t="s">
        <v>12</v>
      </c>
      <c r="K93" s="184" t="s">
        <v>133</v>
      </c>
      <c r="L93" s="24" t="s">
        <v>575</v>
      </c>
      <c r="M93" s="24" t="s">
        <v>576</v>
      </c>
      <c r="N93" s="24"/>
      <c r="O93" s="24"/>
      <c r="P93" s="185"/>
      <c r="Q93" s="289" t="s">
        <v>885</v>
      </c>
      <c r="R93" s="162">
        <v>78</v>
      </c>
      <c r="S93" s="144" t="s">
        <v>665</v>
      </c>
      <c r="T93" s="25"/>
      <c r="U93" s="7"/>
      <c r="V93" s="239"/>
      <c r="Y93" t="str">
        <f t="shared" si="20"/>
        <v>rudder_root_leading_edge_pos_x</v>
      </c>
      <c r="Z93" t="str">
        <f t="shared" si="21"/>
        <v>double</v>
      </c>
      <c r="AA93" t="str">
        <f t="shared" si="22"/>
        <v>scalaire</v>
      </c>
      <c r="AB93" t="str">
        <f t="shared" si="23"/>
        <v>Position longitudinale du bord d'attaque de l'emplanture de la surface verticale</v>
      </c>
      <c r="AC93" t="str">
        <f t="shared" si="12"/>
        <v>m</v>
      </c>
      <c r="AD93" s="279" t="str">
        <f t="shared" si="13"/>
        <v>variable: rudder_root_leading_edge_pos_x double input description= "Position longitudinale du bord d'attaque de l'emplanture de la surface verticale" units= "m"</v>
      </c>
      <c r="AE93" s="7" t="str">
        <f t="shared" si="14"/>
        <v>X0.Geometry.rudder</v>
      </c>
      <c r="AF93" s="7" t="str">
        <f t="shared" si="15"/>
        <v>Y02.Geometry.rudder</v>
      </c>
      <c r="AG93" s="7" t="str">
        <f t="shared" si="16"/>
        <v>Y03.Geometry.rudder</v>
      </c>
      <c r="AH93" s="7" t="str">
        <f t="shared" si="17"/>
        <v/>
      </c>
      <c r="AI93" s="7" t="str">
        <f t="shared" si="18"/>
        <v/>
      </c>
      <c r="AJ93" s="7" t="str">
        <f t="shared" si="19"/>
        <v/>
      </c>
    </row>
    <row r="94" spans="2:36">
      <c r="B94" s="329"/>
      <c r="C94" s="323"/>
      <c r="D94" s="22" t="s">
        <v>226</v>
      </c>
      <c r="E94" s="23" t="s">
        <v>223</v>
      </c>
      <c r="F94" t="s">
        <v>1052</v>
      </c>
      <c r="G94" t="s">
        <v>1019</v>
      </c>
      <c r="H94" s="249" t="s">
        <v>354</v>
      </c>
      <c r="I94" s="24" t="s">
        <v>13</v>
      </c>
      <c r="J94" s="185" t="s">
        <v>12</v>
      </c>
      <c r="K94" s="184" t="s">
        <v>133</v>
      </c>
      <c r="L94" s="24" t="s">
        <v>575</v>
      </c>
      <c r="M94" s="24" t="s">
        <v>576</v>
      </c>
      <c r="N94" s="24"/>
      <c r="O94" s="24"/>
      <c r="P94" s="185"/>
      <c r="Q94" s="289" t="s">
        <v>886</v>
      </c>
      <c r="R94" s="162">
        <v>79</v>
      </c>
      <c r="S94" s="144" t="s">
        <v>665</v>
      </c>
      <c r="T94" s="25"/>
      <c r="U94" s="7"/>
      <c r="V94" s="239"/>
      <c r="Y94" t="str">
        <f t="shared" si="20"/>
        <v>rudder_root_leading_edge_pos_y</v>
      </c>
      <c r="Z94" t="str">
        <f t="shared" si="21"/>
        <v>double</v>
      </c>
      <c r="AA94" t="str">
        <f t="shared" si="22"/>
        <v>scalaire</v>
      </c>
      <c r="AB94" t="str">
        <f t="shared" si="23"/>
        <v>Position latérale du bord d'attaque de l'emplanture de la surface verticale</v>
      </c>
      <c r="AC94" t="str">
        <f t="shared" si="12"/>
        <v>m</v>
      </c>
      <c r="AD94" s="279" t="str">
        <f t="shared" si="13"/>
        <v>variable: rudder_root_leading_edge_pos_y double input description= "Position latérale du bord d'attaque de l'emplanture de la surface verticale" units= "m"</v>
      </c>
      <c r="AE94" s="7" t="str">
        <f t="shared" si="14"/>
        <v>X0.Geometry.rudder</v>
      </c>
      <c r="AF94" s="7" t="str">
        <f t="shared" si="15"/>
        <v>Y02.Geometry.rudder</v>
      </c>
      <c r="AG94" s="7" t="str">
        <f t="shared" si="16"/>
        <v>Y03.Geometry.rudder</v>
      </c>
      <c r="AH94" s="7" t="str">
        <f t="shared" si="17"/>
        <v/>
      </c>
      <c r="AI94" s="7" t="str">
        <f t="shared" si="18"/>
        <v/>
      </c>
      <c r="AJ94" s="7" t="str">
        <f t="shared" si="19"/>
        <v/>
      </c>
    </row>
    <row r="95" spans="2:36">
      <c r="B95" s="329"/>
      <c r="C95" s="323"/>
      <c r="D95" s="22" t="s">
        <v>234</v>
      </c>
      <c r="E95" s="23" t="s">
        <v>235</v>
      </c>
      <c r="F95" t="s">
        <v>1052</v>
      </c>
      <c r="G95" t="s">
        <v>1019</v>
      </c>
      <c r="H95" s="249" t="s">
        <v>354</v>
      </c>
      <c r="I95" s="24" t="s">
        <v>13</v>
      </c>
      <c r="J95" s="185" t="s">
        <v>12</v>
      </c>
      <c r="K95" s="184" t="s">
        <v>428</v>
      </c>
      <c r="L95" s="24" t="s">
        <v>576</v>
      </c>
      <c r="M95" s="24"/>
      <c r="N95" s="24"/>
      <c r="O95" s="24"/>
      <c r="P95" s="185"/>
      <c r="Q95" s="289" t="s">
        <v>884</v>
      </c>
      <c r="R95" s="162">
        <v>80</v>
      </c>
      <c r="S95" s="144" t="s">
        <v>665</v>
      </c>
      <c r="T95" s="25"/>
      <c r="U95" s="7"/>
      <c r="V95" s="239"/>
      <c r="Y95" t="str">
        <f t="shared" si="20"/>
        <v>rudder_wing_tip_pos_y</v>
      </c>
      <c r="Z95" t="str">
        <f t="shared" si="21"/>
        <v>double</v>
      </c>
      <c r="AA95" t="str">
        <f t="shared" si="22"/>
        <v>scalaire</v>
      </c>
      <c r="AB95" t="str">
        <f t="shared" si="23"/>
        <v>Position latérale du bord d'attaque du saumon de la surface verticale</v>
      </c>
      <c r="AC95" t="str">
        <f t="shared" si="12"/>
        <v>m</v>
      </c>
      <c r="AD95" s="279" t="str">
        <f t="shared" si="13"/>
        <v>variable: rudder_wing_tip_pos_y double input description= "Position latérale du bord d'attaque du saumon de la surface verticale" units= "m"</v>
      </c>
      <c r="AE95" s="7" t="str">
        <f t="shared" si="14"/>
        <v>Y02.Geometry.rudder</v>
      </c>
      <c r="AF95" s="7" t="str">
        <f t="shared" si="15"/>
        <v>Y03.Geometry.rudder</v>
      </c>
      <c r="AG95" s="7" t="str">
        <f t="shared" si="16"/>
        <v/>
      </c>
      <c r="AH95" s="7" t="str">
        <f t="shared" si="17"/>
        <v/>
      </c>
      <c r="AI95" s="7" t="str">
        <f t="shared" si="18"/>
        <v/>
      </c>
      <c r="AJ95" s="7" t="str">
        <f t="shared" si="19"/>
        <v/>
      </c>
    </row>
    <row r="96" spans="2:36">
      <c r="B96" s="329"/>
      <c r="C96" s="323"/>
      <c r="D96" s="22" t="s">
        <v>227</v>
      </c>
      <c r="E96" s="23" t="s">
        <v>224</v>
      </c>
      <c r="F96" t="s">
        <v>1052</v>
      </c>
      <c r="G96" t="s">
        <v>1019</v>
      </c>
      <c r="H96" s="249" t="s">
        <v>354</v>
      </c>
      <c r="I96" s="24" t="s">
        <v>13</v>
      </c>
      <c r="J96" s="185" t="s">
        <v>12</v>
      </c>
      <c r="K96" s="184" t="s">
        <v>133</v>
      </c>
      <c r="L96" s="24" t="s">
        <v>575</v>
      </c>
      <c r="M96" s="24" t="s">
        <v>576</v>
      </c>
      <c r="N96" s="24"/>
      <c r="O96" s="24"/>
      <c r="P96" s="185"/>
      <c r="Q96" s="289" t="s">
        <v>887</v>
      </c>
      <c r="R96" s="162">
        <v>81</v>
      </c>
      <c r="S96" s="144" t="s">
        <v>665</v>
      </c>
      <c r="T96" s="25"/>
      <c r="U96" s="7"/>
      <c r="V96" s="239"/>
      <c r="Y96" t="str">
        <f t="shared" si="20"/>
        <v>rudder_root_leading_edge_pos_z</v>
      </c>
      <c r="Z96" t="str">
        <f t="shared" si="21"/>
        <v>double</v>
      </c>
      <c r="AA96" t="str">
        <f t="shared" si="22"/>
        <v>scalaire</v>
      </c>
      <c r="AB96" t="str">
        <f t="shared" si="23"/>
        <v>Position verticale du bord d'attaque de l'emplanture de la surface verticale</v>
      </c>
      <c r="AC96" t="str">
        <f t="shared" si="12"/>
        <v>m</v>
      </c>
      <c r="AD96" s="279" t="str">
        <f t="shared" si="13"/>
        <v>variable: rudder_root_leading_edge_pos_z double input description= "Position verticale du bord d'attaque de l'emplanture de la surface verticale" units= "m"</v>
      </c>
      <c r="AE96" s="7" t="str">
        <f t="shared" si="14"/>
        <v>X0.Geometry.rudder</v>
      </c>
      <c r="AF96" s="7" t="str">
        <f t="shared" si="15"/>
        <v>Y02.Geometry.rudder</v>
      </c>
      <c r="AG96" s="7" t="str">
        <f t="shared" si="16"/>
        <v>Y03.Geometry.rudder</v>
      </c>
      <c r="AH96" s="7" t="str">
        <f t="shared" si="17"/>
        <v/>
      </c>
      <c r="AI96" s="7" t="str">
        <f t="shared" si="18"/>
        <v/>
      </c>
      <c r="AJ96" s="7" t="str">
        <f t="shared" si="19"/>
        <v/>
      </c>
    </row>
    <row r="97" spans="2:36">
      <c r="B97" s="329"/>
      <c r="C97" s="323"/>
      <c r="D97" s="22" t="s">
        <v>231</v>
      </c>
      <c r="E97" s="23" t="s">
        <v>230</v>
      </c>
      <c r="F97" t="s">
        <v>1052</v>
      </c>
      <c r="G97" t="s">
        <v>1019</v>
      </c>
      <c r="H97" s="249" t="s">
        <v>354</v>
      </c>
      <c r="I97" s="24" t="s">
        <v>13</v>
      </c>
      <c r="J97" s="185" t="s">
        <v>12</v>
      </c>
      <c r="K97" s="184" t="s">
        <v>133</v>
      </c>
      <c r="L97" s="24" t="s">
        <v>575</v>
      </c>
      <c r="M97" s="24" t="s">
        <v>576</v>
      </c>
      <c r="N97" s="24"/>
      <c r="O97" s="24"/>
      <c r="P97" s="185"/>
      <c r="Q97" s="289" t="s">
        <v>888</v>
      </c>
      <c r="R97" s="162">
        <v>82</v>
      </c>
      <c r="S97" s="144" t="s">
        <v>665</v>
      </c>
      <c r="T97" s="25"/>
      <c r="U97" s="7"/>
      <c r="V97" s="239"/>
      <c r="Y97" t="str">
        <f t="shared" si="20"/>
        <v>rudder_root_chord</v>
      </c>
      <c r="Z97" t="str">
        <f t="shared" si="21"/>
        <v>double</v>
      </c>
      <c r="AA97" t="str">
        <f t="shared" si="22"/>
        <v>scalaire</v>
      </c>
      <c r="AB97" t="str">
        <f t="shared" si="23"/>
        <v>Corde à l'emplanture de la surface verticale</v>
      </c>
      <c r="AC97" t="str">
        <f t="shared" si="12"/>
        <v>m</v>
      </c>
      <c r="AD97" s="279" t="str">
        <f t="shared" si="13"/>
        <v>variable: rudder_root_chord double input description= "Corde à l'emplanture de la surface verticale" units= "m"</v>
      </c>
      <c r="AE97" s="7" t="str">
        <f t="shared" si="14"/>
        <v>X0.Geometry.rudder</v>
      </c>
      <c r="AF97" s="7" t="str">
        <f t="shared" si="15"/>
        <v>Y02.Geometry.rudder</v>
      </c>
      <c r="AG97" s="7" t="str">
        <f t="shared" si="16"/>
        <v>Y03.Geometry.rudder</v>
      </c>
      <c r="AH97" s="7" t="str">
        <f t="shared" si="17"/>
        <v/>
      </c>
      <c r="AI97" s="7" t="str">
        <f t="shared" si="18"/>
        <v/>
      </c>
      <c r="AJ97" s="7" t="str">
        <f t="shared" si="19"/>
        <v/>
      </c>
    </row>
    <row r="98" spans="2:36">
      <c r="B98" s="329"/>
      <c r="C98" s="323"/>
      <c r="D98" s="22" t="s">
        <v>232</v>
      </c>
      <c r="E98" s="23" t="s">
        <v>233</v>
      </c>
      <c r="F98" t="s">
        <v>1052</v>
      </c>
      <c r="G98" t="s">
        <v>1019</v>
      </c>
      <c r="H98" s="249" t="s">
        <v>354</v>
      </c>
      <c r="I98" s="24" t="s">
        <v>13</v>
      </c>
      <c r="J98" s="185" t="s">
        <v>12</v>
      </c>
      <c r="K98" s="184" t="s">
        <v>428</v>
      </c>
      <c r="L98" s="24" t="s">
        <v>576</v>
      </c>
      <c r="M98" s="24"/>
      <c r="N98" s="24"/>
      <c r="O98" s="24"/>
      <c r="P98" s="185"/>
      <c r="Q98" s="289" t="s">
        <v>889</v>
      </c>
      <c r="R98" s="162">
        <v>83</v>
      </c>
      <c r="S98" s="144" t="s">
        <v>665</v>
      </c>
      <c r="T98" s="25"/>
      <c r="U98" s="7"/>
      <c r="V98" s="239"/>
      <c r="Y98" t="str">
        <f t="shared" si="20"/>
        <v>rudder_wing_tip_chord</v>
      </c>
      <c r="Z98" t="str">
        <f t="shared" si="21"/>
        <v>double</v>
      </c>
      <c r="AA98" t="str">
        <f t="shared" si="22"/>
        <v>scalaire</v>
      </c>
      <c r="AB98" t="str">
        <f t="shared" si="23"/>
        <v>Corde au saumon de la surface verticale</v>
      </c>
      <c r="AC98" t="str">
        <f t="shared" si="12"/>
        <v>m</v>
      </c>
      <c r="AD98" s="279" t="str">
        <f t="shared" si="13"/>
        <v>variable: rudder_wing_tip_chord double input description= "Corde au saumon de la surface verticale" units= "m"</v>
      </c>
      <c r="AE98" s="7" t="str">
        <f t="shared" si="14"/>
        <v>Y02.Geometry.rudder</v>
      </c>
      <c r="AF98" s="7" t="str">
        <f t="shared" si="15"/>
        <v>Y03.Geometry.rudder</v>
      </c>
      <c r="AG98" s="7" t="str">
        <f t="shared" si="16"/>
        <v/>
      </c>
      <c r="AH98" s="7" t="str">
        <f t="shared" si="17"/>
        <v/>
      </c>
      <c r="AI98" s="7" t="str">
        <f t="shared" si="18"/>
        <v/>
      </c>
      <c r="AJ98" s="7" t="str">
        <f t="shared" si="19"/>
        <v/>
      </c>
    </row>
    <row r="99" spans="2:36">
      <c r="B99" s="329"/>
      <c r="C99" s="324"/>
      <c r="D99" s="22" t="s">
        <v>228</v>
      </c>
      <c r="E99" s="23" t="s">
        <v>229</v>
      </c>
      <c r="F99" t="s">
        <v>1052</v>
      </c>
      <c r="G99" t="s">
        <v>1019</v>
      </c>
      <c r="H99" s="249" t="s">
        <v>354</v>
      </c>
      <c r="I99" s="24" t="s">
        <v>13</v>
      </c>
      <c r="J99" s="185" t="s">
        <v>42</v>
      </c>
      <c r="K99" s="184" t="s">
        <v>133</v>
      </c>
      <c r="L99" s="24" t="s">
        <v>575</v>
      </c>
      <c r="M99" s="24" t="s">
        <v>576</v>
      </c>
      <c r="N99" s="24"/>
      <c r="O99" s="24"/>
      <c r="P99" s="185"/>
      <c r="Q99" s="289" t="s">
        <v>890</v>
      </c>
      <c r="R99" s="162">
        <v>84</v>
      </c>
      <c r="S99" s="144" t="s">
        <v>665</v>
      </c>
      <c r="T99" s="25"/>
      <c r="U99" s="7"/>
      <c r="V99" s="239"/>
      <c r="Y99" t="str">
        <f t="shared" si="20"/>
        <v>rudder_dihedral</v>
      </c>
      <c r="Z99" t="str">
        <f t="shared" si="21"/>
        <v>double</v>
      </c>
      <c r="AA99" t="str">
        <f t="shared" si="22"/>
        <v>scalaire</v>
      </c>
      <c r="AB99" t="str">
        <f t="shared" si="23"/>
        <v>Dièdre de la surface verticale</v>
      </c>
      <c r="AC99" t="str">
        <f t="shared" si="12"/>
        <v>degré</v>
      </c>
      <c r="AD99" s="279" t="str">
        <f t="shared" si="13"/>
        <v>variable: rudder_dihedral double input description= "Dièdre de la surface verticale" units= "degré"</v>
      </c>
      <c r="AE99" s="7" t="str">
        <f t="shared" si="14"/>
        <v>X0.Geometry.rudder</v>
      </c>
      <c r="AF99" s="7" t="str">
        <f t="shared" si="15"/>
        <v>Y02.Geometry.rudder</v>
      </c>
      <c r="AG99" s="7" t="str">
        <f t="shared" si="16"/>
        <v>Y03.Geometry.rudder</v>
      </c>
      <c r="AH99" s="7" t="str">
        <f t="shared" si="17"/>
        <v/>
      </c>
      <c r="AI99" s="7" t="str">
        <f t="shared" si="18"/>
        <v/>
      </c>
      <c r="AJ99" s="7" t="str">
        <f t="shared" si="19"/>
        <v/>
      </c>
    </row>
    <row r="100" spans="2:36">
      <c r="B100" s="329"/>
      <c r="C100" s="322" t="s">
        <v>47</v>
      </c>
      <c r="D100" s="22" t="s">
        <v>52</v>
      </c>
      <c r="E100" s="23" t="s">
        <v>377</v>
      </c>
      <c r="F100" t="s">
        <v>1052</v>
      </c>
      <c r="G100" t="s">
        <v>1027</v>
      </c>
      <c r="H100" s="249" t="s">
        <v>354</v>
      </c>
      <c r="I100" s="24" t="s">
        <v>13</v>
      </c>
      <c r="J100" s="185" t="s">
        <v>12</v>
      </c>
      <c r="K100" s="184" t="s">
        <v>578</v>
      </c>
      <c r="L100" s="24" t="s">
        <v>579</v>
      </c>
      <c r="M100" s="24"/>
      <c r="N100" s="24"/>
      <c r="O100" s="24"/>
      <c r="P100" s="185"/>
      <c r="Q100" s="289" t="s">
        <v>891</v>
      </c>
      <c r="R100" s="162">
        <v>85</v>
      </c>
      <c r="S100" s="144" t="s">
        <v>665</v>
      </c>
      <c r="T100" s="25"/>
      <c r="U100" s="7"/>
      <c r="V100" s="239"/>
      <c r="Y100" t="str">
        <f t="shared" si="20"/>
        <v>engine_total_diameter</v>
      </c>
      <c r="Z100" t="str">
        <f t="shared" si="21"/>
        <v>double</v>
      </c>
      <c r="AA100" t="str">
        <f t="shared" si="22"/>
        <v>scalaire</v>
      </c>
      <c r="AB100" t="str">
        <f t="shared" si="23"/>
        <v>Diamètre total d'un moteur</v>
      </c>
      <c r="AC100" t="str">
        <f t="shared" si="12"/>
        <v>m</v>
      </c>
      <c r="AD100" s="279" t="str">
        <f t="shared" si="13"/>
        <v>variable: engine_total_diameter double input description= "Diamètre total d'un moteur" units= "m"</v>
      </c>
      <c r="AE100" s="7" t="str">
        <f t="shared" si="14"/>
        <v>Y10.Geometry.engine</v>
      </c>
      <c r="AF100" s="7" t="str">
        <f t="shared" si="15"/>
        <v>Y13.Geometry.engine</v>
      </c>
      <c r="AG100" s="7" t="str">
        <f t="shared" si="16"/>
        <v/>
      </c>
      <c r="AH100" s="7" t="str">
        <f t="shared" si="17"/>
        <v/>
      </c>
      <c r="AI100" s="7" t="str">
        <f t="shared" si="18"/>
        <v/>
      </c>
      <c r="AJ100" s="7" t="str">
        <f t="shared" si="19"/>
        <v/>
      </c>
    </row>
    <row r="101" spans="2:36">
      <c r="B101" s="329"/>
      <c r="C101" s="323"/>
      <c r="D101" s="22" t="s">
        <v>53</v>
      </c>
      <c r="E101" s="23" t="s">
        <v>378</v>
      </c>
      <c r="F101" t="s">
        <v>1052</v>
      </c>
      <c r="G101" t="s">
        <v>1027</v>
      </c>
      <c r="H101" s="249" t="s">
        <v>354</v>
      </c>
      <c r="I101" s="24" t="s">
        <v>13</v>
      </c>
      <c r="J101" s="185" t="s">
        <v>12</v>
      </c>
      <c r="K101" s="184" t="s">
        <v>578</v>
      </c>
      <c r="L101" s="24" t="s">
        <v>579</v>
      </c>
      <c r="M101" s="24"/>
      <c r="N101" s="24"/>
      <c r="O101" s="24"/>
      <c r="P101" s="185"/>
      <c r="Q101" s="289" t="s">
        <v>892</v>
      </c>
      <c r="R101" s="162">
        <v>86</v>
      </c>
      <c r="S101" s="144" t="s">
        <v>665</v>
      </c>
      <c r="T101" s="25"/>
      <c r="U101" s="7"/>
      <c r="V101" s="239"/>
      <c r="Y101" t="str">
        <f t="shared" si="20"/>
        <v>engine_total_length</v>
      </c>
      <c r="Z101" t="str">
        <f t="shared" si="21"/>
        <v>double</v>
      </c>
      <c r="AA101" t="str">
        <f t="shared" si="22"/>
        <v>scalaire</v>
      </c>
      <c r="AB101" t="str">
        <f t="shared" si="23"/>
        <v>Longueur totale d'un moteur</v>
      </c>
      <c r="AC101" t="str">
        <f t="shared" si="12"/>
        <v>m</v>
      </c>
      <c r="AD101" s="279" t="str">
        <f t="shared" si="13"/>
        <v>variable: engine_total_length double input description= "Longueur totale d'un moteur" units= "m"</v>
      </c>
      <c r="AE101" s="7" t="str">
        <f t="shared" si="14"/>
        <v>Y10.Geometry.engine</v>
      </c>
      <c r="AF101" s="7" t="str">
        <f t="shared" si="15"/>
        <v>Y13.Geometry.engine</v>
      </c>
      <c r="AG101" s="7" t="str">
        <f t="shared" si="16"/>
        <v/>
      </c>
      <c r="AH101" s="7" t="str">
        <f t="shared" si="17"/>
        <v/>
      </c>
      <c r="AI101" s="7" t="str">
        <f t="shared" si="18"/>
        <v/>
      </c>
      <c r="AJ101" s="7" t="str">
        <f t="shared" si="19"/>
        <v/>
      </c>
    </row>
    <row r="102" spans="2:36">
      <c r="B102" s="329"/>
      <c r="C102" s="323"/>
      <c r="D102" s="22" t="s">
        <v>379</v>
      </c>
      <c r="E102" s="23" t="s">
        <v>380</v>
      </c>
      <c r="F102" t="s">
        <v>1052</v>
      </c>
      <c r="G102" t="s">
        <v>1027</v>
      </c>
      <c r="H102" s="249" t="s">
        <v>354</v>
      </c>
      <c r="I102" s="24" t="s">
        <v>13</v>
      </c>
      <c r="J102" s="185" t="s">
        <v>12</v>
      </c>
      <c r="K102" s="230" t="s">
        <v>578</v>
      </c>
      <c r="L102" s="32" t="s">
        <v>580</v>
      </c>
      <c r="M102" s="32"/>
      <c r="N102" s="32"/>
      <c r="O102" s="32"/>
      <c r="P102" s="231"/>
      <c r="Q102" s="289" t="s">
        <v>893</v>
      </c>
      <c r="R102" s="162">
        <v>87</v>
      </c>
      <c r="S102" s="144" t="s">
        <v>665</v>
      </c>
      <c r="T102" s="25"/>
      <c r="U102" s="7"/>
      <c r="V102" s="239"/>
      <c r="Y102" t="str">
        <f t="shared" si="20"/>
        <v>engine_fan_diameter</v>
      </c>
      <c r="Z102" t="str">
        <f t="shared" si="21"/>
        <v>double</v>
      </c>
      <c r="AA102" t="str">
        <f t="shared" si="22"/>
        <v>scalaire</v>
      </c>
      <c r="AB102" t="str">
        <f t="shared" si="23"/>
        <v>Diamètre du fan d'un moteur (correspond au diamètre du moteur si Nflux = 1)</v>
      </c>
      <c r="AC102" t="str">
        <f t="shared" si="12"/>
        <v>m</v>
      </c>
      <c r="AD102" s="279" t="str">
        <f t="shared" si="13"/>
        <v>variable: engine_fan_diameter double input description= "Diamètre du fan d'un moteur (correspond au diamètre du moteur si Nflux = 1)" units= "m"</v>
      </c>
      <c r="AE102" s="7" t="str">
        <f t="shared" si="14"/>
        <v>Y10.Geometry.engine</v>
      </c>
      <c r="AF102" s="7" t="str">
        <f t="shared" si="15"/>
        <v>Y12.Geometry.engine</v>
      </c>
      <c r="AG102" s="7" t="str">
        <f t="shared" si="16"/>
        <v/>
      </c>
      <c r="AH102" s="7" t="str">
        <f t="shared" si="17"/>
        <v/>
      </c>
      <c r="AI102" s="7" t="str">
        <f t="shared" si="18"/>
        <v/>
      </c>
      <c r="AJ102" s="7" t="str">
        <f t="shared" si="19"/>
        <v/>
      </c>
    </row>
    <row r="103" spans="2:36">
      <c r="B103" s="329"/>
      <c r="C103" s="323"/>
      <c r="D103" s="22" t="s">
        <v>381</v>
      </c>
      <c r="E103" s="23" t="s">
        <v>382</v>
      </c>
      <c r="F103" t="s">
        <v>1052</v>
      </c>
      <c r="G103" t="s">
        <v>1027</v>
      </c>
      <c r="H103" s="249" t="s">
        <v>354</v>
      </c>
      <c r="I103" s="24" t="s">
        <v>13</v>
      </c>
      <c r="J103" s="185" t="s">
        <v>12</v>
      </c>
      <c r="K103" s="230" t="s">
        <v>578</v>
      </c>
      <c r="L103" s="32" t="s">
        <v>580</v>
      </c>
      <c r="M103" s="32"/>
      <c r="N103" s="32"/>
      <c r="O103" s="32"/>
      <c r="P103" s="231"/>
      <c r="Q103" s="289" t="s">
        <v>894</v>
      </c>
      <c r="R103" s="162">
        <v>88</v>
      </c>
      <c r="S103" s="144" t="s">
        <v>665</v>
      </c>
      <c r="T103" s="25"/>
      <c r="U103" s="7"/>
      <c r="V103" s="239"/>
      <c r="Y103" t="str">
        <f t="shared" si="20"/>
        <v>engine_fan_length</v>
      </c>
      <c r="Z103" t="str">
        <f t="shared" si="21"/>
        <v>double</v>
      </c>
      <c r="AA103" t="str">
        <f t="shared" si="22"/>
        <v>scalaire</v>
      </c>
      <c r="AB103" t="str">
        <f t="shared" si="23"/>
        <v>Longueur du fan d'un moteur (correspond à la longueur du moteur si Nflux = 1)</v>
      </c>
      <c r="AC103" t="str">
        <f t="shared" si="12"/>
        <v>m</v>
      </c>
      <c r="AD103" s="279" t="str">
        <f t="shared" si="13"/>
        <v>variable: engine_fan_length double input description= "Longueur du fan d'un moteur (correspond à la longueur du moteur si Nflux = 1)" units= "m"</v>
      </c>
      <c r="AE103" s="7" t="str">
        <f t="shared" si="14"/>
        <v>Y10.Geometry.engine</v>
      </c>
      <c r="AF103" s="7" t="str">
        <f t="shared" si="15"/>
        <v>Y12.Geometry.engine</v>
      </c>
      <c r="AG103" s="7" t="str">
        <f t="shared" si="16"/>
        <v/>
      </c>
      <c r="AH103" s="7" t="str">
        <f t="shared" si="17"/>
        <v/>
      </c>
      <c r="AI103" s="7" t="str">
        <f t="shared" si="18"/>
        <v/>
      </c>
      <c r="AJ103" s="7" t="str">
        <f t="shared" si="19"/>
        <v/>
      </c>
    </row>
    <row r="104" spans="2:36">
      <c r="B104" s="329"/>
      <c r="C104" s="323"/>
      <c r="D104" s="22" t="s">
        <v>383</v>
      </c>
      <c r="E104" s="23" t="s">
        <v>384</v>
      </c>
      <c r="F104" t="s">
        <v>1052</v>
      </c>
      <c r="G104" t="s">
        <v>1027</v>
      </c>
      <c r="H104" s="249" t="s">
        <v>354</v>
      </c>
      <c r="I104" s="24" t="s">
        <v>13</v>
      </c>
      <c r="J104" s="185" t="s">
        <v>12</v>
      </c>
      <c r="K104" s="230" t="s">
        <v>578</v>
      </c>
      <c r="L104" s="32" t="s">
        <v>580</v>
      </c>
      <c r="M104" s="32"/>
      <c r="N104" s="32"/>
      <c r="O104" s="32"/>
      <c r="P104" s="231"/>
      <c r="Q104" s="289" t="s">
        <v>895</v>
      </c>
      <c r="R104" s="162">
        <v>89</v>
      </c>
      <c r="S104" s="144" t="s">
        <v>665</v>
      </c>
      <c r="T104" s="25"/>
      <c r="U104" s="7"/>
      <c r="V104" s="239"/>
      <c r="Y104" t="str">
        <f t="shared" si="20"/>
        <v>engine_turbine_diameter</v>
      </c>
      <c r="Z104" t="str">
        <f t="shared" si="21"/>
        <v>double</v>
      </c>
      <c r="AA104" t="str">
        <f t="shared" si="22"/>
        <v>scalaire</v>
      </c>
      <c r="AB104" t="str">
        <f t="shared" si="23"/>
        <v>Diamètre de la turbine d'un moteur</v>
      </c>
      <c r="AC104" t="str">
        <f t="shared" si="12"/>
        <v>m</v>
      </c>
      <c r="AD104" s="279" t="str">
        <f t="shared" si="13"/>
        <v>variable: engine_turbine_diameter double input description= "Diamètre de la turbine d'un moteur" units= "m"</v>
      </c>
      <c r="AE104" s="7" t="str">
        <f t="shared" si="14"/>
        <v>Y10.Geometry.engine</v>
      </c>
      <c r="AF104" s="7" t="str">
        <f t="shared" si="15"/>
        <v>Y12.Geometry.engine</v>
      </c>
      <c r="AG104" s="7" t="str">
        <f t="shared" si="16"/>
        <v/>
      </c>
      <c r="AH104" s="7" t="str">
        <f t="shared" si="17"/>
        <v/>
      </c>
      <c r="AI104" s="7" t="str">
        <f t="shared" si="18"/>
        <v/>
      </c>
      <c r="AJ104" s="7" t="str">
        <f t="shared" si="19"/>
        <v/>
      </c>
    </row>
    <row r="105" spans="2:36">
      <c r="B105" s="329"/>
      <c r="C105" s="323"/>
      <c r="D105" s="22" t="s">
        <v>385</v>
      </c>
      <c r="E105" s="23" t="s">
        <v>386</v>
      </c>
      <c r="F105" t="s">
        <v>1052</v>
      </c>
      <c r="G105" t="s">
        <v>1027</v>
      </c>
      <c r="H105" s="249" t="s">
        <v>354</v>
      </c>
      <c r="I105" s="24" t="s">
        <v>13</v>
      </c>
      <c r="J105" s="185" t="s">
        <v>12</v>
      </c>
      <c r="K105" s="230" t="s">
        <v>578</v>
      </c>
      <c r="L105" s="32" t="s">
        <v>580</v>
      </c>
      <c r="M105" s="32"/>
      <c r="N105" s="32"/>
      <c r="O105" s="32"/>
      <c r="P105" s="231"/>
      <c r="Q105" s="289" t="s">
        <v>896</v>
      </c>
      <c r="R105" s="162">
        <v>90</v>
      </c>
      <c r="S105" s="144" t="s">
        <v>665</v>
      </c>
      <c r="T105" s="25"/>
      <c r="U105" s="7"/>
      <c r="V105" s="239"/>
      <c r="Y105" t="str">
        <f t="shared" si="20"/>
        <v>engine_turbine_length</v>
      </c>
      <c r="Z105" t="str">
        <f t="shared" si="21"/>
        <v>double</v>
      </c>
      <c r="AA105" t="str">
        <f t="shared" si="22"/>
        <v>scalaire</v>
      </c>
      <c r="AB105" t="str">
        <f t="shared" si="23"/>
        <v>Longueur de la turbine d'un moteur</v>
      </c>
      <c r="AC105" t="str">
        <f t="shared" si="12"/>
        <v>m</v>
      </c>
      <c r="AD105" s="279" t="str">
        <f t="shared" si="13"/>
        <v>variable: engine_turbine_length double input description= "Longueur de la turbine d'un moteur" units= "m"</v>
      </c>
      <c r="AE105" s="7" t="str">
        <f t="shared" si="14"/>
        <v>Y10.Geometry.engine</v>
      </c>
      <c r="AF105" s="7" t="str">
        <f t="shared" si="15"/>
        <v>Y12.Geometry.engine</v>
      </c>
      <c r="AG105" s="7" t="str">
        <f t="shared" si="16"/>
        <v/>
      </c>
      <c r="AH105" s="7" t="str">
        <f t="shared" si="17"/>
        <v/>
      </c>
      <c r="AI105" s="7" t="str">
        <f t="shared" si="18"/>
        <v/>
      </c>
      <c r="AJ105" s="7" t="str">
        <f t="shared" si="19"/>
        <v/>
      </c>
    </row>
    <row r="106" spans="2:36">
      <c r="B106" s="329"/>
      <c r="C106" s="323"/>
      <c r="D106" s="22" t="s">
        <v>387</v>
      </c>
      <c r="E106" s="23" t="s">
        <v>388</v>
      </c>
      <c r="F106" t="s">
        <v>1052</v>
      </c>
      <c r="G106" t="s">
        <v>1027</v>
      </c>
      <c r="H106" s="249" t="s">
        <v>354</v>
      </c>
      <c r="I106" s="24" t="s">
        <v>13</v>
      </c>
      <c r="J106" s="185" t="s">
        <v>12</v>
      </c>
      <c r="K106" s="230" t="s">
        <v>578</v>
      </c>
      <c r="L106" s="32" t="s">
        <v>580</v>
      </c>
      <c r="M106" s="32"/>
      <c r="N106" s="32"/>
      <c r="O106" s="32"/>
      <c r="P106" s="231"/>
      <c r="Q106" s="289" t="s">
        <v>897</v>
      </c>
      <c r="R106" s="162">
        <v>91</v>
      </c>
      <c r="S106" s="144" t="s">
        <v>665</v>
      </c>
      <c r="T106" s="25"/>
      <c r="U106" s="7"/>
      <c r="V106" s="239"/>
      <c r="Y106" t="str">
        <f t="shared" si="20"/>
        <v>engine_exhaust_diameter</v>
      </c>
      <c r="Z106" t="str">
        <f t="shared" si="21"/>
        <v>double</v>
      </c>
      <c r="AA106" t="str">
        <f t="shared" si="22"/>
        <v>scalaire</v>
      </c>
      <c r="AB106" t="str">
        <f t="shared" si="23"/>
        <v>Diamètre de la tuyère primaire</v>
      </c>
      <c r="AC106" t="str">
        <f t="shared" si="12"/>
        <v>m</v>
      </c>
      <c r="AD106" s="279" t="str">
        <f t="shared" si="13"/>
        <v>variable: engine_exhaust_diameter double input description= "Diamètre de la tuyère primaire" units= "m"</v>
      </c>
      <c r="AE106" s="7" t="str">
        <f t="shared" si="14"/>
        <v>Y10.Geometry.engine</v>
      </c>
      <c r="AF106" s="7" t="str">
        <f t="shared" si="15"/>
        <v>Y12.Geometry.engine</v>
      </c>
      <c r="AG106" s="7" t="str">
        <f t="shared" si="16"/>
        <v/>
      </c>
      <c r="AH106" s="7" t="str">
        <f t="shared" si="17"/>
        <v/>
      </c>
      <c r="AI106" s="7" t="str">
        <f t="shared" si="18"/>
        <v/>
      </c>
      <c r="AJ106" s="7" t="str">
        <f t="shared" si="19"/>
        <v/>
      </c>
    </row>
    <row r="107" spans="2:36">
      <c r="B107" s="329"/>
      <c r="C107" s="323"/>
      <c r="D107" s="22" t="s">
        <v>389</v>
      </c>
      <c r="E107" s="23" t="s">
        <v>390</v>
      </c>
      <c r="F107" t="s">
        <v>1052</v>
      </c>
      <c r="G107" t="s">
        <v>1027</v>
      </c>
      <c r="H107" s="249" t="s">
        <v>354</v>
      </c>
      <c r="I107" s="24" t="s">
        <v>13</v>
      </c>
      <c r="J107" s="185" t="s">
        <v>12</v>
      </c>
      <c r="K107" s="230" t="s">
        <v>578</v>
      </c>
      <c r="L107" s="32" t="s">
        <v>580</v>
      </c>
      <c r="M107" s="32"/>
      <c r="N107" s="32"/>
      <c r="O107" s="32"/>
      <c r="P107" s="231"/>
      <c r="Q107" s="289" t="s">
        <v>898</v>
      </c>
      <c r="R107" s="162">
        <v>92</v>
      </c>
      <c r="S107" s="144" t="s">
        <v>665</v>
      </c>
      <c r="T107" s="25"/>
      <c r="U107" s="7"/>
      <c r="V107" s="239"/>
      <c r="Y107" t="str">
        <f t="shared" si="20"/>
        <v>engine_secondary_exhaust_diameter</v>
      </c>
      <c r="Z107" t="str">
        <f t="shared" si="21"/>
        <v>double</v>
      </c>
      <c r="AA107" t="str">
        <f t="shared" si="22"/>
        <v>scalaire</v>
      </c>
      <c r="AB107" t="str">
        <f t="shared" si="23"/>
        <v>Diamètre de la tuyère secondaire</v>
      </c>
      <c r="AC107" t="str">
        <f t="shared" si="12"/>
        <v>m</v>
      </c>
      <c r="AD107" s="279" t="str">
        <f t="shared" si="13"/>
        <v>variable: engine_secondary_exhaust_diameter double input description= "Diamètre de la tuyère secondaire" units= "m"</v>
      </c>
      <c r="AE107" s="7" t="str">
        <f t="shared" si="14"/>
        <v>Y10.Geometry.engine</v>
      </c>
      <c r="AF107" s="7" t="str">
        <f t="shared" si="15"/>
        <v>Y12.Geometry.engine</v>
      </c>
      <c r="AG107" s="7" t="str">
        <f t="shared" si="16"/>
        <v/>
      </c>
      <c r="AH107" s="7" t="str">
        <f t="shared" si="17"/>
        <v/>
      </c>
      <c r="AI107" s="7" t="str">
        <f t="shared" si="18"/>
        <v/>
      </c>
      <c r="AJ107" s="7" t="str">
        <f t="shared" si="19"/>
        <v/>
      </c>
    </row>
    <row r="108" spans="2:36">
      <c r="B108" s="329"/>
      <c r="C108" s="323"/>
      <c r="D108" s="22" t="s">
        <v>259</v>
      </c>
      <c r="E108" s="23" t="s">
        <v>254</v>
      </c>
      <c r="F108" t="s">
        <v>1052</v>
      </c>
      <c r="G108" t="s">
        <v>1027</v>
      </c>
      <c r="H108" s="249" t="s">
        <v>354</v>
      </c>
      <c r="I108" s="24" t="s">
        <v>13</v>
      </c>
      <c r="J108" s="185" t="s">
        <v>42</v>
      </c>
      <c r="K108" s="184" t="s">
        <v>133</v>
      </c>
      <c r="L108" s="24" t="s">
        <v>581</v>
      </c>
      <c r="M108" s="24"/>
      <c r="N108" s="24"/>
      <c r="O108" s="24"/>
      <c r="P108" s="185"/>
      <c r="Q108" s="289" t="s">
        <v>899</v>
      </c>
      <c r="R108" s="162">
        <v>93</v>
      </c>
      <c r="S108" s="144" t="s">
        <v>665</v>
      </c>
      <c r="T108" s="25"/>
      <c r="U108" s="7"/>
      <c r="V108" s="239"/>
      <c r="Y108" t="str">
        <f t="shared" si="20"/>
        <v>engine_inclination_angle_toXaxis</v>
      </c>
      <c r="Z108" t="str">
        <f t="shared" si="21"/>
        <v>double</v>
      </c>
      <c r="AA108" t="str">
        <f t="shared" si="22"/>
        <v>scalaire</v>
      </c>
      <c r="AB108" t="str">
        <f t="shared" si="23"/>
        <v>Angle d'inclinaison des moteurs par rapport à l'axe longitudinal</v>
      </c>
      <c r="AC108" t="str">
        <f t="shared" si="12"/>
        <v>degré</v>
      </c>
      <c r="AD108" s="279" t="str">
        <f t="shared" si="13"/>
        <v>variable: engine_inclination_angle_toXaxis double input description= "Angle d'inclinaison des moteurs par rapport à l'axe longitudinal" units= "degré"</v>
      </c>
      <c r="AE108" s="7" t="str">
        <f t="shared" si="14"/>
        <v>X0.Geometry.engine</v>
      </c>
      <c r="AF108" s="7" t="str">
        <f t="shared" si="15"/>
        <v>Y01.Geometry.engine</v>
      </c>
      <c r="AG108" s="7" t="str">
        <f t="shared" si="16"/>
        <v/>
      </c>
      <c r="AH108" s="7" t="str">
        <f t="shared" si="17"/>
        <v/>
      </c>
      <c r="AI108" s="7" t="str">
        <f t="shared" si="18"/>
        <v/>
      </c>
      <c r="AJ108" s="7" t="str">
        <f t="shared" si="19"/>
        <v/>
      </c>
    </row>
    <row r="109" spans="2:36">
      <c r="B109" s="329"/>
      <c r="C109" s="322" t="s">
        <v>54</v>
      </c>
      <c r="D109" s="34" t="s">
        <v>392</v>
      </c>
      <c r="E109" s="35" t="s">
        <v>393</v>
      </c>
      <c r="F109" t="s">
        <v>1052</v>
      </c>
      <c r="G109" t="s">
        <v>1041</v>
      </c>
      <c r="H109" s="249" t="s">
        <v>354</v>
      </c>
      <c r="I109" s="24" t="s">
        <v>13</v>
      </c>
      <c r="J109" s="185" t="s">
        <v>12</v>
      </c>
      <c r="K109" s="230" t="s">
        <v>83</v>
      </c>
      <c r="L109" s="32"/>
      <c r="M109" s="32"/>
      <c r="N109" s="32"/>
      <c r="O109" s="32"/>
      <c r="P109" s="231"/>
      <c r="Q109" s="289" t="s">
        <v>901</v>
      </c>
      <c r="R109" s="162">
        <v>94</v>
      </c>
      <c r="S109" s="144" t="s">
        <v>665</v>
      </c>
      <c r="T109" s="25"/>
      <c r="U109" s="7"/>
      <c r="V109" s="239"/>
      <c r="Y109" t="str">
        <f t="shared" si="20"/>
        <v>landing_gear_front_length</v>
      </c>
      <c r="Z109" t="str">
        <f t="shared" si="21"/>
        <v>double</v>
      </c>
      <c r="AA109" t="str">
        <f t="shared" si="22"/>
        <v>scalaire</v>
      </c>
      <c r="AB109" t="str">
        <f t="shared" si="23"/>
        <v>Longueur de la case du train avant, suivant l'axe x</v>
      </c>
      <c r="AC109" t="str">
        <f t="shared" si="12"/>
        <v>m</v>
      </c>
      <c r="AD109" s="279" t="str">
        <f t="shared" si="13"/>
        <v>variable: landing_gear_front_length double input description= "Longueur de la case du train avant, suivant l'axe x" units= "m"</v>
      </c>
      <c r="AE109" s="7" t="str">
        <f t="shared" si="14"/>
        <v>Y30.Geometry.landing_gear</v>
      </c>
      <c r="AF109" s="7" t="str">
        <f t="shared" si="15"/>
        <v/>
      </c>
      <c r="AG109" s="7" t="str">
        <f t="shared" si="16"/>
        <v/>
      </c>
      <c r="AH109" s="7" t="str">
        <f t="shared" si="17"/>
        <v/>
      </c>
      <c r="AI109" s="7" t="str">
        <f t="shared" si="18"/>
        <v/>
      </c>
      <c r="AJ109" s="7" t="str">
        <f t="shared" si="19"/>
        <v/>
      </c>
    </row>
    <row r="110" spans="2:36">
      <c r="B110" s="329"/>
      <c r="C110" s="323"/>
      <c r="D110" s="34" t="s">
        <v>394</v>
      </c>
      <c r="E110" s="35" t="s">
        <v>395</v>
      </c>
      <c r="F110" t="s">
        <v>1052</v>
      </c>
      <c r="G110" t="s">
        <v>1041</v>
      </c>
      <c r="H110" s="249" t="s">
        <v>354</v>
      </c>
      <c r="I110" s="24" t="s">
        <v>13</v>
      </c>
      <c r="J110" s="185" t="s">
        <v>12</v>
      </c>
      <c r="K110" s="230" t="s">
        <v>83</v>
      </c>
      <c r="L110" s="32"/>
      <c r="M110" s="32"/>
      <c r="N110" s="32"/>
      <c r="O110" s="32"/>
      <c r="P110" s="231"/>
      <c r="Q110" s="289" t="s">
        <v>902</v>
      </c>
      <c r="R110" s="162">
        <v>95</v>
      </c>
      <c r="S110" s="144" t="s">
        <v>665</v>
      </c>
      <c r="T110" s="25"/>
      <c r="U110" s="7"/>
      <c r="V110" s="239"/>
      <c r="Y110" t="str">
        <f t="shared" si="20"/>
        <v>landing_gear_front_width</v>
      </c>
      <c r="Z110" t="str">
        <f t="shared" si="21"/>
        <v>double</v>
      </c>
      <c r="AA110" t="str">
        <f t="shared" si="22"/>
        <v>scalaire</v>
      </c>
      <c r="AB110" t="str">
        <f t="shared" si="23"/>
        <v>Largeur de la case du train avant, suivant l'axe y</v>
      </c>
      <c r="AC110" t="str">
        <f t="shared" si="12"/>
        <v>m</v>
      </c>
      <c r="AD110" s="279" t="str">
        <f t="shared" si="13"/>
        <v>variable: landing_gear_front_width double input description= "Largeur de la case du train avant, suivant l'axe y" units= "m"</v>
      </c>
      <c r="AE110" s="7" t="str">
        <f t="shared" si="14"/>
        <v>Y30.Geometry.landing_gear</v>
      </c>
      <c r="AF110" s="7" t="str">
        <f t="shared" si="15"/>
        <v/>
      </c>
      <c r="AG110" s="7" t="str">
        <f t="shared" si="16"/>
        <v/>
      </c>
      <c r="AH110" s="7" t="str">
        <f t="shared" si="17"/>
        <v/>
      </c>
      <c r="AI110" s="7" t="str">
        <f t="shared" si="18"/>
        <v/>
      </c>
      <c r="AJ110" s="7" t="str">
        <f t="shared" si="19"/>
        <v/>
      </c>
    </row>
    <row r="111" spans="2:36">
      <c r="B111" s="329"/>
      <c r="C111" s="323"/>
      <c r="D111" s="34" t="s">
        <v>61</v>
      </c>
      <c r="E111" s="35" t="s">
        <v>396</v>
      </c>
      <c r="F111" t="s">
        <v>1052</v>
      </c>
      <c r="G111" t="s">
        <v>1041</v>
      </c>
      <c r="H111" s="249" t="s">
        <v>354</v>
      </c>
      <c r="I111" s="24" t="s">
        <v>13</v>
      </c>
      <c r="J111" s="185" t="s">
        <v>12</v>
      </c>
      <c r="K111" s="230" t="s">
        <v>83</v>
      </c>
      <c r="L111" s="32"/>
      <c r="M111" s="32"/>
      <c r="N111" s="32"/>
      <c r="O111" s="32"/>
      <c r="P111" s="231"/>
      <c r="Q111" s="289" t="s">
        <v>903</v>
      </c>
      <c r="R111" s="162">
        <v>96</v>
      </c>
      <c r="S111" s="144" t="s">
        <v>665</v>
      </c>
      <c r="T111" s="25"/>
      <c r="U111" s="7"/>
      <c r="V111" s="239"/>
      <c r="Y111" t="str">
        <f t="shared" si="20"/>
        <v>landing_gear_front_height</v>
      </c>
      <c r="Z111" t="str">
        <f t="shared" si="21"/>
        <v>double</v>
      </c>
      <c r="AA111" t="str">
        <f t="shared" si="22"/>
        <v>scalaire</v>
      </c>
      <c r="AB111" t="str">
        <f t="shared" si="23"/>
        <v>Hauteur de la case du train avant, suivant l'axe z</v>
      </c>
      <c r="AC111" t="str">
        <f t="shared" si="12"/>
        <v>m</v>
      </c>
      <c r="AD111" s="279" t="str">
        <f t="shared" si="13"/>
        <v>variable: landing_gear_front_height double input description= "Hauteur de la case du train avant, suivant l'axe z" units= "m"</v>
      </c>
      <c r="AE111" s="7" t="str">
        <f t="shared" si="14"/>
        <v>Y30.Geometry.landing_gear</v>
      </c>
      <c r="AF111" s="7" t="str">
        <f t="shared" si="15"/>
        <v/>
      </c>
      <c r="AG111" s="7" t="str">
        <f t="shared" si="16"/>
        <v/>
      </c>
      <c r="AH111" s="7" t="str">
        <f t="shared" si="17"/>
        <v/>
      </c>
      <c r="AI111" s="7" t="str">
        <f t="shared" si="18"/>
        <v/>
      </c>
      <c r="AJ111" s="7" t="str">
        <f t="shared" si="19"/>
        <v/>
      </c>
    </row>
    <row r="112" spans="2:36">
      <c r="B112" s="329"/>
      <c r="C112" s="323"/>
      <c r="D112" s="34" t="s">
        <v>401</v>
      </c>
      <c r="E112" s="35" t="s">
        <v>402</v>
      </c>
      <c r="F112" t="s">
        <v>1052</v>
      </c>
      <c r="G112" t="s">
        <v>1041</v>
      </c>
      <c r="H112" s="249" t="s">
        <v>354</v>
      </c>
      <c r="I112" s="24" t="s">
        <v>13</v>
      </c>
      <c r="J112" s="185" t="s">
        <v>12</v>
      </c>
      <c r="K112" s="230" t="s">
        <v>83</v>
      </c>
      <c r="L112" s="32"/>
      <c r="M112" s="32"/>
      <c r="N112" s="32"/>
      <c r="O112" s="32"/>
      <c r="P112" s="231"/>
      <c r="Q112" s="289" t="s">
        <v>904</v>
      </c>
      <c r="R112" s="162">
        <v>97</v>
      </c>
      <c r="S112" s="144" t="s">
        <v>665</v>
      </c>
      <c r="T112" s="25"/>
      <c r="U112" s="7"/>
      <c r="V112" s="239"/>
      <c r="Y112" t="str">
        <f t="shared" si="20"/>
        <v>landing_gear_main_length</v>
      </c>
      <c r="Z112" t="str">
        <f t="shared" si="21"/>
        <v>double</v>
      </c>
      <c r="AA112" t="str">
        <f t="shared" si="22"/>
        <v>scalaire</v>
      </c>
      <c r="AB112" t="str">
        <f t="shared" si="23"/>
        <v>Longueur de la case du train principal, suivant l'axe x</v>
      </c>
      <c r="AC112" t="str">
        <f t="shared" si="12"/>
        <v>m</v>
      </c>
      <c r="AD112" s="279" t="str">
        <f t="shared" si="13"/>
        <v>variable: landing_gear_main_length double input description= "Longueur de la case du train principal, suivant l'axe x" units= "m"</v>
      </c>
      <c r="AE112" s="7" t="str">
        <f t="shared" si="14"/>
        <v>Y30.Geometry.landing_gear</v>
      </c>
      <c r="AF112" s="7" t="str">
        <f t="shared" si="15"/>
        <v/>
      </c>
      <c r="AG112" s="7" t="str">
        <f t="shared" si="16"/>
        <v/>
      </c>
      <c r="AH112" s="7" t="str">
        <f t="shared" si="17"/>
        <v/>
      </c>
      <c r="AI112" s="7" t="str">
        <f t="shared" si="18"/>
        <v/>
      </c>
      <c r="AJ112" s="7" t="str">
        <f t="shared" si="19"/>
        <v/>
      </c>
    </row>
    <row r="113" spans="2:36">
      <c r="B113" s="329"/>
      <c r="C113" s="323"/>
      <c r="D113" s="34" t="s">
        <v>403</v>
      </c>
      <c r="E113" s="35" t="s">
        <v>404</v>
      </c>
      <c r="F113" t="s">
        <v>1052</v>
      </c>
      <c r="G113" t="s">
        <v>1041</v>
      </c>
      <c r="H113" s="249" t="s">
        <v>354</v>
      </c>
      <c r="I113" s="24" t="s">
        <v>13</v>
      </c>
      <c r="J113" s="185" t="s">
        <v>12</v>
      </c>
      <c r="K113" s="230" t="s">
        <v>83</v>
      </c>
      <c r="L113" s="32"/>
      <c r="M113" s="32"/>
      <c r="N113" s="32"/>
      <c r="O113" s="32"/>
      <c r="P113" s="231"/>
      <c r="Q113" s="289" t="s">
        <v>905</v>
      </c>
      <c r="R113" s="162">
        <v>98</v>
      </c>
      <c r="S113" s="144" t="s">
        <v>665</v>
      </c>
      <c r="T113" s="25"/>
      <c r="U113" s="7"/>
      <c r="V113" s="239"/>
      <c r="Y113" t="str">
        <f t="shared" si="20"/>
        <v>landing_gear_main_width</v>
      </c>
      <c r="Z113" t="str">
        <f t="shared" si="21"/>
        <v>double</v>
      </c>
      <c r="AA113" t="str">
        <f t="shared" si="22"/>
        <v>scalaire</v>
      </c>
      <c r="AB113" t="str">
        <f t="shared" si="23"/>
        <v>Largeur de la case du train principal, suivant l'axe y</v>
      </c>
      <c r="AC113" t="str">
        <f t="shared" si="12"/>
        <v>m</v>
      </c>
      <c r="AD113" s="279" t="str">
        <f t="shared" si="13"/>
        <v>variable: landing_gear_main_width double input description= "Largeur de la case du train principal, suivant l'axe y" units= "m"</v>
      </c>
      <c r="AE113" s="7" t="str">
        <f t="shared" si="14"/>
        <v>Y30.Geometry.landing_gear</v>
      </c>
      <c r="AF113" s="7" t="str">
        <f t="shared" si="15"/>
        <v/>
      </c>
      <c r="AG113" s="7" t="str">
        <f t="shared" si="16"/>
        <v/>
      </c>
      <c r="AH113" s="7" t="str">
        <f t="shared" si="17"/>
        <v/>
      </c>
      <c r="AI113" s="7" t="str">
        <f t="shared" si="18"/>
        <v/>
      </c>
      <c r="AJ113" s="7" t="str">
        <f t="shared" si="19"/>
        <v/>
      </c>
    </row>
    <row r="114" spans="2:36">
      <c r="B114" s="329"/>
      <c r="C114" s="324"/>
      <c r="D114" s="34" t="s">
        <v>247</v>
      </c>
      <c r="E114" s="35" t="s">
        <v>405</v>
      </c>
      <c r="F114" t="s">
        <v>1052</v>
      </c>
      <c r="G114" t="s">
        <v>1041</v>
      </c>
      <c r="H114" s="249" t="s">
        <v>354</v>
      </c>
      <c r="I114" s="24" t="s">
        <v>13</v>
      </c>
      <c r="J114" s="185" t="s">
        <v>12</v>
      </c>
      <c r="K114" s="230" t="s">
        <v>83</v>
      </c>
      <c r="L114" s="32"/>
      <c r="M114" s="32"/>
      <c r="N114" s="32"/>
      <c r="O114" s="32"/>
      <c r="P114" s="231"/>
      <c r="Q114" s="289" t="s">
        <v>906</v>
      </c>
      <c r="R114" s="162">
        <v>99</v>
      </c>
      <c r="S114" s="144" t="s">
        <v>665</v>
      </c>
      <c r="T114" s="25"/>
      <c r="U114" s="7"/>
      <c r="V114" s="239"/>
      <c r="Y114" t="str">
        <f t="shared" si="20"/>
        <v>landing_gear_main_height</v>
      </c>
      <c r="Z114" t="str">
        <f t="shared" si="21"/>
        <v>double</v>
      </c>
      <c r="AA114" t="str">
        <f t="shared" si="22"/>
        <v>scalaire</v>
      </c>
      <c r="AB114" t="str">
        <f t="shared" si="23"/>
        <v>Hauteur de la case du train principal, suivant l'axe z</v>
      </c>
      <c r="AC114" t="str">
        <f t="shared" si="12"/>
        <v>m</v>
      </c>
      <c r="AD114" s="279" t="str">
        <f t="shared" si="13"/>
        <v>variable: landing_gear_main_height double input description= "Hauteur de la case du train principal, suivant l'axe z" units= "m"</v>
      </c>
      <c r="AE114" s="7" t="str">
        <f t="shared" si="14"/>
        <v>Y30.Geometry.landing_gear</v>
      </c>
      <c r="AF114" s="7" t="str">
        <f t="shared" si="15"/>
        <v/>
      </c>
      <c r="AG114" s="7" t="str">
        <f t="shared" si="16"/>
        <v/>
      </c>
      <c r="AH114" s="7" t="str">
        <f t="shared" si="17"/>
        <v/>
      </c>
      <c r="AI114" s="7" t="str">
        <f t="shared" si="18"/>
        <v/>
      </c>
      <c r="AJ114" s="7" t="str">
        <f t="shared" si="19"/>
        <v/>
      </c>
    </row>
    <row r="115" spans="2:36">
      <c r="B115" s="329"/>
      <c r="C115" s="322" t="s">
        <v>358</v>
      </c>
      <c r="D115" s="22" t="s">
        <v>67</v>
      </c>
      <c r="E115" s="23" t="s">
        <v>64</v>
      </c>
      <c r="F115" t="s">
        <v>1052</v>
      </c>
      <c r="G115" t="s">
        <v>1036</v>
      </c>
      <c r="H115" s="249" t="s">
        <v>354</v>
      </c>
      <c r="I115" s="24" t="s">
        <v>13</v>
      </c>
      <c r="J115" s="185" t="s">
        <v>474</v>
      </c>
      <c r="K115" s="184" t="s">
        <v>17</v>
      </c>
      <c r="L115" s="24"/>
      <c r="M115" s="24"/>
      <c r="N115" s="24"/>
      <c r="O115" s="24"/>
      <c r="P115" s="185"/>
      <c r="Q115" s="289" t="s">
        <v>907</v>
      </c>
      <c r="R115" s="162">
        <v>100</v>
      </c>
      <c r="S115" s="144" t="s">
        <v>665</v>
      </c>
      <c r="T115" s="25"/>
      <c r="U115" s="7"/>
      <c r="V115" s="239"/>
      <c r="Y115" t="str">
        <f t="shared" si="20"/>
        <v>fuel_tank_total_volume</v>
      </c>
      <c r="Z115" t="str">
        <f t="shared" si="21"/>
        <v>double</v>
      </c>
      <c r="AA115" t="str">
        <f t="shared" si="22"/>
        <v>scalaire</v>
      </c>
      <c r="AB115" t="str">
        <f t="shared" si="23"/>
        <v>Volume total des réservoirs</v>
      </c>
      <c r="AC115" t="str">
        <f t="shared" si="12"/>
        <v>m3</v>
      </c>
      <c r="AD115" s="279" t="str">
        <f t="shared" si="13"/>
        <v>variable: fuel_tank_total_volume double input description= "Volume total des réservoirs" units= "m3"</v>
      </c>
      <c r="AE115" s="7" t="str">
        <f t="shared" si="14"/>
        <v>Y3x.Geometry.fuel_tanks</v>
      </c>
      <c r="AF115" s="7" t="str">
        <f t="shared" si="15"/>
        <v/>
      </c>
      <c r="AG115" s="7" t="str">
        <f t="shared" si="16"/>
        <v/>
      </c>
      <c r="AH115" s="7" t="str">
        <f t="shared" si="17"/>
        <v/>
      </c>
      <c r="AI115" s="7" t="str">
        <f t="shared" si="18"/>
        <v/>
      </c>
      <c r="AJ115" s="7" t="str">
        <f t="shared" si="19"/>
        <v/>
      </c>
    </row>
    <row r="116" spans="2:36">
      <c r="B116" s="329"/>
      <c r="C116" s="323"/>
      <c r="D116" s="22" t="s">
        <v>68</v>
      </c>
      <c r="E116" s="23" t="s">
        <v>65</v>
      </c>
      <c r="F116" t="s">
        <v>1052</v>
      </c>
      <c r="G116" t="s">
        <v>1036</v>
      </c>
      <c r="H116" s="249" t="s">
        <v>354</v>
      </c>
      <c r="I116" s="24" t="s">
        <v>13</v>
      </c>
      <c r="J116" s="185" t="s">
        <v>474</v>
      </c>
      <c r="K116" s="184" t="s">
        <v>17</v>
      </c>
      <c r="L116" s="24"/>
      <c r="M116" s="24"/>
      <c r="N116" s="24"/>
      <c r="O116" s="24"/>
      <c r="P116" s="185"/>
      <c r="Q116" s="289" t="s">
        <v>908</v>
      </c>
      <c r="R116" s="162">
        <v>101</v>
      </c>
      <c r="S116" s="144" t="s">
        <v>665</v>
      </c>
      <c r="T116" s="25"/>
      <c r="U116" s="7"/>
      <c r="V116" s="239"/>
      <c r="Y116" t="str">
        <f t="shared" si="20"/>
        <v>fuel_tank_wing_volume</v>
      </c>
      <c r="Z116" t="str">
        <f t="shared" si="21"/>
        <v>double</v>
      </c>
      <c r="AA116" t="str">
        <f t="shared" si="22"/>
        <v>scalaire</v>
      </c>
      <c r="AB116" t="str">
        <f t="shared" si="23"/>
        <v>Volume des réservoirs situés dans les voilures (gauche + droite)</v>
      </c>
      <c r="AC116" t="str">
        <f t="shared" si="12"/>
        <v>m3</v>
      </c>
      <c r="AD116" s="279" t="str">
        <f t="shared" si="13"/>
        <v>variable: fuel_tank_wing_volume double input description= "Volume des réservoirs situés dans les voilures (gauche + droite)" units= "m3"</v>
      </c>
      <c r="AE116" s="7" t="str">
        <f t="shared" si="14"/>
        <v>Y3x.Geometry.fuel_tanks</v>
      </c>
      <c r="AF116" s="7" t="str">
        <f t="shared" si="15"/>
        <v/>
      </c>
      <c r="AG116" s="7" t="str">
        <f t="shared" si="16"/>
        <v/>
      </c>
      <c r="AH116" s="7" t="str">
        <f t="shared" si="17"/>
        <v/>
      </c>
      <c r="AI116" s="7" t="str">
        <f t="shared" si="18"/>
        <v/>
      </c>
      <c r="AJ116" s="7" t="str">
        <f t="shared" si="19"/>
        <v/>
      </c>
    </row>
    <row r="117" spans="2:36">
      <c r="B117" s="329"/>
      <c r="C117" s="323"/>
      <c r="D117" s="22" t="s">
        <v>69</v>
      </c>
      <c r="E117" s="23" t="s">
        <v>66</v>
      </c>
      <c r="F117" t="s">
        <v>1052</v>
      </c>
      <c r="G117" t="s">
        <v>1036</v>
      </c>
      <c r="H117" s="249" t="s">
        <v>354</v>
      </c>
      <c r="I117" s="24" t="s">
        <v>13</v>
      </c>
      <c r="J117" s="185" t="s">
        <v>474</v>
      </c>
      <c r="K117" s="184" t="s">
        <v>17</v>
      </c>
      <c r="L117" s="24"/>
      <c r="M117" s="24"/>
      <c r="N117" s="24"/>
      <c r="O117" s="24"/>
      <c r="P117" s="185"/>
      <c r="Q117" s="289" t="s">
        <v>909</v>
      </c>
      <c r="R117" s="162">
        <v>102</v>
      </c>
      <c r="S117" s="144" t="s">
        <v>665</v>
      </c>
      <c r="T117" s="25"/>
      <c r="U117" s="7"/>
      <c r="V117" s="239"/>
      <c r="Y117" t="str">
        <f t="shared" si="20"/>
        <v>fuel_tank_body_volume</v>
      </c>
      <c r="Z117" t="str">
        <f t="shared" si="21"/>
        <v>double</v>
      </c>
      <c r="AA117" t="str">
        <f t="shared" si="22"/>
        <v>scalaire</v>
      </c>
      <c r="AB117" t="str">
        <f t="shared" si="23"/>
        <v>Volume des réservoirs situés dans le corps central (gauche + droite)</v>
      </c>
      <c r="AC117" t="str">
        <f t="shared" si="12"/>
        <v>m3</v>
      </c>
      <c r="AD117" s="279" t="str">
        <f t="shared" si="13"/>
        <v>variable: fuel_tank_body_volume double input description= "Volume des réservoirs situés dans le corps central (gauche + droite)" units= "m3"</v>
      </c>
      <c r="AE117" s="7" t="str">
        <f t="shared" si="14"/>
        <v>Y3x.Geometry.fuel_tanks</v>
      </c>
      <c r="AF117" s="7" t="str">
        <f t="shared" si="15"/>
        <v/>
      </c>
      <c r="AG117" s="7" t="str">
        <f t="shared" si="16"/>
        <v/>
      </c>
      <c r="AH117" s="7" t="str">
        <f t="shared" si="17"/>
        <v/>
      </c>
      <c r="AI117" s="7" t="str">
        <f t="shared" si="18"/>
        <v/>
      </c>
      <c r="AJ117" s="7" t="str">
        <f t="shared" si="19"/>
        <v/>
      </c>
    </row>
    <row r="118" spans="2:36">
      <c r="B118" s="329"/>
      <c r="C118" s="323"/>
      <c r="D118" s="34" t="s">
        <v>70</v>
      </c>
      <c r="E118" s="35" t="s">
        <v>406</v>
      </c>
      <c r="F118" t="s">
        <v>1052</v>
      </c>
      <c r="G118" t="s">
        <v>1036</v>
      </c>
      <c r="H118" s="249" t="s">
        <v>354</v>
      </c>
      <c r="I118" s="24" t="s">
        <v>13</v>
      </c>
      <c r="J118" s="185" t="s">
        <v>12</v>
      </c>
      <c r="K118" s="230" t="s">
        <v>83</v>
      </c>
      <c r="L118" s="32"/>
      <c r="M118" s="32"/>
      <c r="N118" s="32"/>
      <c r="O118" s="32"/>
      <c r="P118" s="231"/>
      <c r="Q118" s="289" t="s">
        <v>910</v>
      </c>
      <c r="R118" s="162">
        <v>103</v>
      </c>
      <c r="S118" s="144" t="s">
        <v>665</v>
      </c>
      <c r="T118" s="25"/>
      <c r="U118" s="7"/>
      <c r="V118" s="239"/>
      <c r="Y118" t="str">
        <f t="shared" si="20"/>
        <v>fuel_tank_body_length</v>
      </c>
      <c r="Z118" t="str">
        <f t="shared" si="21"/>
        <v>double</v>
      </c>
      <c r="AA118" t="str">
        <f t="shared" si="22"/>
        <v>scalaire</v>
      </c>
      <c r="AB118" t="str">
        <f t="shared" si="23"/>
        <v>Longueur des réservoirs situés dans le corps central, suivant l'axe x</v>
      </c>
      <c r="AC118" t="str">
        <f t="shared" si="12"/>
        <v>m</v>
      </c>
      <c r="AD118" s="279" t="str">
        <f t="shared" si="13"/>
        <v>variable: fuel_tank_body_length double input description= "Longueur des réservoirs situés dans le corps central, suivant l'axe x" units= "m"</v>
      </c>
      <c r="AE118" s="7" t="str">
        <f t="shared" si="14"/>
        <v>Y30.Geometry.fuel_tanks</v>
      </c>
      <c r="AF118" s="7" t="str">
        <f t="shared" si="15"/>
        <v/>
      </c>
      <c r="AG118" s="7" t="str">
        <f t="shared" si="16"/>
        <v/>
      </c>
      <c r="AH118" s="7" t="str">
        <f t="shared" si="17"/>
        <v/>
      </c>
      <c r="AI118" s="7" t="str">
        <f t="shared" si="18"/>
        <v/>
      </c>
      <c r="AJ118" s="7" t="str">
        <f t="shared" si="19"/>
        <v/>
      </c>
    </row>
    <row r="119" spans="2:36">
      <c r="B119" s="329"/>
      <c r="C119" s="323"/>
      <c r="D119" s="34" t="s">
        <v>407</v>
      </c>
      <c r="E119" s="35" t="s">
        <v>408</v>
      </c>
      <c r="F119" t="s">
        <v>1052</v>
      </c>
      <c r="G119" t="s">
        <v>1036</v>
      </c>
      <c r="H119" s="249" t="s">
        <v>354</v>
      </c>
      <c r="I119" s="24" t="s">
        <v>13</v>
      </c>
      <c r="J119" s="185" t="s">
        <v>12</v>
      </c>
      <c r="K119" s="230" t="s">
        <v>83</v>
      </c>
      <c r="L119" s="32"/>
      <c r="M119" s="32"/>
      <c r="N119" s="32"/>
      <c r="O119" s="32"/>
      <c r="P119" s="231"/>
      <c r="Q119" s="289" t="s">
        <v>911</v>
      </c>
      <c r="R119" s="162">
        <v>104</v>
      </c>
      <c r="S119" s="144" t="s">
        <v>665</v>
      </c>
      <c r="T119" s="25"/>
      <c r="U119" s="7"/>
      <c r="V119" s="239"/>
      <c r="Y119" t="str">
        <f t="shared" si="20"/>
        <v>fuel_tank_body_width</v>
      </c>
      <c r="Z119" t="str">
        <f t="shared" si="21"/>
        <v>double</v>
      </c>
      <c r="AA119" t="str">
        <f t="shared" si="22"/>
        <v>scalaire</v>
      </c>
      <c r="AB119" t="str">
        <f t="shared" si="23"/>
        <v>Largeur des réservoirs situés dans le corps central, suivant l'axe y</v>
      </c>
      <c r="AC119" t="str">
        <f t="shared" si="12"/>
        <v>m</v>
      </c>
      <c r="AD119" s="279" t="str">
        <f t="shared" si="13"/>
        <v>variable: fuel_tank_body_width double input description= "Largeur des réservoirs situés dans le corps central, suivant l'axe y" units= "m"</v>
      </c>
      <c r="AE119" s="7" t="str">
        <f t="shared" si="14"/>
        <v>Y30.Geometry.fuel_tanks</v>
      </c>
      <c r="AF119" s="7" t="str">
        <f t="shared" si="15"/>
        <v/>
      </c>
      <c r="AG119" s="7" t="str">
        <f t="shared" si="16"/>
        <v/>
      </c>
      <c r="AH119" s="7" t="str">
        <f t="shared" si="17"/>
        <v/>
      </c>
      <c r="AI119" s="7" t="str">
        <f t="shared" si="18"/>
        <v/>
      </c>
      <c r="AJ119" s="7" t="str">
        <f t="shared" si="19"/>
        <v/>
      </c>
    </row>
    <row r="120" spans="2:36" ht="13.5" thickBot="1">
      <c r="B120" s="330"/>
      <c r="C120" s="331"/>
      <c r="D120" s="36" t="s">
        <v>409</v>
      </c>
      <c r="E120" s="37" t="s">
        <v>410</v>
      </c>
      <c r="F120" s="294" t="s">
        <v>1052</v>
      </c>
      <c r="G120" s="292" t="s">
        <v>1036</v>
      </c>
      <c r="H120" s="252" t="s">
        <v>354</v>
      </c>
      <c r="I120" s="38" t="s">
        <v>13</v>
      </c>
      <c r="J120" s="190" t="s">
        <v>12</v>
      </c>
      <c r="K120" s="234" t="s">
        <v>83</v>
      </c>
      <c r="L120" s="39"/>
      <c r="M120" s="39"/>
      <c r="N120" s="39"/>
      <c r="O120" s="39"/>
      <c r="P120" s="235"/>
      <c r="Q120" s="290" t="s">
        <v>912</v>
      </c>
      <c r="R120" s="163">
        <v>105</v>
      </c>
      <c r="S120" s="145" t="s">
        <v>665</v>
      </c>
      <c r="T120" s="40"/>
      <c r="U120" s="7"/>
      <c r="V120" s="239"/>
      <c r="Y120" t="str">
        <f t="shared" si="20"/>
        <v>fuel_tank_body_height</v>
      </c>
      <c r="Z120" t="str">
        <f t="shared" si="21"/>
        <v>double</v>
      </c>
      <c r="AA120" t="str">
        <f t="shared" si="22"/>
        <v>scalaire</v>
      </c>
      <c r="AB120" t="str">
        <f t="shared" si="23"/>
        <v>Hauteur des réservoirs situés dans le corps central, suivant l'axe z</v>
      </c>
      <c r="AC120" t="str">
        <f t="shared" si="12"/>
        <v>m</v>
      </c>
      <c r="AD120" s="279" t="str">
        <f t="shared" si="13"/>
        <v>variable: fuel_tank_body_height double input description= "Hauteur des réservoirs situés dans le corps central, suivant l'axe z" units= "m"</v>
      </c>
      <c r="AE120" s="7" t="str">
        <f t="shared" si="14"/>
        <v>Y30.Geometry.fuel_tanks</v>
      </c>
      <c r="AF120" s="7" t="str">
        <f t="shared" si="15"/>
        <v/>
      </c>
      <c r="AG120" s="7" t="str">
        <f t="shared" si="16"/>
        <v/>
      </c>
      <c r="AH120" s="7" t="str">
        <f t="shared" si="17"/>
        <v/>
      </c>
      <c r="AI120" s="7" t="str">
        <f t="shared" si="18"/>
        <v/>
      </c>
      <c r="AJ120" s="7" t="str">
        <f t="shared" si="19"/>
        <v/>
      </c>
    </row>
    <row r="121" spans="2:36">
      <c r="B121" s="315" t="s">
        <v>5</v>
      </c>
      <c r="C121" s="41" t="s">
        <v>48</v>
      </c>
      <c r="D121" s="42" t="s">
        <v>49</v>
      </c>
      <c r="E121" s="43" t="s">
        <v>50</v>
      </c>
      <c r="F121" t="s">
        <v>5</v>
      </c>
      <c r="G121" t="s">
        <v>1028</v>
      </c>
      <c r="H121" s="253" t="s">
        <v>354</v>
      </c>
      <c r="I121" s="44" t="s">
        <v>625</v>
      </c>
      <c r="J121" s="192" t="s">
        <v>51</v>
      </c>
      <c r="K121" s="191" t="s">
        <v>133</v>
      </c>
      <c r="L121" s="44" t="s">
        <v>581</v>
      </c>
      <c r="M121" s="44" t="s">
        <v>575</v>
      </c>
      <c r="N121" s="44" t="s">
        <v>576</v>
      </c>
      <c r="O121" s="44" t="s">
        <v>582</v>
      </c>
      <c r="P121" s="192" t="s">
        <v>583</v>
      </c>
      <c r="Q121" t="s">
        <v>816</v>
      </c>
      <c r="R121" s="164">
        <v>106</v>
      </c>
      <c r="S121" s="146" t="s">
        <v>665</v>
      </c>
      <c r="T121" s="45"/>
      <c r="U121" s="7"/>
      <c r="V121" s="239"/>
      <c r="Y121" t="str">
        <f t="shared" si="20"/>
        <v>engine_number</v>
      </c>
      <c r="Z121" t="str">
        <f t="shared" si="21"/>
        <v>integer</v>
      </c>
      <c r="AA121" t="str">
        <f t="shared" si="22"/>
        <v>scalaire</v>
      </c>
      <c r="AB121" t="str">
        <f t="shared" si="23"/>
        <v>Nombre de moteurs</v>
      </c>
      <c r="AC121" t="str">
        <f t="shared" si="12"/>
        <v>(-)</v>
      </c>
      <c r="AD121" s="279" t="str">
        <f t="shared" si="13"/>
        <v>variable: engine_number integer input description= "Nombre de moteurs" units= "(-)"</v>
      </c>
      <c r="AE121" s="7" t="str">
        <f t="shared" si="14"/>
        <v>X0.Propulsion.number</v>
      </c>
      <c r="AF121" s="7" t="str">
        <f t="shared" si="15"/>
        <v>Y01.Propulsion.number</v>
      </c>
      <c r="AG121" s="7" t="str">
        <f t="shared" si="16"/>
        <v>Y02.Propulsion.number</v>
      </c>
      <c r="AH121" s="7" t="str">
        <f t="shared" si="17"/>
        <v>Y03.Propulsion.number</v>
      </c>
      <c r="AI121" s="7" t="str">
        <f t="shared" si="18"/>
        <v>Y04.Propulsion.number</v>
      </c>
      <c r="AJ121" s="7" t="str">
        <f t="shared" si="19"/>
        <v>Y05.Propulsion.number</v>
      </c>
    </row>
    <row r="122" spans="2:36">
      <c r="B122" s="316"/>
      <c r="C122" s="46" t="s">
        <v>468</v>
      </c>
      <c r="D122" s="47" t="s">
        <v>456</v>
      </c>
      <c r="E122" s="48" t="s">
        <v>457</v>
      </c>
      <c r="F122" t="s">
        <v>5</v>
      </c>
      <c r="G122" t="s">
        <v>1028</v>
      </c>
      <c r="H122" s="254" t="s">
        <v>354</v>
      </c>
      <c r="I122" s="49" t="s">
        <v>625</v>
      </c>
      <c r="J122" s="194" t="s">
        <v>51</v>
      </c>
      <c r="K122" s="193" t="s">
        <v>121</v>
      </c>
      <c r="L122" s="49"/>
      <c r="M122" s="49"/>
      <c r="N122" s="49"/>
      <c r="O122" s="49"/>
      <c r="P122" s="194"/>
      <c r="Q122" t="s">
        <v>913</v>
      </c>
      <c r="R122" s="165">
        <v>107</v>
      </c>
      <c r="S122" s="147" t="s">
        <v>665</v>
      </c>
      <c r="T122" s="50"/>
      <c r="U122" s="7"/>
      <c r="V122" s="239"/>
      <c r="Y122" t="str">
        <f t="shared" si="20"/>
        <v>engine_flux_number</v>
      </c>
      <c r="Z122" t="str">
        <f t="shared" si="21"/>
        <v>integer</v>
      </c>
      <c r="AA122" t="str">
        <f t="shared" si="22"/>
        <v>scalaire</v>
      </c>
      <c r="AB122" t="str">
        <f t="shared" si="23"/>
        <v>Nombre de flux des moteurs</v>
      </c>
      <c r="AC122" t="str">
        <f t="shared" si="12"/>
        <v>(-)</v>
      </c>
      <c r="AD122" s="279" t="str">
        <f t="shared" si="13"/>
        <v>variable: engine_flux_number integer input description= "Nombre de flux des moteurs" units= "(-)"</v>
      </c>
      <c r="AE122" s="7" t="str">
        <f t="shared" si="14"/>
        <v>X2.Propulsion.number</v>
      </c>
      <c r="AF122" s="7" t="str">
        <f t="shared" si="15"/>
        <v/>
      </c>
      <c r="AG122" s="7" t="str">
        <f t="shared" si="16"/>
        <v/>
      </c>
      <c r="AH122" s="7" t="str">
        <f t="shared" si="17"/>
        <v/>
      </c>
      <c r="AI122" s="7" t="str">
        <f t="shared" si="18"/>
        <v/>
      </c>
      <c r="AJ122" s="7" t="str">
        <f t="shared" si="19"/>
        <v/>
      </c>
    </row>
    <row r="123" spans="2:36">
      <c r="B123" s="316"/>
      <c r="C123" s="51" t="s">
        <v>187</v>
      </c>
      <c r="D123" s="47" t="s">
        <v>188</v>
      </c>
      <c r="E123" s="48" t="s">
        <v>190</v>
      </c>
      <c r="F123" t="s">
        <v>5</v>
      </c>
      <c r="G123" t="s">
        <v>1037</v>
      </c>
      <c r="H123" s="254" t="s">
        <v>354</v>
      </c>
      <c r="I123" s="49" t="s">
        <v>13</v>
      </c>
      <c r="J123" s="194" t="s">
        <v>51</v>
      </c>
      <c r="K123" s="193" t="s">
        <v>189</v>
      </c>
      <c r="L123" s="49"/>
      <c r="M123" s="49"/>
      <c r="N123" s="49"/>
      <c r="O123" s="49"/>
      <c r="P123" s="194"/>
      <c r="Q123" t="s">
        <v>833</v>
      </c>
      <c r="R123" s="165">
        <v>108</v>
      </c>
      <c r="S123" s="147" t="s">
        <v>665</v>
      </c>
      <c r="T123" s="50"/>
      <c r="U123" s="7"/>
      <c r="V123" s="239"/>
      <c r="Y123" t="str">
        <f t="shared" si="20"/>
        <v>engine_scale_factor</v>
      </c>
      <c r="Z123" t="str">
        <f t="shared" si="21"/>
        <v>double</v>
      </c>
      <c r="AA123" t="str">
        <f t="shared" si="22"/>
        <v>scalaire</v>
      </c>
      <c r="AB123" t="str">
        <f t="shared" si="23"/>
        <v>Facteur d'échelle sur le moteur de référence</v>
      </c>
      <c r="AC123" t="str">
        <f t="shared" si="12"/>
        <v>(-)</v>
      </c>
      <c r="AD123" s="279" t="str">
        <f t="shared" si="13"/>
        <v>variable: engine_scale_factor double input description= "Facteur d'échelle sur le moteur de référence" units= "(-)"</v>
      </c>
      <c r="AE123" s="7" t="str">
        <f t="shared" si="14"/>
        <v>Y1x.Propulsion.scale</v>
      </c>
      <c r="AF123" s="7" t="str">
        <f t="shared" si="15"/>
        <v/>
      </c>
      <c r="AG123" s="7" t="str">
        <f t="shared" si="16"/>
        <v/>
      </c>
      <c r="AH123" s="7" t="str">
        <f t="shared" si="17"/>
        <v/>
      </c>
      <c r="AI123" s="7" t="str">
        <f t="shared" si="18"/>
        <v/>
      </c>
      <c r="AJ123" s="7" t="str">
        <f t="shared" si="19"/>
        <v/>
      </c>
    </row>
    <row r="124" spans="2:36">
      <c r="B124" s="316"/>
      <c r="C124" s="51" t="s">
        <v>62</v>
      </c>
      <c r="D124" s="47" t="s">
        <v>89</v>
      </c>
      <c r="E124" s="48" t="s">
        <v>90</v>
      </c>
      <c r="F124" t="s">
        <v>5</v>
      </c>
      <c r="G124" t="s">
        <v>1023</v>
      </c>
      <c r="H124" s="254" t="s">
        <v>354</v>
      </c>
      <c r="I124" s="49" t="s">
        <v>13</v>
      </c>
      <c r="J124" s="194" t="s">
        <v>63</v>
      </c>
      <c r="K124" s="193" t="s">
        <v>91</v>
      </c>
      <c r="L124" s="49"/>
      <c r="M124" s="49"/>
      <c r="N124" s="49"/>
      <c r="O124" s="49"/>
      <c r="P124" s="194"/>
      <c r="Q124" t="s">
        <v>817</v>
      </c>
      <c r="R124" s="165">
        <v>109</v>
      </c>
      <c r="S124" s="147" t="s">
        <v>665</v>
      </c>
      <c r="T124" s="50"/>
      <c r="U124" s="7"/>
      <c r="V124" s="239"/>
      <c r="Y124" t="str">
        <f t="shared" si="20"/>
        <v>engine_mass</v>
      </c>
      <c r="Z124" t="str">
        <f t="shared" si="21"/>
        <v>double</v>
      </c>
      <c r="AA124" t="str">
        <f t="shared" si="22"/>
        <v>scalaire</v>
      </c>
      <c r="AB124" t="str">
        <f t="shared" si="23"/>
        <v>Masse d'un moteur</v>
      </c>
      <c r="AC124" t="str">
        <f t="shared" si="12"/>
        <v>kg</v>
      </c>
      <c r="AD124" s="279" t="str">
        <f t="shared" si="13"/>
        <v>variable: engine_mass double input description= "Masse d'un moteur" units= "kg"</v>
      </c>
      <c r="AE124" s="7" t="str">
        <f t="shared" si="14"/>
        <v>Y13.Propulsion.masses</v>
      </c>
      <c r="AF124" s="7" t="str">
        <f t="shared" si="15"/>
        <v/>
      </c>
      <c r="AG124" s="7" t="str">
        <f t="shared" si="16"/>
        <v/>
      </c>
      <c r="AH124" s="7" t="str">
        <f t="shared" si="17"/>
        <v/>
      </c>
      <c r="AI124" s="7" t="str">
        <f t="shared" si="18"/>
        <v/>
      </c>
      <c r="AJ124" s="7" t="str">
        <f t="shared" si="19"/>
        <v/>
      </c>
    </row>
    <row r="125" spans="2:36">
      <c r="B125" s="316"/>
      <c r="C125" s="51" t="s">
        <v>179</v>
      </c>
      <c r="D125" s="47" t="s">
        <v>255</v>
      </c>
      <c r="E125" s="48" t="s">
        <v>256</v>
      </c>
      <c r="F125" t="s">
        <v>5</v>
      </c>
      <c r="G125" t="s">
        <v>179</v>
      </c>
      <c r="H125" s="254" t="s">
        <v>72</v>
      </c>
      <c r="I125" s="49" t="s">
        <v>638</v>
      </c>
      <c r="J125" s="194" t="s">
        <v>51</v>
      </c>
      <c r="K125" s="193" t="s">
        <v>88</v>
      </c>
      <c r="L125" s="49"/>
      <c r="M125" s="49"/>
      <c r="N125" s="49"/>
      <c r="O125" s="49"/>
      <c r="P125" s="194"/>
      <c r="Q125" t="s">
        <v>832</v>
      </c>
      <c r="R125" s="165">
        <v>110</v>
      </c>
      <c r="S125" s="147" t="s">
        <v>665</v>
      </c>
      <c r="T125" s="50"/>
      <c r="U125" s="7"/>
      <c r="V125" s="239"/>
      <c r="Y125" t="str">
        <f t="shared" si="20"/>
        <v>engine_BLI_rate</v>
      </c>
      <c r="Z125" t="str">
        <f t="shared" si="21"/>
        <v>double[]</v>
      </c>
      <c r="AA125" t="str">
        <f t="shared" si="22"/>
        <v>table</v>
      </c>
      <c r="AB125" t="str">
        <f t="shared" si="23"/>
        <v>Taux d'enfouissement des moteurs</v>
      </c>
      <c r="AC125" t="str">
        <f t="shared" si="12"/>
        <v>(-)</v>
      </c>
      <c r="AD125" s="279" t="str">
        <f t="shared" si="13"/>
        <v>variable: engine_BLI_rate double[] input description= "Taux d'enfouissement des moteurs" units= "(-)"</v>
      </c>
      <c r="AE125" s="7" t="str">
        <f t="shared" si="14"/>
        <v>X1.Propulsion.BLI</v>
      </c>
      <c r="AF125" s="7" t="str">
        <f t="shared" si="15"/>
        <v/>
      </c>
      <c r="AG125" s="7" t="str">
        <f t="shared" si="16"/>
        <v/>
      </c>
      <c r="AH125" s="7" t="str">
        <f t="shared" si="17"/>
        <v/>
      </c>
      <c r="AI125" s="7" t="str">
        <f t="shared" si="18"/>
        <v/>
      </c>
      <c r="AJ125" s="7" t="str">
        <f t="shared" si="19"/>
        <v/>
      </c>
    </row>
    <row r="126" spans="2:36">
      <c r="B126" s="316"/>
      <c r="C126" s="296" t="s">
        <v>349</v>
      </c>
      <c r="D126" s="52" t="s">
        <v>539</v>
      </c>
      <c r="E126" s="53" t="s">
        <v>522</v>
      </c>
      <c r="F126" t="s">
        <v>5</v>
      </c>
      <c r="G126" t="s">
        <v>1030</v>
      </c>
      <c r="H126" s="255" t="s">
        <v>72</v>
      </c>
      <c r="I126" s="54" t="s">
        <v>638</v>
      </c>
      <c r="J126" s="196" t="s">
        <v>51</v>
      </c>
      <c r="K126" s="195" t="s">
        <v>88</v>
      </c>
      <c r="L126" s="54"/>
      <c r="M126" s="54"/>
      <c r="N126" s="54"/>
      <c r="O126" s="54"/>
      <c r="P126" s="196"/>
      <c r="Q126" t="s">
        <v>831</v>
      </c>
      <c r="R126" s="165">
        <v>111</v>
      </c>
      <c r="S126" s="147" t="s">
        <v>665</v>
      </c>
      <c r="T126" s="50"/>
      <c r="U126" s="7"/>
      <c r="V126" s="239"/>
      <c r="Y126" t="str">
        <f t="shared" si="20"/>
        <v>propulsion_takeoff_table</v>
      </c>
      <c r="Z126" t="str">
        <f t="shared" si="21"/>
        <v>double[]</v>
      </c>
      <c r="AA126" t="str">
        <f t="shared" si="22"/>
        <v>table</v>
      </c>
      <c r="AB126" t="str">
        <f t="shared" si="23"/>
        <v>Points de vol pour le calcul de la propulsion (z, Mach, disa, T5), pour le segment TakeOff</v>
      </c>
      <c r="AC126" t="str">
        <f t="shared" si="12"/>
        <v>(-)</v>
      </c>
      <c r="AD126" s="279" t="str">
        <f t="shared" si="13"/>
        <v>variable: propulsion_takeoff_table double[] input description= "Points de vol pour le calcul de la propulsion (z, Mach, disa, T5), pour le segment TakeOff" units= "(-)"</v>
      </c>
      <c r="AE126" s="7" t="str">
        <f t="shared" si="14"/>
        <v>X1.Propulsion.propulsion_flight_point</v>
      </c>
      <c r="AF126" s="7" t="str">
        <f t="shared" si="15"/>
        <v/>
      </c>
      <c r="AG126" s="7" t="str">
        <f t="shared" si="16"/>
        <v/>
      </c>
      <c r="AH126" s="7" t="str">
        <f t="shared" si="17"/>
        <v/>
      </c>
      <c r="AI126" s="7" t="str">
        <f t="shared" si="18"/>
        <v/>
      </c>
      <c r="AJ126" s="7" t="str">
        <f t="shared" si="19"/>
        <v/>
      </c>
    </row>
    <row r="127" spans="2:36">
      <c r="B127" s="316"/>
      <c r="C127" s="297"/>
      <c r="D127" s="52" t="s">
        <v>540</v>
      </c>
      <c r="E127" s="53" t="s">
        <v>527</v>
      </c>
      <c r="F127" t="s">
        <v>5</v>
      </c>
      <c r="G127" t="s">
        <v>1030</v>
      </c>
      <c r="H127" s="255" t="s">
        <v>72</v>
      </c>
      <c r="I127" s="54" t="s">
        <v>638</v>
      </c>
      <c r="J127" s="196" t="s">
        <v>51</v>
      </c>
      <c r="K127" s="195" t="s">
        <v>88</v>
      </c>
      <c r="L127" s="54"/>
      <c r="M127" s="54"/>
      <c r="N127" s="54"/>
      <c r="O127" s="54"/>
      <c r="P127" s="196"/>
      <c r="Q127" t="s">
        <v>828</v>
      </c>
      <c r="R127" s="165">
        <v>112</v>
      </c>
      <c r="S127" s="147" t="s">
        <v>665</v>
      </c>
      <c r="T127" s="50"/>
      <c r="U127" s="7"/>
      <c r="V127" s="239"/>
      <c r="Y127" t="str">
        <f t="shared" si="20"/>
        <v>propulsion_climb_table</v>
      </c>
      <c r="Z127" t="str">
        <f t="shared" si="21"/>
        <v>double[]</v>
      </c>
      <c r="AA127" t="str">
        <f t="shared" si="22"/>
        <v>table</v>
      </c>
      <c r="AB127" t="str">
        <f t="shared" si="23"/>
        <v>Points de vol pour le calcul de la propulsion (z, Mach, disa, T5), pour le segment Climb</v>
      </c>
      <c r="AC127" t="str">
        <f t="shared" si="12"/>
        <v>(-)</v>
      </c>
      <c r="AD127" s="279" t="str">
        <f t="shared" si="13"/>
        <v>variable: propulsion_climb_table double[] input description= "Points de vol pour le calcul de la propulsion (z, Mach, disa, T5), pour le segment Climb" units= "(-)"</v>
      </c>
      <c r="AE127" s="7" t="str">
        <f t="shared" si="14"/>
        <v>X1.Propulsion.propulsion_flight_point</v>
      </c>
      <c r="AF127" s="7" t="str">
        <f t="shared" si="15"/>
        <v/>
      </c>
      <c r="AG127" s="7" t="str">
        <f t="shared" si="16"/>
        <v/>
      </c>
      <c r="AH127" s="7" t="str">
        <f t="shared" si="17"/>
        <v/>
      </c>
      <c r="AI127" s="7" t="str">
        <f t="shared" si="18"/>
        <v/>
      </c>
      <c r="AJ127" s="7" t="str">
        <f t="shared" si="19"/>
        <v/>
      </c>
    </row>
    <row r="128" spans="2:36">
      <c r="B128" s="316"/>
      <c r="C128" s="297"/>
      <c r="D128" s="52" t="s">
        <v>541</v>
      </c>
      <c r="E128" s="53" t="s">
        <v>528</v>
      </c>
      <c r="F128" t="s">
        <v>5</v>
      </c>
      <c r="G128" t="s">
        <v>1030</v>
      </c>
      <c r="H128" s="255" t="s">
        <v>72</v>
      </c>
      <c r="I128" s="54" t="s">
        <v>638</v>
      </c>
      <c r="J128" s="196" t="s">
        <v>51</v>
      </c>
      <c r="K128" s="195" t="s">
        <v>88</v>
      </c>
      <c r="L128" s="54"/>
      <c r="M128" s="54"/>
      <c r="N128" s="54"/>
      <c r="O128" s="54"/>
      <c r="P128" s="196"/>
      <c r="Q128" t="s">
        <v>829</v>
      </c>
      <c r="R128" s="165">
        <v>113</v>
      </c>
      <c r="S128" s="147" t="s">
        <v>665</v>
      </c>
      <c r="T128" s="50"/>
      <c r="U128" s="7"/>
      <c r="V128" s="239"/>
      <c r="Y128" t="str">
        <f t="shared" si="20"/>
        <v>propulsion_cruise_table</v>
      </c>
      <c r="Z128" t="str">
        <f t="shared" si="21"/>
        <v>double[]</v>
      </c>
      <c r="AA128" t="str">
        <f t="shared" si="22"/>
        <v>table</v>
      </c>
      <c r="AB128" t="str">
        <f t="shared" si="23"/>
        <v>Points de vol pour le calcul de la propulsion (z, Mach, disa, T5), pour le segment Cruise</v>
      </c>
      <c r="AC128" t="str">
        <f t="shared" si="12"/>
        <v>(-)</v>
      </c>
      <c r="AD128" s="279" t="str">
        <f t="shared" si="13"/>
        <v>variable: propulsion_cruise_table double[] input description= "Points de vol pour le calcul de la propulsion (z, Mach, disa, T5), pour le segment Cruise" units= "(-)"</v>
      </c>
      <c r="AE128" s="7" t="str">
        <f t="shared" si="14"/>
        <v>X1.Propulsion.propulsion_flight_point</v>
      </c>
      <c r="AF128" s="7" t="str">
        <f t="shared" si="15"/>
        <v/>
      </c>
      <c r="AG128" s="7" t="str">
        <f t="shared" si="16"/>
        <v/>
      </c>
      <c r="AH128" s="7" t="str">
        <f t="shared" si="17"/>
        <v/>
      </c>
      <c r="AI128" s="7" t="str">
        <f t="shared" si="18"/>
        <v/>
      </c>
      <c r="AJ128" s="7" t="str">
        <f t="shared" si="19"/>
        <v/>
      </c>
    </row>
    <row r="129" spans="2:36" ht="24">
      <c r="B129" s="316"/>
      <c r="C129" s="298"/>
      <c r="D129" s="52" t="s">
        <v>542</v>
      </c>
      <c r="E129" s="53" t="s">
        <v>529</v>
      </c>
      <c r="F129" t="s">
        <v>5</v>
      </c>
      <c r="G129" t="s">
        <v>1030</v>
      </c>
      <c r="H129" s="255" t="s">
        <v>72</v>
      </c>
      <c r="I129" s="54" t="s">
        <v>638</v>
      </c>
      <c r="J129" s="196" t="s">
        <v>51</v>
      </c>
      <c r="K129" s="195" t="s">
        <v>88</v>
      </c>
      <c r="L129" s="54"/>
      <c r="M129" s="54"/>
      <c r="N129" s="54"/>
      <c r="O129" s="54"/>
      <c r="P129" s="196"/>
      <c r="Q129" t="s">
        <v>830</v>
      </c>
      <c r="R129" s="165">
        <v>114</v>
      </c>
      <c r="S129" s="147" t="s">
        <v>665</v>
      </c>
      <c r="T129" s="50"/>
      <c r="U129" s="7"/>
      <c r="V129" s="239"/>
      <c r="Y129" t="str">
        <f t="shared" si="20"/>
        <v>propulsion_descent_table</v>
      </c>
      <c r="Z129" t="str">
        <f t="shared" si="21"/>
        <v>double[]</v>
      </c>
      <c r="AA129" t="str">
        <f t="shared" si="22"/>
        <v>table</v>
      </c>
      <c r="AB129" t="str">
        <f t="shared" si="23"/>
        <v>Points de vol pour le calcul de la propulsion (z, Mach, disa, T5), pour le segment Descent</v>
      </c>
      <c r="AC129" t="str">
        <f t="shared" si="12"/>
        <v>(-)</v>
      </c>
      <c r="AD129" s="279" t="str">
        <f t="shared" si="13"/>
        <v>variable: propulsion_descent_table double[] input description= "Points de vol pour le calcul de la propulsion (z, Mach, disa, T5), pour le segment Descent" units= "(-)"</v>
      </c>
      <c r="AE129" s="7" t="str">
        <f t="shared" si="14"/>
        <v>X1.Propulsion.propulsion_flight_point</v>
      </c>
      <c r="AF129" s="7" t="str">
        <f t="shared" si="15"/>
        <v/>
      </c>
      <c r="AG129" s="7" t="str">
        <f t="shared" si="16"/>
        <v/>
      </c>
      <c r="AH129" s="7" t="str">
        <f t="shared" si="17"/>
        <v/>
      </c>
      <c r="AI129" s="7" t="str">
        <f t="shared" si="18"/>
        <v/>
      </c>
      <c r="AJ129" s="7" t="str">
        <f t="shared" si="19"/>
        <v/>
      </c>
    </row>
    <row r="130" spans="2:36">
      <c r="B130" s="316"/>
      <c r="C130" s="296" t="s">
        <v>124</v>
      </c>
      <c r="D130" s="52" t="s">
        <v>514</v>
      </c>
      <c r="E130" s="53" t="s">
        <v>517</v>
      </c>
      <c r="F130" t="s">
        <v>5</v>
      </c>
      <c r="G130" t="s">
        <v>1034</v>
      </c>
      <c r="H130" s="255" t="s">
        <v>354</v>
      </c>
      <c r="I130" s="54" t="s">
        <v>13</v>
      </c>
      <c r="J130" s="196" t="s">
        <v>118</v>
      </c>
      <c r="K130" s="195" t="s">
        <v>119</v>
      </c>
      <c r="L130" s="54" t="s">
        <v>584</v>
      </c>
      <c r="M130" s="54"/>
      <c r="N130" s="54"/>
      <c r="O130" s="54"/>
      <c r="P130" s="196"/>
      <c r="Q130" t="s">
        <v>818</v>
      </c>
      <c r="R130" s="165">
        <v>115</v>
      </c>
      <c r="S130" s="147" t="s">
        <v>665</v>
      </c>
      <c r="T130" s="50"/>
      <c r="U130" s="7"/>
      <c r="V130" s="239"/>
      <c r="Y130" t="str">
        <f t="shared" si="20"/>
        <v>engine_ground_thrust</v>
      </c>
      <c r="Z130" t="str">
        <f t="shared" si="21"/>
        <v>double</v>
      </c>
      <c r="AA130" t="str">
        <f t="shared" si="22"/>
        <v>scalaire</v>
      </c>
      <c r="AB130" t="str">
        <f t="shared" si="23"/>
        <v>Poussée d'un moteur au sol</v>
      </c>
      <c r="AC130" t="str">
        <f t="shared" si="12"/>
        <v>N</v>
      </c>
      <c r="AD130" s="279" t="str">
        <f t="shared" si="13"/>
        <v>variable: engine_ground_thrust double input description= "Poussée d'un moteur au sol" units= "N"</v>
      </c>
      <c r="AE130" s="7" t="str">
        <f t="shared" si="14"/>
        <v>Y14.Propulsion.thrust</v>
      </c>
      <c r="AF130" s="7" t="str">
        <f t="shared" si="15"/>
        <v>Y15.Propulsion.thrust</v>
      </c>
      <c r="AG130" s="7" t="str">
        <f t="shared" si="16"/>
        <v/>
      </c>
      <c r="AH130" s="7" t="str">
        <f t="shared" si="17"/>
        <v/>
      </c>
      <c r="AI130" s="7" t="str">
        <f t="shared" si="18"/>
        <v/>
      </c>
      <c r="AJ130" s="7" t="str">
        <f t="shared" si="19"/>
        <v/>
      </c>
    </row>
    <row r="131" spans="2:36">
      <c r="B131" s="316"/>
      <c r="C131" s="297"/>
      <c r="D131" s="52" t="s">
        <v>520</v>
      </c>
      <c r="E131" s="53" t="s">
        <v>523</v>
      </c>
      <c r="F131" t="s">
        <v>5</v>
      </c>
      <c r="G131" t="s">
        <v>1034</v>
      </c>
      <c r="H131" s="255" t="s">
        <v>72</v>
      </c>
      <c r="I131" s="54" t="s">
        <v>638</v>
      </c>
      <c r="J131" s="196" t="s">
        <v>118</v>
      </c>
      <c r="K131" s="195" t="s">
        <v>119</v>
      </c>
      <c r="L131" s="54" t="s">
        <v>584</v>
      </c>
      <c r="M131" s="54"/>
      <c r="N131" s="54"/>
      <c r="O131" s="54"/>
      <c r="P131" s="196"/>
      <c r="Q131" t="s">
        <v>914</v>
      </c>
      <c r="R131" s="165">
        <v>116</v>
      </c>
      <c r="S131" s="147" t="s">
        <v>665</v>
      </c>
      <c r="T131" s="50"/>
      <c r="U131" s="7"/>
      <c r="V131" s="239"/>
      <c r="Y131" t="str">
        <f t="shared" si="20"/>
        <v>engine_takeoff_thrust_table</v>
      </c>
      <c r="Z131" t="str">
        <f t="shared" si="21"/>
        <v>double[]</v>
      </c>
      <c r="AA131" t="str">
        <f t="shared" si="22"/>
        <v>table</v>
      </c>
      <c r="AB131" t="str">
        <f t="shared" si="23"/>
        <v>Poussée d'un moteur aux points TablepropulsionTakeOff</v>
      </c>
      <c r="AC131" t="str">
        <f t="shared" si="12"/>
        <v>N</v>
      </c>
      <c r="AD131" s="279" t="str">
        <f t="shared" si="13"/>
        <v>variable: engine_takeoff_thrust_table double[] input description= "Poussée d'un moteur aux points TablepropulsionTakeOff" units= "N"</v>
      </c>
      <c r="AE131" s="7" t="str">
        <f t="shared" si="14"/>
        <v>Y14.Propulsion.thrust</v>
      </c>
      <c r="AF131" s="7" t="str">
        <f t="shared" si="15"/>
        <v>Y15.Propulsion.thrust</v>
      </c>
      <c r="AG131" s="7" t="str">
        <f t="shared" si="16"/>
        <v/>
      </c>
      <c r="AH131" s="7" t="str">
        <f t="shared" si="17"/>
        <v/>
      </c>
      <c r="AI131" s="7" t="str">
        <f t="shared" si="18"/>
        <v/>
      </c>
      <c r="AJ131" s="7" t="str">
        <f t="shared" si="19"/>
        <v/>
      </c>
    </row>
    <row r="132" spans="2:36">
      <c r="B132" s="316"/>
      <c r="C132" s="297"/>
      <c r="D132" s="52" t="s">
        <v>521</v>
      </c>
      <c r="E132" s="53" t="s">
        <v>524</v>
      </c>
      <c r="F132" t="s">
        <v>5</v>
      </c>
      <c r="G132" t="s">
        <v>1034</v>
      </c>
      <c r="H132" s="255" t="s">
        <v>72</v>
      </c>
      <c r="I132" s="54" t="s">
        <v>638</v>
      </c>
      <c r="J132" s="196" t="s">
        <v>118</v>
      </c>
      <c r="K132" s="195" t="s">
        <v>119</v>
      </c>
      <c r="L132" s="54" t="s">
        <v>584</v>
      </c>
      <c r="M132" s="54"/>
      <c r="N132" s="54"/>
      <c r="O132" s="54"/>
      <c r="P132" s="196"/>
      <c r="Q132" t="s">
        <v>915</v>
      </c>
      <c r="R132" s="165">
        <v>117</v>
      </c>
      <c r="S132" s="147" t="s">
        <v>665</v>
      </c>
      <c r="T132" s="50"/>
      <c r="U132" s="7"/>
      <c r="V132" s="239"/>
      <c r="Y132" t="str">
        <f t="shared" si="20"/>
        <v>engine_climb_thrust_table</v>
      </c>
      <c r="Z132" t="str">
        <f t="shared" si="21"/>
        <v>double[]</v>
      </c>
      <c r="AA132" t="str">
        <f t="shared" si="22"/>
        <v>table</v>
      </c>
      <c r="AB132" t="str">
        <f t="shared" si="23"/>
        <v>Poussée d'un moteur aux points TablepropulsionClimb</v>
      </c>
      <c r="AC132" t="str">
        <f t="shared" si="12"/>
        <v>N</v>
      </c>
      <c r="AD132" s="279" t="str">
        <f t="shared" si="13"/>
        <v>variable: engine_climb_thrust_table double[] input description= "Poussée d'un moteur aux points TablepropulsionClimb" units= "N"</v>
      </c>
      <c r="AE132" s="7" t="str">
        <f t="shared" si="14"/>
        <v>Y14.Propulsion.thrust</v>
      </c>
      <c r="AF132" s="7" t="str">
        <f t="shared" si="15"/>
        <v>Y15.Propulsion.thrust</v>
      </c>
      <c r="AG132" s="7" t="str">
        <f t="shared" si="16"/>
        <v/>
      </c>
      <c r="AH132" s="7" t="str">
        <f t="shared" si="17"/>
        <v/>
      </c>
      <c r="AI132" s="7" t="str">
        <f t="shared" si="18"/>
        <v/>
      </c>
      <c r="AJ132" s="7" t="str">
        <f t="shared" si="19"/>
        <v/>
      </c>
    </row>
    <row r="133" spans="2:36">
      <c r="B133" s="316"/>
      <c r="C133" s="297"/>
      <c r="D133" s="52" t="s">
        <v>515</v>
      </c>
      <c r="E133" s="53" t="s">
        <v>525</v>
      </c>
      <c r="F133" t="s">
        <v>5</v>
      </c>
      <c r="G133" t="s">
        <v>1034</v>
      </c>
      <c r="H133" s="255" t="s">
        <v>72</v>
      </c>
      <c r="I133" s="54" t="s">
        <v>638</v>
      </c>
      <c r="J133" s="196" t="s">
        <v>118</v>
      </c>
      <c r="K133" s="195" t="s">
        <v>119</v>
      </c>
      <c r="L133" s="54" t="s">
        <v>584</v>
      </c>
      <c r="M133" s="54"/>
      <c r="N133" s="54"/>
      <c r="O133" s="54"/>
      <c r="P133" s="196"/>
      <c r="Q133" t="s">
        <v>916</v>
      </c>
      <c r="R133" s="165">
        <v>118</v>
      </c>
      <c r="S133" s="147" t="s">
        <v>665</v>
      </c>
      <c r="T133" s="50"/>
      <c r="U133" s="7"/>
      <c r="V133" s="239"/>
      <c r="Y133" t="str">
        <f t="shared" si="20"/>
        <v>engine_cruise_thrust_table</v>
      </c>
      <c r="Z133" t="str">
        <f t="shared" si="21"/>
        <v>double[]</v>
      </c>
      <c r="AA133" t="str">
        <f t="shared" si="22"/>
        <v>table</v>
      </c>
      <c r="AB133" t="str">
        <f t="shared" si="23"/>
        <v>Poussée d'un moteur aux points TablepropulsionCruise</v>
      </c>
      <c r="AC133" t="str">
        <f t="shared" si="12"/>
        <v>N</v>
      </c>
      <c r="AD133" s="279" t="str">
        <f t="shared" si="13"/>
        <v>variable: engine_cruise_thrust_table double[] input description= "Poussée d'un moteur aux points TablepropulsionCruise" units= "N"</v>
      </c>
      <c r="AE133" s="7" t="str">
        <f t="shared" si="14"/>
        <v>Y14.Propulsion.thrust</v>
      </c>
      <c r="AF133" s="7" t="str">
        <f t="shared" si="15"/>
        <v>Y15.Propulsion.thrust</v>
      </c>
      <c r="AG133" s="7" t="str">
        <f t="shared" si="16"/>
        <v/>
      </c>
      <c r="AH133" s="7" t="str">
        <f t="shared" si="17"/>
        <v/>
      </c>
      <c r="AI133" s="7" t="str">
        <f t="shared" si="18"/>
        <v/>
      </c>
      <c r="AJ133" s="7" t="str">
        <f t="shared" si="19"/>
        <v/>
      </c>
    </row>
    <row r="134" spans="2:36">
      <c r="B134" s="316"/>
      <c r="C134" s="298"/>
      <c r="D134" s="52" t="s">
        <v>519</v>
      </c>
      <c r="E134" s="53" t="s">
        <v>526</v>
      </c>
      <c r="F134" t="s">
        <v>5</v>
      </c>
      <c r="G134" t="s">
        <v>1034</v>
      </c>
      <c r="H134" s="255" t="s">
        <v>72</v>
      </c>
      <c r="I134" s="54" t="s">
        <v>638</v>
      </c>
      <c r="J134" s="196" t="s">
        <v>118</v>
      </c>
      <c r="K134" s="195" t="s">
        <v>119</v>
      </c>
      <c r="L134" s="54" t="s">
        <v>584</v>
      </c>
      <c r="M134" s="54"/>
      <c r="N134" s="54"/>
      <c r="O134" s="54"/>
      <c r="P134" s="196"/>
      <c r="Q134" t="s">
        <v>917</v>
      </c>
      <c r="R134" s="165">
        <v>119</v>
      </c>
      <c r="S134" s="147" t="s">
        <v>665</v>
      </c>
      <c r="T134" s="50"/>
      <c r="U134" s="7"/>
      <c r="V134" s="239"/>
      <c r="Y134" t="str">
        <f t="shared" si="20"/>
        <v>engine_descent_thrust_table</v>
      </c>
      <c r="Z134" t="str">
        <f t="shared" si="21"/>
        <v>double[]</v>
      </c>
      <c r="AA134" t="str">
        <f t="shared" si="22"/>
        <v>table</v>
      </c>
      <c r="AB134" t="str">
        <f t="shared" si="23"/>
        <v>Poussée d'un moteur aux points TablepropulsionDescent</v>
      </c>
      <c r="AC134" t="str">
        <f t="shared" si="12"/>
        <v>N</v>
      </c>
      <c r="AD134" s="279" t="str">
        <f t="shared" si="13"/>
        <v>variable: engine_descent_thrust_table double[] input description= "Poussée d'un moteur aux points TablepropulsionDescent" units= "N"</v>
      </c>
      <c r="AE134" s="7" t="str">
        <f t="shared" si="14"/>
        <v>Y14.Propulsion.thrust</v>
      </c>
      <c r="AF134" s="7" t="str">
        <f t="shared" si="15"/>
        <v>Y15.Propulsion.thrust</v>
      </c>
      <c r="AG134" s="7" t="str">
        <f t="shared" si="16"/>
        <v/>
      </c>
      <c r="AH134" s="7" t="str">
        <f t="shared" si="17"/>
        <v/>
      </c>
      <c r="AI134" s="7" t="str">
        <f t="shared" si="18"/>
        <v/>
      </c>
      <c r="AJ134" s="7" t="str">
        <f t="shared" si="19"/>
        <v/>
      </c>
    </row>
    <row r="135" spans="2:36">
      <c r="B135" s="316"/>
      <c r="C135" s="296" t="s">
        <v>180</v>
      </c>
      <c r="D135" s="52" t="s">
        <v>516</v>
      </c>
      <c r="E135" s="53" t="s">
        <v>549</v>
      </c>
      <c r="F135" t="s">
        <v>5</v>
      </c>
      <c r="G135" t="s">
        <v>574</v>
      </c>
      <c r="H135" s="255" t="s">
        <v>354</v>
      </c>
      <c r="I135" s="54" t="s">
        <v>13</v>
      </c>
      <c r="J135" s="196" t="s">
        <v>120</v>
      </c>
      <c r="K135" s="195" t="s">
        <v>119</v>
      </c>
      <c r="L135" s="54"/>
      <c r="M135" s="54"/>
      <c r="N135" s="54"/>
      <c r="O135" s="54"/>
      <c r="P135" s="196"/>
      <c r="Q135" t="s">
        <v>819</v>
      </c>
      <c r="R135" s="165">
        <v>120</v>
      </c>
      <c r="S135" s="147" t="s">
        <v>665</v>
      </c>
      <c r="T135" s="50"/>
      <c r="U135" s="7"/>
      <c r="V135" s="239"/>
      <c r="Y135" t="str">
        <f t="shared" si="20"/>
        <v>sfc_ground</v>
      </c>
      <c r="Z135" t="str">
        <f t="shared" si="21"/>
        <v>double</v>
      </c>
      <c r="AA135" t="str">
        <f t="shared" si="22"/>
        <v>scalaire</v>
      </c>
      <c r="AB135" t="str">
        <f t="shared" si="23"/>
        <v>Consommation spécifique d'un moteur au sol</v>
      </c>
      <c r="AC135" t="str">
        <f t="shared" si="12"/>
        <v>kg/N/s</v>
      </c>
      <c r="AD135" s="279" t="str">
        <f t="shared" si="13"/>
        <v>variable: sfc_ground double input description= "Consommation spécifique d'un moteur au sol" units= "kg/N/s"</v>
      </c>
      <c r="AE135" s="7" t="str">
        <f t="shared" si="14"/>
        <v>Y14.Propulsion.CS</v>
      </c>
      <c r="AF135" s="7" t="str">
        <f t="shared" si="15"/>
        <v/>
      </c>
      <c r="AG135" s="7" t="str">
        <f t="shared" si="16"/>
        <v/>
      </c>
      <c r="AH135" s="7" t="str">
        <f t="shared" si="17"/>
        <v/>
      </c>
      <c r="AI135" s="7" t="str">
        <f t="shared" si="18"/>
        <v/>
      </c>
      <c r="AJ135" s="7" t="str">
        <f t="shared" si="19"/>
        <v/>
      </c>
    </row>
    <row r="136" spans="2:36">
      <c r="B136" s="316"/>
      <c r="C136" s="297"/>
      <c r="D136" s="52" t="s">
        <v>530</v>
      </c>
      <c r="E136" s="53" t="s">
        <v>550</v>
      </c>
      <c r="F136" t="s">
        <v>5</v>
      </c>
      <c r="G136" t="s">
        <v>574</v>
      </c>
      <c r="H136" s="255" t="s">
        <v>72</v>
      </c>
      <c r="I136" s="54" t="s">
        <v>638</v>
      </c>
      <c r="J136" s="196" t="s">
        <v>120</v>
      </c>
      <c r="K136" s="195" t="s">
        <v>119</v>
      </c>
      <c r="L136" s="54"/>
      <c r="M136" s="54"/>
      <c r="N136" s="54"/>
      <c r="O136" s="54"/>
      <c r="P136" s="196"/>
      <c r="Q136" t="s">
        <v>918</v>
      </c>
      <c r="R136" s="165">
        <v>121</v>
      </c>
      <c r="S136" s="147" t="s">
        <v>665</v>
      </c>
      <c r="T136" s="50"/>
      <c r="U136" s="7"/>
      <c r="V136" s="239"/>
      <c r="Y136" t="str">
        <f t="shared" si="20"/>
        <v>sfc_takeoff_table</v>
      </c>
      <c r="Z136" t="str">
        <f t="shared" si="21"/>
        <v>double[]</v>
      </c>
      <c r="AA136" t="str">
        <f t="shared" si="22"/>
        <v>table</v>
      </c>
      <c r="AB136" t="str">
        <f t="shared" si="23"/>
        <v>Consommation spécifique d'un moteur aux points TablepropulsionTakeOff</v>
      </c>
      <c r="AC136" t="str">
        <f t="shared" si="12"/>
        <v>kg/N/s</v>
      </c>
      <c r="AD136" s="279" t="str">
        <f t="shared" si="13"/>
        <v>variable: sfc_takeoff_table double[] input description= "Consommation spécifique d'un moteur aux points TablepropulsionTakeOff" units= "kg/N/s"</v>
      </c>
      <c r="AE136" s="7" t="str">
        <f t="shared" si="14"/>
        <v>Y14.Propulsion.CS</v>
      </c>
      <c r="AF136" s="7" t="str">
        <f t="shared" si="15"/>
        <v/>
      </c>
      <c r="AG136" s="7" t="str">
        <f t="shared" si="16"/>
        <v/>
      </c>
      <c r="AH136" s="7" t="str">
        <f t="shared" si="17"/>
        <v/>
      </c>
      <c r="AI136" s="7" t="str">
        <f t="shared" si="18"/>
        <v/>
      </c>
      <c r="AJ136" s="7" t="str">
        <f t="shared" si="19"/>
        <v/>
      </c>
    </row>
    <row r="137" spans="2:36">
      <c r="B137" s="316"/>
      <c r="C137" s="297"/>
      <c r="D137" s="52" t="s">
        <v>531</v>
      </c>
      <c r="E137" s="53" t="s">
        <v>551</v>
      </c>
      <c r="F137" t="s">
        <v>5</v>
      </c>
      <c r="G137" t="s">
        <v>574</v>
      </c>
      <c r="H137" s="255" t="s">
        <v>72</v>
      </c>
      <c r="I137" s="54" t="s">
        <v>638</v>
      </c>
      <c r="J137" s="196" t="s">
        <v>120</v>
      </c>
      <c r="K137" s="195" t="s">
        <v>119</v>
      </c>
      <c r="L137" s="54"/>
      <c r="M137" s="54"/>
      <c r="N137" s="54"/>
      <c r="O137" s="54"/>
      <c r="P137" s="196"/>
      <c r="Q137" t="s">
        <v>919</v>
      </c>
      <c r="R137" s="165">
        <v>122</v>
      </c>
      <c r="S137" s="147" t="s">
        <v>665</v>
      </c>
      <c r="T137" s="50"/>
      <c r="U137" s="7"/>
      <c r="V137" s="239"/>
      <c r="Y137" t="str">
        <f t="shared" si="20"/>
        <v>sfc_climb_table</v>
      </c>
      <c r="Z137" t="str">
        <f t="shared" si="21"/>
        <v>double[]</v>
      </c>
      <c r="AA137" t="str">
        <f t="shared" si="22"/>
        <v>table</v>
      </c>
      <c r="AB137" t="str">
        <f t="shared" si="23"/>
        <v>Consommation spécifique d'un moteur aux points TablepropulsionClimb</v>
      </c>
      <c r="AC137" t="str">
        <f t="shared" si="12"/>
        <v>kg/N/s</v>
      </c>
      <c r="AD137" s="279" t="str">
        <f t="shared" si="13"/>
        <v>variable: sfc_climb_table double[] input description= "Consommation spécifique d'un moteur aux points TablepropulsionClimb" units= "kg/N/s"</v>
      </c>
      <c r="AE137" s="7" t="str">
        <f t="shared" si="14"/>
        <v>Y14.Propulsion.CS</v>
      </c>
      <c r="AF137" s="7" t="str">
        <f t="shared" si="15"/>
        <v/>
      </c>
      <c r="AG137" s="7" t="str">
        <f t="shared" si="16"/>
        <v/>
      </c>
      <c r="AH137" s="7" t="str">
        <f t="shared" si="17"/>
        <v/>
      </c>
      <c r="AI137" s="7" t="str">
        <f t="shared" si="18"/>
        <v/>
      </c>
      <c r="AJ137" s="7" t="str">
        <f t="shared" si="19"/>
        <v/>
      </c>
    </row>
    <row r="138" spans="2:36">
      <c r="B138" s="316"/>
      <c r="C138" s="297"/>
      <c r="D138" s="52" t="s">
        <v>518</v>
      </c>
      <c r="E138" s="53" t="s">
        <v>552</v>
      </c>
      <c r="F138" t="s">
        <v>5</v>
      </c>
      <c r="G138" t="s">
        <v>574</v>
      </c>
      <c r="H138" s="255" t="s">
        <v>72</v>
      </c>
      <c r="I138" s="54" t="s">
        <v>638</v>
      </c>
      <c r="J138" s="196" t="s">
        <v>120</v>
      </c>
      <c r="K138" s="195" t="s">
        <v>119</v>
      </c>
      <c r="L138" s="54"/>
      <c r="M138" s="54"/>
      <c r="N138" s="54"/>
      <c r="O138" s="54"/>
      <c r="P138" s="196"/>
      <c r="Q138" t="s">
        <v>920</v>
      </c>
      <c r="R138" s="165">
        <v>123</v>
      </c>
      <c r="S138" s="147" t="s">
        <v>665</v>
      </c>
      <c r="T138" s="50"/>
      <c r="U138" s="7"/>
      <c r="V138" s="239"/>
      <c r="Y138" t="str">
        <f t="shared" si="20"/>
        <v>sfc_cruise_table</v>
      </c>
      <c r="Z138" t="str">
        <f t="shared" si="21"/>
        <v>double[]</v>
      </c>
      <c r="AA138" t="str">
        <f t="shared" si="22"/>
        <v>table</v>
      </c>
      <c r="AB138" t="str">
        <f t="shared" si="23"/>
        <v>Consommation spécifique d'un moteur aux points TablepropulsionCruise</v>
      </c>
      <c r="AC138" t="str">
        <f t="shared" si="12"/>
        <v>kg/N/s</v>
      </c>
      <c r="AD138" s="279" t="str">
        <f t="shared" si="13"/>
        <v>variable: sfc_cruise_table double[] input description= "Consommation spécifique d'un moteur aux points TablepropulsionCruise" units= "kg/N/s"</v>
      </c>
      <c r="AE138" s="7" t="str">
        <f t="shared" si="14"/>
        <v>Y14.Propulsion.CS</v>
      </c>
      <c r="AF138" s="7" t="str">
        <f t="shared" si="15"/>
        <v/>
      </c>
      <c r="AG138" s="7" t="str">
        <f t="shared" si="16"/>
        <v/>
      </c>
      <c r="AH138" s="7" t="str">
        <f t="shared" si="17"/>
        <v/>
      </c>
      <c r="AI138" s="7" t="str">
        <f t="shared" si="18"/>
        <v/>
      </c>
      <c r="AJ138" s="7" t="str">
        <f t="shared" si="19"/>
        <v/>
      </c>
    </row>
    <row r="139" spans="2:36">
      <c r="B139" s="316"/>
      <c r="C139" s="298"/>
      <c r="D139" s="52" t="s">
        <v>532</v>
      </c>
      <c r="E139" s="53" t="s">
        <v>553</v>
      </c>
      <c r="F139" t="s">
        <v>5</v>
      </c>
      <c r="G139" t="s">
        <v>574</v>
      </c>
      <c r="H139" s="255" t="s">
        <v>72</v>
      </c>
      <c r="I139" s="54" t="s">
        <v>638</v>
      </c>
      <c r="J139" s="196" t="s">
        <v>120</v>
      </c>
      <c r="K139" s="195" t="s">
        <v>119</v>
      </c>
      <c r="L139" s="54"/>
      <c r="M139" s="54"/>
      <c r="N139" s="54"/>
      <c r="O139" s="54"/>
      <c r="P139" s="196"/>
      <c r="Q139" t="s">
        <v>921</v>
      </c>
      <c r="R139" s="165">
        <v>124</v>
      </c>
      <c r="S139" s="147" t="s">
        <v>665</v>
      </c>
      <c r="T139" s="50"/>
      <c r="U139" s="7"/>
      <c r="V139" s="239"/>
      <c r="Y139" t="str">
        <f t="shared" si="20"/>
        <v>sfc_descent_table</v>
      </c>
      <c r="Z139" t="str">
        <f t="shared" si="21"/>
        <v>double[]</v>
      </c>
      <c r="AA139" t="str">
        <f t="shared" si="22"/>
        <v>table</v>
      </c>
      <c r="AB139" t="str">
        <f t="shared" si="23"/>
        <v>Consommation spécifique d'un moteur aux points TablepropulsionDescent</v>
      </c>
      <c r="AC139" t="str">
        <f t="shared" si="12"/>
        <v>kg/N/s</v>
      </c>
      <c r="AD139" s="279" t="str">
        <f t="shared" si="13"/>
        <v>variable: sfc_descent_table double[] input description= "Consommation spécifique d'un moteur aux points TablepropulsionDescent" units= "kg/N/s"</v>
      </c>
      <c r="AE139" s="7" t="str">
        <f t="shared" si="14"/>
        <v>Y14.Propulsion.CS</v>
      </c>
      <c r="AF139" s="7" t="str">
        <f t="shared" si="15"/>
        <v/>
      </c>
      <c r="AG139" s="7" t="str">
        <f t="shared" si="16"/>
        <v/>
      </c>
      <c r="AH139" s="7" t="str">
        <f t="shared" si="17"/>
        <v/>
      </c>
      <c r="AI139" s="7" t="str">
        <f t="shared" si="18"/>
        <v/>
      </c>
      <c r="AJ139" s="7" t="str">
        <f t="shared" si="19"/>
        <v/>
      </c>
    </row>
    <row r="140" spans="2:36">
      <c r="B140" s="316"/>
      <c r="C140" s="332" t="s">
        <v>191</v>
      </c>
      <c r="D140" s="47" t="s">
        <v>257</v>
      </c>
      <c r="E140" s="48" t="s">
        <v>258</v>
      </c>
      <c r="F140" t="s">
        <v>5</v>
      </c>
      <c r="G140" t="s">
        <v>1050</v>
      </c>
      <c r="H140" s="254" t="s">
        <v>72</v>
      </c>
      <c r="I140" s="49" t="s">
        <v>638</v>
      </c>
      <c r="J140" s="194" t="s">
        <v>192</v>
      </c>
      <c r="K140" s="193" t="s">
        <v>193</v>
      </c>
      <c r="L140" s="49"/>
      <c r="M140" s="49"/>
      <c r="N140" s="49"/>
      <c r="O140" s="49"/>
      <c r="P140" s="194"/>
      <c r="Q140" t="s">
        <v>922</v>
      </c>
      <c r="R140" s="165">
        <v>125</v>
      </c>
      <c r="S140" s="147" t="s">
        <v>665</v>
      </c>
      <c r="T140" s="50"/>
      <c r="U140" s="7"/>
      <c r="V140" s="239"/>
      <c r="Y140" t="str">
        <f t="shared" si="20"/>
        <v>engine_flow_rate_table</v>
      </c>
      <c r="Z140" t="str">
        <f t="shared" si="21"/>
        <v>double[]</v>
      </c>
      <c r="AA140" t="str">
        <f t="shared" si="22"/>
        <v>table</v>
      </c>
      <c r="AB140" t="str">
        <f t="shared" si="23"/>
        <v>Débit d'air des moteurs aux points Tablepropulsion</v>
      </c>
      <c r="AC140" t="str">
        <f t="shared" si="12"/>
        <v>kg/s</v>
      </c>
      <c r="AD140" s="279" t="str">
        <f t="shared" si="13"/>
        <v>variable: engine_flow_rate_table double[] input description= "Débit d'air des moteurs aux points Tablepropulsion" units= "kg/s"</v>
      </c>
      <c r="AE140" s="7" t="str">
        <f t="shared" si="14"/>
        <v>Y12.Propulsion.fuel_rates</v>
      </c>
      <c r="AF140" s="7" t="str">
        <f t="shared" si="15"/>
        <v/>
      </c>
      <c r="AG140" s="7" t="str">
        <f t="shared" si="16"/>
        <v/>
      </c>
      <c r="AH140" s="7" t="str">
        <f t="shared" si="17"/>
        <v/>
      </c>
      <c r="AI140" s="7" t="str">
        <f t="shared" si="18"/>
        <v/>
      </c>
      <c r="AJ140" s="7" t="str">
        <f t="shared" si="19"/>
        <v/>
      </c>
    </row>
    <row r="141" spans="2:36">
      <c r="B141" s="316"/>
      <c r="C141" s="332"/>
      <c r="D141" s="47" t="s">
        <v>323</v>
      </c>
      <c r="E141" s="48" t="s">
        <v>325</v>
      </c>
      <c r="F141" t="s">
        <v>5</v>
      </c>
      <c r="G141" t="s">
        <v>1050</v>
      </c>
      <c r="H141" s="254" t="s">
        <v>72</v>
      </c>
      <c r="I141" s="49" t="s">
        <v>638</v>
      </c>
      <c r="J141" s="194" t="s">
        <v>192</v>
      </c>
      <c r="K141" s="193" t="s">
        <v>193</v>
      </c>
      <c r="L141" s="49"/>
      <c r="M141" s="49"/>
      <c r="N141" s="49"/>
      <c r="O141" s="49"/>
      <c r="P141" s="194"/>
      <c r="Q141" t="s">
        <v>923</v>
      </c>
      <c r="R141" s="165">
        <v>126</v>
      </c>
      <c r="S141" s="147" t="s">
        <v>665</v>
      </c>
      <c r="T141" s="50"/>
      <c r="U141" s="7"/>
      <c r="V141" s="239"/>
      <c r="Y141" t="str">
        <f t="shared" si="20"/>
        <v>engine_primary_flow_rate_table</v>
      </c>
      <c r="Z141" t="str">
        <f t="shared" si="21"/>
        <v>double[]</v>
      </c>
      <c r="AA141" t="str">
        <f t="shared" si="22"/>
        <v>table</v>
      </c>
      <c r="AB141" t="str">
        <f t="shared" si="23"/>
        <v>Débit du flux primaire</v>
      </c>
      <c r="AC141" t="str">
        <f t="shared" si="12"/>
        <v>kg/s</v>
      </c>
      <c r="AD141" s="279" t="str">
        <f t="shared" si="13"/>
        <v>variable: engine_primary_flow_rate_table double[] input description= "Débit du flux primaire" units= "kg/s"</v>
      </c>
      <c r="AE141" s="7" t="str">
        <f t="shared" si="14"/>
        <v>Y12.Propulsion.fuel_rates</v>
      </c>
      <c r="AF141" s="7" t="str">
        <f t="shared" si="15"/>
        <v/>
      </c>
      <c r="AG141" s="7" t="str">
        <f t="shared" si="16"/>
        <v/>
      </c>
      <c r="AH141" s="7" t="str">
        <f t="shared" si="17"/>
        <v/>
      </c>
      <c r="AI141" s="7" t="str">
        <f t="shared" si="18"/>
        <v/>
      </c>
      <c r="AJ141" s="7" t="str">
        <f t="shared" si="19"/>
        <v/>
      </c>
    </row>
    <row r="142" spans="2:36">
      <c r="B142" s="316"/>
      <c r="C142" s="332"/>
      <c r="D142" s="47" t="s">
        <v>324</v>
      </c>
      <c r="E142" s="48" t="s">
        <v>326</v>
      </c>
      <c r="F142" t="s">
        <v>5</v>
      </c>
      <c r="G142" t="s">
        <v>1050</v>
      </c>
      <c r="H142" s="254" t="s">
        <v>72</v>
      </c>
      <c r="I142" s="49" t="s">
        <v>638</v>
      </c>
      <c r="J142" s="194" t="s">
        <v>192</v>
      </c>
      <c r="K142" s="193" t="s">
        <v>193</v>
      </c>
      <c r="L142" s="49"/>
      <c r="M142" s="49"/>
      <c r="N142" s="49"/>
      <c r="O142" s="49"/>
      <c r="P142" s="194"/>
      <c r="Q142" t="s">
        <v>924</v>
      </c>
      <c r="R142" s="165">
        <v>127</v>
      </c>
      <c r="S142" s="147" t="s">
        <v>665</v>
      </c>
      <c r="T142" s="50"/>
      <c r="U142" s="7"/>
      <c r="V142" s="239"/>
      <c r="Y142" t="str">
        <f t="shared" si="20"/>
        <v>engine_secondary_flow_rate_table</v>
      </c>
      <c r="Z142" t="str">
        <f t="shared" si="21"/>
        <v>double[]</v>
      </c>
      <c r="AA142" t="str">
        <f t="shared" si="22"/>
        <v>table</v>
      </c>
      <c r="AB142" t="str">
        <f t="shared" si="23"/>
        <v>Débit du flux secondaire</v>
      </c>
      <c r="AC142" t="str">
        <f t="shared" si="12"/>
        <v>kg/s</v>
      </c>
      <c r="AD142" s="279" t="str">
        <f t="shared" si="13"/>
        <v>variable: engine_secondary_flow_rate_table double[] input description= "Débit du flux secondaire" units= "kg/s"</v>
      </c>
      <c r="AE142" s="7" t="str">
        <f t="shared" si="14"/>
        <v>Y12.Propulsion.fuel_rates</v>
      </c>
      <c r="AF142" s="7" t="str">
        <f t="shared" si="15"/>
        <v/>
      </c>
      <c r="AG142" s="7" t="str">
        <f t="shared" si="16"/>
        <v/>
      </c>
      <c r="AH142" s="7" t="str">
        <f t="shared" si="17"/>
        <v/>
      </c>
      <c r="AI142" s="7" t="str">
        <f t="shared" si="18"/>
        <v/>
      </c>
      <c r="AJ142" s="7" t="str">
        <f t="shared" si="19"/>
        <v/>
      </c>
    </row>
    <row r="143" spans="2:36" ht="15">
      <c r="B143" s="316"/>
      <c r="C143" s="296" t="s">
        <v>472</v>
      </c>
      <c r="D143" s="47" t="s">
        <v>429</v>
      </c>
      <c r="E143" s="48" t="s">
        <v>430</v>
      </c>
      <c r="F143" t="s">
        <v>5</v>
      </c>
      <c r="G143" t="s">
        <v>1044</v>
      </c>
      <c r="H143" s="254" t="s">
        <v>72</v>
      </c>
      <c r="I143" s="49" t="s">
        <v>638</v>
      </c>
      <c r="J143" s="194" t="s">
        <v>321</v>
      </c>
      <c r="K143" s="193" t="s">
        <v>189</v>
      </c>
      <c r="L143" s="49"/>
      <c r="M143" s="49"/>
      <c r="N143" s="49"/>
      <c r="O143" s="49"/>
      <c r="P143" s="194"/>
      <c r="Q143" s="287" t="s">
        <v>820</v>
      </c>
      <c r="R143" s="165">
        <v>128</v>
      </c>
      <c r="S143" s="147" t="s">
        <v>665</v>
      </c>
      <c r="T143" s="50"/>
      <c r="U143" s="7"/>
      <c r="V143" s="239"/>
      <c r="Y143" t="str">
        <f t="shared" si="20"/>
        <v>Temp_atmos</v>
      </c>
      <c r="Z143" t="str">
        <f t="shared" si="21"/>
        <v>double[]</v>
      </c>
      <c r="AA143" t="str">
        <f t="shared" si="22"/>
        <v>table</v>
      </c>
      <c r="AB143" t="str">
        <f t="shared" si="23"/>
        <v>Température de l'air ambiant</v>
      </c>
      <c r="AC143" t="str">
        <f t="shared" si="12"/>
        <v>K</v>
      </c>
      <c r="AD143" s="279" t="str">
        <f t="shared" si="13"/>
        <v>variable: Temp_atmos double[] input description= "Température de l'air ambiant" units= "K"</v>
      </c>
      <c r="AE143" s="7" t="str">
        <f t="shared" si="14"/>
        <v>Y1x.Propulsion.acoustic</v>
      </c>
      <c r="AF143" s="7" t="str">
        <f t="shared" si="15"/>
        <v/>
      </c>
      <c r="AG143" s="7" t="str">
        <f t="shared" si="16"/>
        <v/>
      </c>
      <c r="AH143" s="7" t="str">
        <f t="shared" si="17"/>
        <v/>
      </c>
      <c r="AI143" s="7" t="str">
        <f t="shared" si="18"/>
        <v/>
      </c>
      <c r="AJ143" s="7" t="str">
        <f t="shared" si="19"/>
        <v/>
      </c>
    </row>
    <row r="144" spans="2:36" ht="15">
      <c r="B144" s="316"/>
      <c r="C144" s="297"/>
      <c r="D144" s="47" t="s">
        <v>431</v>
      </c>
      <c r="E144" s="48" t="s">
        <v>432</v>
      </c>
      <c r="F144" t="s">
        <v>5</v>
      </c>
      <c r="G144" t="s">
        <v>1044</v>
      </c>
      <c r="H144" s="254" t="s">
        <v>72</v>
      </c>
      <c r="I144" s="49" t="s">
        <v>638</v>
      </c>
      <c r="J144" s="194" t="s">
        <v>433</v>
      </c>
      <c r="K144" s="193" t="s">
        <v>189</v>
      </c>
      <c r="L144" s="49"/>
      <c r="M144" s="49"/>
      <c r="N144" s="49"/>
      <c r="O144" s="49"/>
      <c r="P144" s="194"/>
      <c r="Q144" s="287" t="s">
        <v>821</v>
      </c>
      <c r="R144" s="165">
        <v>129</v>
      </c>
      <c r="S144" s="147" t="s">
        <v>665</v>
      </c>
      <c r="T144" s="50"/>
      <c r="U144" s="7"/>
      <c r="V144" s="239"/>
      <c r="Y144" t="str">
        <f t="shared" si="20"/>
        <v>Press_atmos</v>
      </c>
      <c r="Z144" t="str">
        <f t="shared" si="21"/>
        <v>double[]</v>
      </c>
      <c r="AA144" t="str">
        <f t="shared" si="22"/>
        <v>table</v>
      </c>
      <c r="AB144" t="str">
        <f t="shared" si="23"/>
        <v>Pression de l'air ambiant</v>
      </c>
      <c r="AC144" t="str">
        <f t="shared" ref="AC144:AC207" si="24">J144</f>
        <v>Pa</v>
      </c>
      <c r="AD144" s="279" t="str">
        <f t="shared" ref="AD144:AD207" si="25">CONCATENATE(IF(S144="oui","#",""),"variable: ",Y144," ",Z144," input ","description= """,AB144,""" units= """,AC144,"""")</f>
        <v>variable: Press_atmos double[] input description= "Pression de l'air ambiant" units= "Pa"</v>
      </c>
      <c r="AE144" s="7" t="str">
        <f t="shared" ref="AE144:AE207" si="26">CONCATENER_MODELCENTER(K144,$F144,$G144)</f>
        <v>Y1x.Propulsion.acoustic</v>
      </c>
      <c r="AF144" s="7" t="str">
        <f t="shared" ref="AF144:AF207" si="27">CONCATENER_MODELCENTER(L144,$F144,$G144)</f>
        <v/>
      </c>
      <c r="AG144" s="7" t="str">
        <f t="shared" ref="AG144:AG207" si="28">CONCATENER_MODELCENTER(M144,$F144,$G144)</f>
        <v/>
      </c>
      <c r="AH144" s="7" t="str">
        <f t="shared" ref="AH144:AH207" si="29">CONCATENER_MODELCENTER(N144,$F144,$G144)</f>
        <v/>
      </c>
      <c r="AI144" s="7" t="str">
        <f t="shared" ref="AI144:AI207" si="30">CONCATENER_MODELCENTER(O144,$F144,$G144)</f>
        <v/>
      </c>
      <c r="AJ144" s="7" t="str">
        <f t="shared" ref="AJ144:AJ207" si="31">CONCATENER_MODELCENTER(P144,$F144,$G144)</f>
        <v/>
      </c>
    </row>
    <row r="145" spans="2:36" ht="15">
      <c r="B145" s="316"/>
      <c r="C145" s="297"/>
      <c r="D145" s="47" t="s">
        <v>434</v>
      </c>
      <c r="E145" s="48" t="s">
        <v>435</v>
      </c>
      <c r="F145" t="s">
        <v>5</v>
      </c>
      <c r="G145" t="s">
        <v>1044</v>
      </c>
      <c r="H145" s="256" t="s">
        <v>72</v>
      </c>
      <c r="I145" s="49" t="s">
        <v>638</v>
      </c>
      <c r="J145" s="194" t="s">
        <v>96</v>
      </c>
      <c r="K145" s="193" t="s">
        <v>189</v>
      </c>
      <c r="L145" s="49"/>
      <c r="M145" s="49"/>
      <c r="N145" s="49"/>
      <c r="O145" s="49"/>
      <c r="P145" s="194"/>
      <c r="Q145" s="287" t="s">
        <v>822</v>
      </c>
      <c r="R145" s="165">
        <v>130</v>
      </c>
      <c r="S145" s="147" t="s">
        <v>665</v>
      </c>
      <c r="T145" s="50"/>
      <c r="U145" s="7"/>
      <c r="V145" s="239"/>
      <c r="Y145" t="str">
        <f t="shared" ref="Y145:Y208" si="32">Q145</f>
        <v>Vsound_atmos</v>
      </c>
      <c r="Z145" t="str">
        <f t="shared" ref="Z145:Z208" si="33">I145</f>
        <v>double[]</v>
      </c>
      <c r="AA145" t="str">
        <f t="shared" ref="AA145:AA208" si="34">H145</f>
        <v>table</v>
      </c>
      <c r="AB145" t="str">
        <f t="shared" ref="AB145:AB208" si="35">E145</f>
        <v>Vitesse du son de l'air ambiant</v>
      </c>
      <c r="AC145" t="str">
        <f t="shared" si="24"/>
        <v>m/s</v>
      </c>
      <c r="AD145" s="279" t="str">
        <f t="shared" si="25"/>
        <v>variable: Vsound_atmos double[] input description= "Vitesse du son de l'air ambiant" units= "m/s"</v>
      </c>
      <c r="AE145" s="7" t="str">
        <f t="shared" si="26"/>
        <v>Y1x.Propulsion.acoustic</v>
      </c>
      <c r="AF145" s="7" t="str">
        <f t="shared" si="27"/>
        <v/>
      </c>
      <c r="AG145" s="7" t="str">
        <f t="shared" si="28"/>
        <v/>
      </c>
      <c r="AH145" s="7" t="str">
        <f t="shared" si="29"/>
        <v/>
      </c>
      <c r="AI145" s="7" t="str">
        <f t="shared" si="30"/>
        <v/>
      </c>
      <c r="AJ145" s="7" t="str">
        <f t="shared" si="31"/>
        <v/>
      </c>
    </row>
    <row r="146" spans="2:36" ht="15">
      <c r="B146" s="316"/>
      <c r="C146" s="297"/>
      <c r="D146" s="47" t="s">
        <v>436</v>
      </c>
      <c r="E146" s="48" t="s">
        <v>437</v>
      </c>
      <c r="F146" t="s">
        <v>5</v>
      </c>
      <c r="G146" t="s">
        <v>1044</v>
      </c>
      <c r="H146" s="256" t="s">
        <v>72</v>
      </c>
      <c r="I146" s="49" t="s">
        <v>638</v>
      </c>
      <c r="J146" s="194" t="s">
        <v>438</v>
      </c>
      <c r="K146" s="193" t="s">
        <v>189</v>
      </c>
      <c r="L146" s="49"/>
      <c r="M146" s="49"/>
      <c r="N146" s="49"/>
      <c r="O146" s="49"/>
      <c r="P146" s="194"/>
      <c r="Q146" s="287" t="s">
        <v>823</v>
      </c>
      <c r="R146" s="165">
        <v>131</v>
      </c>
      <c r="S146" s="147" t="s">
        <v>665</v>
      </c>
      <c r="T146" s="50"/>
      <c r="U146" s="7"/>
      <c r="V146" s="239"/>
      <c r="Y146" t="str">
        <f t="shared" si="32"/>
        <v>AirDensity_atmos</v>
      </c>
      <c r="Z146" t="str">
        <f t="shared" si="33"/>
        <v>double[]</v>
      </c>
      <c r="AA146" t="str">
        <f t="shared" si="34"/>
        <v>table</v>
      </c>
      <c r="AB146" t="str">
        <f t="shared" si="35"/>
        <v>Masse volumique de l'air ambiant</v>
      </c>
      <c r="AC146" t="str">
        <f t="shared" si="24"/>
        <v>kg/m3</v>
      </c>
      <c r="AD146" s="279" t="str">
        <f t="shared" si="25"/>
        <v>variable: AirDensity_atmos double[] input description= "Masse volumique de l'air ambiant" units= "kg/m3"</v>
      </c>
      <c r="AE146" s="7" t="str">
        <f t="shared" si="26"/>
        <v>Y1x.Propulsion.acoustic</v>
      </c>
      <c r="AF146" s="7" t="str">
        <f t="shared" si="27"/>
        <v/>
      </c>
      <c r="AG146" s="7" t="str">
        <f t="shared" si="28"/>
        <v/>
      </c>
      <c r="AH146" s="7" t="str">
        <f t="shared" si="29"/>
        <v/>
      </c>
      <c r="AI146" s="7" t="str">
        <f t="shared" si="30"/>
        <v/>
      </c>
      <c r="AJ146" s="7" t="str">
        <f t="shared" si="31"/>
        <v/>
      </c>
    </row>
    <row r="147" spans="2:36">
      <c r="B147" s="316"/>
      <c r="C147" s="297"/>
      <c r="D147" s="47" t="s">
        <v>318</v>
      </c>
      <c r="E147" s="48" t="s">
        <v>320</v>
      </c>
      <c r="F147" t="s">
        <v>5</v>
      </c>
      <c r="G147" t="s">
        <v>1044</v>
      </c>
      <c r="H147" s="254" t="s">
        <v>72</v>
      </c>
      <c r="I147" s="49" t="s">
        <v>638</v>
      </c>
      <c r="J147" s="194" t="s">
        <v>321</v>
      </c>
      <c r="K147" s="193" t="s">
        <v>189</v>
      </c>
      <c r="L147" s="49"/>
      <c r="M147" s="49"/>
      <c r="N147" s="49"/>
      <c r="O147" s="49"/>
      <c r="P147" s="194"/>
      <c r="Q147" t="s">
        <v>925</v>
      </c>
      <c r="R147" s="165">
        <v>132</v>
      </c>
      <c r="S147" s="147" t="s">
        <v>665</v>
      </c>
      <c r="T147" s="50"/>
      <c r="U147" s="7"/>
      <c r="V147" s="239"/>
      <c r="Y147" t="str">
        <f t="shared" si="32"/>
        <v>engine_primary_exhaust_temp_table</v>
      </c>
      <c r="Z147" t="str">
        <f t="shared" si="33"/>
        <v>double[]</v>
      </c>
      <c r="AA147" t="str">
        <f t="shared" si="34"/>
        <v>table</v>
      </c>
      <c r="AB147" t="str">
        <f t="shared" si="35"/>
        <v>Température de sortie du flux primaire</v>
      </c>
      <c r="AC147" t="str">
        <f t="shared" si="24"/>
        <v>K</v>
      </c>
      <c r="AD147" s="279" t="str">
        <f t="shared" si="25"/>
        <v>variable: engine_primary_exhaust_temp_table double[] input description= "Température de sortie du flux primaire" units= "K"</v>
      </c>
      <c r="AE147" s="7" t="str">
        <f t="shared" si="26"/>
        <v>Y1x.Propulsion.acoustic</v>
      </c>
      <c r="AF147" s="7" t="str">
        <f t="shared" si="27"/>
        <v/>
      </c>
      <c r="AG147" s="7" t="str">
        <f t="shared" si="28"/>
        <v/>
      </c>
      <c r="AH147" s="7" t="str">
        <f t="shared" si="29"/>
        <v/>
      </c>
      <c r="AI147" s="7" t="str">
        <f t="shared" si="30"/>
        <v/>
      </c>
      <c r="AJ147" s="7" t="str">
        <f t="shared" si="31"/>
        <v/>
      </c>
    </row>
    <row r="148" spans="2:36">
      <c r="B148" s="316"/>
      <c r="C148" s="297"/>
      <c r="D148" s="47" t="s">
        <v>319</v>
      </c>
      <c r="E148" s="48" t="s">
        <v>322</v>
      </c>
      <c r="F148" t="s">
        <v>5</v>
      </c>
      <c r="G148" t="s">
        <v>1044</v>
      </c>
      <c r="H148" s="254" t="s">
        <v>72</v>
      </c>
      <c r="I148" s="49" t="s">
        <v>638</v>
      </c>
      <c r="J148" s="194" t="s">
        <v>321</v>
      </c>
      <c r="K148" s="193" t="s">
        <v>189</v>
      </c>
      <c r="L148" s="49"/>
      <c r="M148" s="49"/>
      <c r="N148" s="49"/>
      <c r="O148" s="49"/>
      <c r="P148" s="194"/>
      <c r="Q148" t="s">
        <v>926</v>
      </c>
      <c r="R148" s="165">
        <v>133</v>
      </c>
      <c r="S148" s="147" t="s">
        <v>665</v>
      </c>
      <c r="T148" s="50"/>
      <c r="U148" s="7"/>
      <c r="V148" s="239"/>
      <c r="Y148" t="str">
        <f t="shared" si="32"/>
        <v>engine_secondary_exhaust_temp_table</v>
      </c>
      <c r="Z148" t="str">
        <f t="shared" si="33"/>
        <v>double[]</v>
      </c>
      <c r="AA148" t="str">
        <f t="shared" si="34"/>
        <v>table</v>
      </c>
      <c r="AB148" t="str">
        <f t="shared" si="35"/>
        <v>Température de sortie du flux secondaire</v>
      </c>
      <c r="AC148" t="str">
        <f t="shared" si="24"/>
        <v>K</v>
      </c>
      <c r="AD148" s="279" t="str">
        <f t="shared" si="25"/>
        <v>variable: engine_secondary_exhaust_temp_table double[] input description= "Température de sortie du flux secondaire" units= "K"</v>
      </c>
      <c r="AE148" s="7" t="str">
        <f t="shared" si="26"/>
        <v>Y1x.Propulsion.acoustic</v>
      </c>
      <c r="AF148" s="7" t="str">
        <f t="shared" si="27"/>
        <v/>
      </c>
      <c r="AG148" s="7" t="str">
        <f t="shared" si="28"/>
        <v/>
      </c>
      <c r="AH148" s="7" t="str">
        <f t="shared" si="29"/>
        <v/>
      </c>
      <c r="AI148" s="7" t="str">
        <f t="shared" si="30"/>
        <v/>
      </c>
      <c r="AJ148" s="7" t="str">
        <f t="shared" si="31"/>
        <v/>
      </c>
    </row>
    <row r="149" spans="2:36">
      <c r="B149" s="316"/>
      <c r="C149" s="297"/>
      <c r="D149" s="47" t="s">
        <v>337</v>
      </c>
      <c r="E149" s="48" t="s">
        <v>335</v>
      </c>
      <c r="F149" t="s">
        <v>5</v>
      </c>
      <c r="G149" t="s">
        <v>1044</v>
      </c>
      <c r="H149" s="254" t="s">
        <v>72</v>
      </c>
      <c r="I149" s="49" t="s">
        <v>638</v>
      </c>
      <c r="J149" s="194" t="s">
        <v>96</v>
      </c>
      <c r="K149" s="193" t="s">
        <v>189</v>
      </c>
      <c r="L149" s="49"/>
      <c r="M149" s="49"/>
      <c r="N149" s="49"/>
      <c r="O149" s="49"/>
      <c r="P149" s="194"/>
      <c r="Q149" t="s">
        <v>927</v>
      </c>
      <c r="R149" s="165">
        <v>134</v>
      </c>
      <c r="S149" s="147" t="s">
        <v>665</v>
      </c>
      <c r="T149" s="50"/>
      <c r="U149" s="7"/>
      <c r="V149" s="239"/>
      <c r="Y149" t="str">
        <f t="shared" si="32"/>
        <v>engine_primary_exhaust_speed_table</v>
      </c>
      <c r="Z149" t="str">
        <f t="shared" si="33"/>
        <v>double[]</v>
      </c>
      <c r="AA149" t="str">
        <f t="shared" si="34"/>
        <v>table</v>
      </c>
      <c r="AB149" t="str">
        <f t="shared" si="35"/>
        <v>Vitesse de sortie du flux primaire</v>
      </c>
      <c r="AC149" t="str">
        <f t="shared" si="24"/>
        <v>m/s</v>
      </c>
      <c r="AD149" s="279" t="str">
        <f t="shared" si="25"/>
        <v>variable: engine_primary_exhaust_speed_table double[] input description= "Vitesse de sortie du flux primaire" units= "m/s"</v>
      </c>
      <c r="AE149" s="7" t="str">
        <f t="shared" si="26"/>
        <v>Y1x.Propulsion.acoustic</v>
      </c>
      <c r="AF149" s="7" t="str">
        <f t="shared" si="27"/>
        <v/>
      </c>
      <c r="AG149" s="7" t="str">
        <f t="shared" si="28"/>
        <v/>
      </c>
      <c r="AH149" s="7" t="str">
        <f t="shared" si="29"/>
        <v/>
      </c>
      <c r="AI149" s="7" t="str">
        <f t="shared" si="30"/>
        <v/>
      </c>
      <c r="AJ149" s="7" t="str">
        <f t="shared" si="31"/>
        <v/>
      </c>
    </row>
    <row r="150" spans="2:36">
      <c r="B150" s="316"/>
      <c r="C150" s="297"/>
      <c r="D150" s="47" t="s">
        <v>338</v>
      </c>
      <c r="E150" s="48" t="s">
        <v>336</v>
      </c>
      <c r="F150" t="s">
        <v>5</v>
      </c>
      <c r="G150" t="s">
        <v>1044</v>
      </c>
      <c r="H150" s="254" t="s">
        <v>72</v>
      </c>
      <c r="I150" s="49" t="s">
        <v>638</v>
      </c>
      <c r="J150" s="194" t="s">
        <v>96</v>
      </c>
      <c r="K150" s="193" t="s">
        <v>189</v>
      </c>
      <c r="L150" s="49"/>
      <c r="M150" s="49"/>
      <c r="N150" s="49"/>
      <c r="O150" s="49"/>
      <c r="P150" s="194"/>
      <c r="Q150" t="s">
        <v>928</v>
      </c>
      <c r="R150" s="165">
        <v>135</v>
      </c>
      <c r="S150" s="147" t="s">
        <v>665</v>
      </c>
      <c r="T150" s="50"/>
      <c r="U150" s="7"/>
      <c r="V150" s="239"/>
      <c r="Y150" t="str">
        <f t="shared" si="32"/>
        <v>engine_secondary_exhaust_speed_table</v>
      </c>
      <c r="Z150" t="str">
        <f t="shared" si="33"/>
        <v>double[]</v>
      </c>
      <c r="AA150" t="str">
        <f t="shared" si="34"/>
        <v>table</v>
      </c>
      <c r="AB150" t="str">
        <f t="shared" si="35"/>
        <v>Vitesse de sortie du flux secondaire</v>
      </c>
      <c r="AC150" t="str">
        <f t="shared" si="24"/>
        <v>m/s</v>
      </c>
      <c r="AD150" s="279" t="str">
        <f t="shared" si="25"/>
        <v>variable: engine_secondary_exhaust_speed_table double[] input description= "Vitesse de sortie du flux secondaire" units= "m/s"</v>
      </c>
      <c r="AE150" s="7" t="str">
        <f t="shared" si="26"/>
        <v>Y1x.Propulsion.acoustic</v>
      </c>
      <c r="AF150" s="7" t="str">
        <f t="shared" si="27"/>
        <v/>
      </c>
      <c r="AG150" s="7" t="str">
        <f t="shared" si="28"/>
        <v/>
      </c>
      <c r="AH150" s="7" t="str">
        <f t="shared" si="29"/>
        <v/>
      </c>
      <c r="AI150" s="7" t="str">
        <f t="shared" si="30"/>
        <v/>
      </c>
      <c r="AJ150" s="7" t="str">
        <f t="shared" si="31"/>
        <v/>
      </c>
    </row>
    <row r="151" spans="2:36">
      <c r="B151" s="316"/>
      <c r="C151" s="297"/>
      <c r="D151" s="47" t="s">
        <v>439</v>
      </c>
      <c r="E151" s="48" t="s">
        <v>440</v>
      </c>
      <c r="F151" t="s">
        <v>5</v>
      </c>
      <c r="G151" t="s">
        <v>1044</v>
      </c>
      <c r="H151" s="254" t="s">
        <v>72</v>
      </c>
      <c r="I151" s="49" t="s">
        <v>638</v>
      </c>
      <c r="J151" s="194" t="s">
        <v>438</v>
      </c>
      <c r="K151" s="193" t="s">
        <v>189</v>
      </c>
      <c r="L151" s="49"/>
      <c r="M151" s="49"/>
      <c r="N151" s="49"/>
      <c r="O151" s="49"/>
      <c r="P151" s="194"/>
      <c r="Q151" t="s">
        <v>929</v>
      </c>
      <c r="R151" s="165">
        <v>136</v>
      </c>
      <c r="S151" s="147" t="s">
        <v>665</v>
      </c>
      <c r="T151" s="50"/>
      <c r="U151" s="7"/>
      <c r="V151" s="239"/>
      <c r="Y151" t="str">
        <f t="shared" si="32"/>
        <v>engine_exhaust_gas_density_table</v>
      </c>
      <c r="Z151" t="str">
        <f t="shared" si="33"/>
        <v>double[]</v>
      </c>
      <c r="AA151" t="str">
        <f t="shared" si="34"/>
        <v>table</v>
      </c>
      <c r="AB151" t="str">
        <f t="shared" si="35"/>
        <v>Masse volumique du flux primaire</v>
      </c>
      <c r="AC151" t="str">
        <f t="shared" si="24"/>
        <v>kg/m3</v>
      </c>
      <c r="AD151" s="279" t="str">
        <f t="shared" si="25"/>
        <v>variable: engine_exhaust_gas_density_table double[] input description= "Masse volumique du flux primaire" units= "kg/m3"</v>
      </c>
      <c r="AE151" s="7" t="str">
        <f t="shared" si="26"/>
        <v>Y1x.Propulsion.acoustic</v>
      </c>
      <c r="AF151" s="7" t="str">
        <f t="shared" si="27"/>
        <v/>
      </c>
      <c r="AG151" s="7" t="str">
        <f t="shared" si="28"/>
        <v/>
      </c>
      <c r="AH151" s="7" t="str">
        <f t="shared" si="29"/>
        <v/>
      </c>
      <c r="AI151" s="7" t="str">
        <f t="shared" si="30"/>
        <v/>
      </c>
      <c r="AJ151" s="7" t="str">
        <f t="shared" si="31"/>
        <v/>
      </c>
    </row>
    <row r="152" spans="2:36">
      <c r="B152" s="316"/>
      <c r="C152" s="297"/>
      <c r="D152" s="47" t="s">
        <v>441</v>
      </c>
      <c r="E152" s="48" t="s">
        <v>442</v>
      </c>
      <c r="F152" t="s">
        <v>5</v>
      </c>
      <c r="G152" t="s">
        <v>1044</v>
      </c>
      <c r="H152" s="254" t="s">
        <v>72</v>
      </c>
      <c r="I152" s="49" t="s">
        <v>638</v>
      </c>
      <c r="J152" s="194" t="s">
        <v>321</v>
      </c>
      <c r="K152" s="193" t="s">
        <v>189</v>
      </c>
      <c r="L152" s="49"/>
      <c r="M152" s="49"/>
      <c r="N152" s="49"/>
      <c r="O152" s="49"/>
      <c r="P152" s="194"/>
      <c r="Q152" t="s">
        <v>930</v>
      </c>
      <c r="R152" s="165">
        <v>137</v>
      </c>
      <c r="S152" s="147" t="s">
        <v>665</v>
      </c>
      <c r="T152" s="50"/>
      <c r="U152" s="7"/>
      <c r="V152" s="239"/>
      <c r="Y152" t="str">
        <f t="shared" si="32"/>
        <v>engine_fan_delta_temp_table</v>
      </c>
      <c r="Z152" t="str">
        <f t="shared" si="33"/>
        <v>double[]</v>
      </c>
      <c r="AA152" t="str">
        <f t="shared" si="34"/>
        <v>table</v>
      </c>
      <c r="AB152" t="str">
        <f t="shared" si="35"/>
        <v>Accroissement de température à travers la soufflante</v>
      </c>
      <c r="AC152" t="str">
        <f t="shared" si="24"/>
        <v>K</v>
      </c>
      <c r="AD152" s="279" t="str">
        <f t="shared" si="25"/>
        <v>variable: engine_fan_delta_temp_table double[] input description= "Accroissement de température à travers la soufflante" units= "K"</v>
      </c>
      <c r="AE152" s="7" t="str">
        <f t="shared" si="26"/>
        <v>Y1x.Propulsion.acoustic</v>
      </c>
      <c r="AF152" s="7" t="str">
        <f t="shared" si="27"/>
        <v/>
      </c>
      <c r="AG152" s="7" t="str">
        <f t="shared" si="28"/>
        <v/>
      </c>
      <c r="AH152" s="7" t="str">
        <f t="shared" si="29"/>
        <v/>
      </c>
      <c r="AI152" s="7" t="str">
        <f t="shared" si="30"/>
        <v/>
      </c>
      <c r="AJ152" s="7" t="str">
        <f t="shared" si="31"/>
        <v/>
      </c>
    </row>
    <row r="153" spans="2:36">
      <c r="B153" s="316"/>
      <c r="C153" s="297"/>
      <c r="D153" s="47" t="s">
        <v>443</v>
      </c>
      <c r="E153" s="48" t="s">
        <v>444</v>
      </c>
      <c r="F153" t="s">
        <v>5</v>
      </c>
      <c r="G153" t="s">
        <v>1044</v>
      </c>
      <c r="H153" s="254" t="s">
        <v>72</v>
      </c>
      <c r="I153" s="49" t="s">
        <v>638</v>
      </c>
      <c r="J153" s="194" t="s">
        <v>51</v>
      </c>
      <c r="K153" s="193" t="s">
        <v>189</v>
      </c>
      <c r="L153" s="49"/>
      <c r="M153" s="49"/>
      <c r="N153" s="49"/>
      <c r="O153" s="49"/>
      <c r="P153" s="194"/>
      <c r="Q153" t="s">
        <v>931</v>
      </c>
      <c r="R153" s="165">
        <v>138</v>
      </c>
      <c r="S153" s="147" t="s">
        <v>665</v>
      </c>
      <c r="T153" s="50"/>
      <c r="U153" s="7"/>
      <c r="V153" s="239"/>
      <c r="Y153" t="str">
        <f t="shared" si="32"/>
        <v>engine_tip_abs_mach_table</v>
      </c>
      <c r="Z153" t="str">
        <f t="shared" si="33"/>
        <v>double[]</v>
      </c>
      <c r="AA153" t="str">
        <f t="shared" si="34"/>
        <v>table</v>
      </c>
      <c r="AB153" t="str">
        <f t="shared" si="35"/>
        <v>Mach en bout de pale</v>
      </c>
      <c r="AC153" t="str">
        <f t="shared" si="24"/>
        <v>(-)</v>
      </c>
      <c r="AD153" s="279" t="str">
        <f t="shared" si="25"/>
        <v>variable: engine_tip_abs_mach_table double[] input description= "Mach en bout de pale" units= "(-)"</v>
      </c>
      <c r="AE153" s="7" t="str">
        <f t="shared" si="26"/>
        <v>Y1x.Propulsion.acoustic</v>
      </c>
      <c r="AF153" s="7" t="str">
        <f t="shared" si="27"/>
        <v/>
      </c>
      <c r="AG153" s="7" t="str">
        <f t="shared" si="28"/>
        <v/>
      </c>
      <c r="AH153" s="7" t="str">
        <f t="shared" si="29"/>
        <v/>
      </c>
      <c r="AI153" s="7" t="str">
        <f t="shared" si="30"/>
        <v/>
      </c>
      <c r="AJ153" s="7" t="str">
        <f t="shared" si="31"/>
        <v/>
      </c>
    </row>
    <row r="154" spans="2:36">
      <c r="B154" s="316"/>
      <c r="C154" s="297"/>
      <c r="D154" s="47" t="s">
        <v>445</v>
      </c>
      <c r="E154" s="48" t="s">
        <v>446</v>
      </c>
      <c r="F154" t="s">
        <v>5</v>
      </c>
      <c r="G154" t="s">
        <v>1044</v>
      </c>
      <c r="H154" s="254" t="s">
        <v>72</v>
      </c>
      <c r="I154" s="49" t="s">
        <v>638</v>
      </c>
      <c r="J154" s="194" t="s">
        <v>51</v>
      </c>
      <c r="K154" s="193" t="s">
        <v>189</v>
      </c>
      <c r="L154" s="49"/>
      <c r="M154" s="49"/>
      <c r="N154" s="49"/>
      <c r="O154" s="49"/>
      <c r="P154" s="194"/>
      <c r="Q154" t="s">
        <v>932</v>
      </c>
      <c r="R154" s="165">
        <v>139</v>
      </c>
      <c r="S154" s="147" t="s">
        <v>665</v>
      </c>
      <c r="T154" s="50"/>
      <c r="U154" s="7"/>
      <c r="V154" s="239"/>
      <c r="Y154" t="str">
        <f t="shared" si="32"/>
        <v>engine_tip_rel_mach_table</v>
      </c>
      <c r="Z154" t="str">
        <f t="shared" si="33"/>
        <v>double[]</v>
      </c>
      <c r="AA154" t="str">
        <f t="shared" si="34"/>
        <v>table</v>
      </c>
      <c r="AB154" t="str">
        <f t="shared" si="35"/>
        <v>Mach relatif en bout de pale</v>
      </c>
      <c r="AC154" t="str">
        <f t="shared" si="24"/>
        <v>(-)</v>
      </c>
      <c r="AD154" s="279" t="str">
        <f t="shared" si="25"/>
        <v>variable: engine_tip_rel_mach_table double[] input description= "Mach relatif en bout de pale" units= "(-)"</v>
      </c>
      <c r="AE154" s="7" t="str">
        <f t="shared" si="26"/>
        <v>Y1x.Propulsion.acoustic</v>
      </c>
      <c r="AF154" s="7" t="str">
        <f t="shared" si="27"/>
        <v/>
      </c>
      <c r="AG154" s="7" t="str">
        <f t="shared" si="28"/>
        <v/>
      </c>
      <c r="AH154" s="7" t="str">
        <f t="shared" si="29"/>
        <v/>
      </c>
      <c r="AI154" s="7" t="str">
        <f t="shared" si="30"/>
        <v/>
      </c>
      <c r="AJ154" s="7" t="str">
        <f t="shared" si="31"/>
        <v/>
      </c>
    </row>
    <row r="155" spans="2:36">
      <c r="B155" s="316"/>
      <c r="C155" s="297"/>
      <c r="D155" s="47" t="s">
        <v>447</v>
      </c>
      <c r="E155" s="48" t="s">
        <v>448</v>
      </c>
      <c r="F155" t="s">
        <v>5</v>
      </c>
      <c r="G155" t="s">
        <v>1044</v>
      </c>
      <c r="H155" s="254" t="s">
        <v>354</v>
      </c>
      <c r="I155" s="49" t="s">
        <v>13</v>
      </c>
      <c r="J155" s="194" t="s">
        <v>51</v>
      </c>
      <c r="K155" s="193" t="s">
        <v>189</v>
      </c>
      <c r="L155" s="49"/>
      <c r="M155" s="49"/>
      <c r="N155" s="49"/>
      <c r="O155" s="49"/>
      <c r="P155" s="194"/>
      <c r="Q155" t="s">
        <v>826</v>
      </c>
      <c r="R155" s="165">
        <v>140</v>
      </c>
      <c r="S155" s="147" t="s">
        <v>665</v>
      </c>
      <c r="T155" s="50"/>
      <c r="U155" s="7"/>
      <c r="V155" s="239"/>
      <c r="Y155" t="str">
        <f t="shared" si="32"/>
        <v>engine_tip_rel0_mach</v>
      </c>
      <c r="Z155" t="str">
        <f t="shared" si="33"/>
        <v>double</v>
      </c>
      <c r="AA155" t="str">
        <f t="shared" si="34"/>
        <v>scalaire</v>
      </c>
      <c r="AB155" t="str">
        <f t="shared" si="35"/>
        <v>Mach relatif en bout de pale nominal</v>
      </c>
      <c r="AC155" t="str">
        <f t="shared" si="24"/>
        <v>(-)</v>
      </c>
      <c r="AD155" s="279" t="str">
        <f t="shared" si="25"/>
        <v>variable: engine_tip_rel0_mach double input description= "Mach relatif en bout de pale nominal" units= "(-)"</v>
      </c>
      <c r="AE155" s="7" t="str">
        <f t="shared" si="26"/>
        <v>Y1x.Propulsion.acoustic</v>
      </c>
      <c r="AF155" s="7" t="str">
        <f t="shared" si="27"/>
        <v/>
      </c>
      <c r="AG155" s="7" t="str">
        <f t="shared" si="28"/>
        <v/>
      </c>
      <c r="AH155" s="7" t="str">
        <f t="shared" si="29"/>
        <v/>
      </c>
      <c r="AI155" s="7" t="str">
        <f t="shared" si="30"/>
        <v/>
      </c>
      <c r="AJ155" s="7" t="str">
        <f t="shared" si="31"/>
        <v/>
      </c>
    </row>
    <row r="156" spans="2:36">
      <c r="B156" s="316"/>
      <c r="C156" s="297"/>
      <c r="D156" s="47" t="s">
        <v>449</v>
      </c>
      <c r="E156" s="48" t="s">
        <v>450</v>
      </c>
      <c r="F156" t="s">
        <v>5</v>
      </c>
      <c r="G156" t="s">
        <v>1044</v>
      </c>
      <c r="H156" s="254" t="s">
        <v>354</v>
      </c>
      <c r="I156" s="49" t="s">
        <v>13</v>
      </c>
      <c r="J156" s="194" t="s">
        <v>12</v>
      </c>
      <c r="K156" s="193" t="s">
        <v>189</v>
      </c>
      <c r="L156" s="49"/>
      <c r="M156" s="49"/>
      <c r="N156" s="49"/>
      <c r="O156" s="49"/>
      <c r="P156" s="194"/>
      <c r="Q156" t="s">
        <v>827</v>
      </c>
      <c r="R156" s="165">
        <v>141</v>
      </c>
      <c r="S156" s="147" t="s">
        <v>665</v>
      </c>
      <c r="T156" s="50"/>
      <c r="U156" s="7"/>
      <c r="V156" s="239"/>
      <c r="Y156" t="str">
        <f t="shared" si="32"/>
        <v>engine_stator_fan_distance</v>
      </c>
      <c r="Z156" t="str">
        <f t="shared" si="33"/>
        <v>double</v>
      </c>
      <c r="AA156" t="str">
        <f t="shared" si="34"/>
        <v>scalaire</v>
      </c>
      <c r="AB156" t="str">
        <f t="shared" si="35"/>
        <v>Distance entre le rotor et le stator du fan</v>
      </c>
      <c r="AC156" t="str">
        <f t="shared" si="24"/>
        <v>m</v>
      </c>
      <c r="AD156" s="279" t="str">
        <f t="shared" si="25"/>
        <v>variable: engine_stator_fan_distance double input description= "Distance entre le rotor et le stator du fan" units= "m"</v>
      </c>
      <c r="AE156" s="7" t="str">
        <f t="shared" si="26"/>
        <v>Y1x.Propulsion.acoustic</v>
      </c>
      <c r="AF156" s="7" t="str">
        <f t="shared" si="27"/>
        <v/>
      </c>
      <c r="AG156" s="7" t="str">
        <f t="shared" si="28"/>
        <v/>
      </c>
      <c r="AH156" s="7" t="str">
        <f t="shared" si="29"/>
        <v/>
      </c>
      <c r="AI156" s="7" t="str">
        <f t="shared" si="30"/>
        <v/>
      </c>
      <c r="AJ156" s="7" t="str">
        <f t="shared" si="31"/>
        <v/>
      </c>
    </row>
    <row r="157" spans="2:36">
      <c r="B157" s="316"/>
      <c r="C157" s="297"/>
      <c r="D157" s="47" t="s">
        <v>451</v>
      </c>
      <c r="E157" s="48" t="s">
        <v>452</v>
      </c>
      <c r="F157" t="s">
        <v>5</v>
      </c>
      <c r="G157" t="s">
        <v>1044</v>
      </c>
      <c r="H157" s="254" t="s">
        <v>354</v>
      </c>
      <c r="I157" s="49" t="s">
        <v>625</v>
      </c>
      <c r="J157" s="194" t="s">
        <v>51</v>
      </c>
      <c r="K157" s="193" t="s">
        <v>189</v>
      </c>
      <c r="L157" s="49"/>
      <c r="M157" s="49"/>
      <c r="N157" s="49"/>
      <c r="O157" s="49"/>
      <c r="P157" s="194"/>
      <c r="Q157" t="s">
        <v>824</v>
      </c>
      <c r="R157" s="165">
        <v>142</v>
      </c>
      <c r="S157" s="147" t="s">
        <v>665</v>
      </c>
      <c r="T157" s="50"/>
      <c r="U157" s="7"/>
      <c r="V157" s="239"/>
      <c r="Y157" t="str">
        <f t="shared" si="32"/>
        <v>engine_stator_blades_nb</v>
      </c>
      <c r="Z157" t="str">
        <f t="shared" si="33"/>
        <v>integer</v>
      </c>
      <c r="AA157" t="str">
        <f t="shared" si="34"/>
        <v>scalaire</v>
      </c>
      <c r="AB157" t="str">
        <f t="shared" si="35"/>
        <v>Nombre de pales du stator du fan</v>
      </c>
      <c r="AC157" t="str">
        <f t="shared" si="24"/>
        <v>(-)</v>
      </c>
      <c r="AD157" s="279" t="str">
        <f t="shared" si="25"/>
        <v>variable: engine_stator_blades_nb integer input description= "Nombre de pales du stator du fan" units= "(-)"</v>
      </c>
      <c r="AE157" s="7" t="str">
        <f t="shared" si="26"/>
        <v>Y1x.Propulsion.acoustic</v>
      </c>
      <c r="AF157" s="7" t="str">
        <f t="shared" si="27"/>
        <v/>
      </c>
      <c r="AG157" s="7" t="str">
        <f t="shared" si="28"/>
        <v/>
      </c>
      <c r="AH157" s="7" t="str">
        <f t="shared" si="29"/>
        <v/>
      </c>
      <c r="AI157" s="7" t="str">
        <f t="shared" si="30"/>
        <v/>
      </c>
      <c r="AJ157" s="7" t="str">
        <f t="shared" si="31"/>
        <v/>
      </c>
    </row>
    <row r="158" spans="2:36">
      <c r="B158" s="316"/>
      <c r="C158" s="297"/>
      <c r="D158" s="47" t="s">
        <v>453</v>
      </c>
      <c r="E158" s="48" t="s">
        <v>454</v>
      </c>
      <c r="F158" t="s">
        <v>5</v>
      </c>
      <c r="G158" t="s">
        <v>1044</v>
      </c>
      <c r="H158" s="254" t="s">
        <v>354</v>
      </c>
      <c r="I158" s="49" t="s">
        <v>625</v>
      </c>
      <c r="J158" s="194" t="s">
        <v>51</v>
      </c>
      <c r="K158" s="193" t="s">
        <v>189</v>
      </c>
      <c r="L158" s="49"/>
      <c r="M158" s="49"/>
      <c r="N158" s="49"/>
      <c r="O158" s="49"/>
      <c r="P158" s="194"/>
      <c r="Q158" t="s">
        <v>825</v>
      </c>
      <c r="R158" s="165">
        <v>143</v>
      </c>
      <c r="S158" s="147" t="s">
        <v>665</v>
      </c>
      <c r="T158" s="50"/>
      <c r="U158" s="7"/>
      <c r="V158" s="239"/>
      <c r="Y158" t="str">
        <f t="shared" si="32"/>
        <v>engine_fan_blades_nb</v>
      </c>
      <c r="Z158" t="str">
        <f t="shared" si="33"/>
        <v>integer</v>
      </c>
      <c r="AA158" t="str">
        <f t="shared" si="34"/>
        <v>scalaire</v>
      </c>
      <c r="AB158" t="str">
        <f t="shared" si="35"/>
        <v>Nombre de pales du rotor du fan</v>
      </c>
      <c r="AC158" t="str">
        <f t="shared" si="24"/>
        <v>(-)</v>
      </c>
      <c r="AD158" s="279" t="str">
        <f t="shared" si="25"/>
        <v>variable: engine_fan_blades_nb integer input description= "Nombre de pales du rotor du fan" units= "(-)"</v>
      </c>
      <c r="AE158" s="7" t="str">
        <f t="shared" si="26"/>
        <v>Y1x.Propulsion.acoustic</v>
      </c>
      <c r="AF158" s="7" t="str">
        <f t="shared" si="27"/>
        <v/>
      </c>
      <c r="AG158" s="7" t="str">
        <f t="shared" si="28"/>
        <v/>
      </c>
      <c r="AH158" s="7" t="str">
        <f t="shared" si="29"/>
        <v/>
      </c>
      <c r="AI158" s="7" t="str">
        <f t="shared" si="30"/>
        <v/>
      </c>
      <c r="AJ158" s="7" t="str">
        <f t="shared" si="31"/>
        <v/>
      </c>
    </row>
    <row r="159" spans="2:36" ht="13.5" thickBot="1">
      <c r="B159" s="317"/>
      <c r="C159" s="333"/>
      <c r="D159" s="55" t="s">
        <v>327</v>
      </c>
      <c r="E159" s="56" t="s">
        <v>455</v>
      </c>
      <c r="F159" s="294" t="s">
        <v>5</v>
      </c>
      <c r="G159" s="292" t="s">
        <v>1044</v>
      </c>
      <c r="H159" s="257" t="s">
        <v>72</v>
      </c>
      <c r="I159" s="57" t="s">
        <v>638</v>
      </c>
      <c r="J159" s="198" t="s">
        <v>328</v>
      </c>
      <c r="K159" s="197" t="s">
        <v>189</v>
      </c>
      <c r="L159" s="57"/>
      <c r="M159" s="57"/>
      <c r="N159" s="57"/>
      <c r="O159" s="57"/>
      <c r="P159" s="198"/>
      <c r="Q159" s="290" t="s">
        <v>933</v>
      </c>
      <c r="R159" s="166">
        <v>144</v>
      </c>
      <c r="S159" s="148" t="s">
        <v>665</v>
      </c>
      <c r="T159" s="58"/>
      <c r="U159" s="7"/>
      <c r="V159" s="239"/>
      <c r="Y159" t="str">
        <f t="shared" si="32"/>
        <v>engine_fan_rotation_rate_table</v>
      </c>
      <c r="Z159" t="str">
        <f t="shared" si="33"/>
        <v>double[]</v>
      </c>
      <c r="AA159" t="str">
        <f t="shared" si="34"/>
        <v>table</v>
      </c>
      <c r="AB159" t="str">
        <f t="shared" si="35"/>
        <v>Régime de rotation du rotor du fan</v>
      </c>
      <c r="AC159" t="str">
        <f t="shared" si="24"/>
        <v>tr/s</v>
      </c>
      <c r="AD159" s="279" t="str">
        <f t="shared" si="25"/>
        <v>variable: engine_fan_rotation_rate_table double[] input description= "Régime de rotation du rotor du fan" units= "tr/s"</v>
      </c>
      <c r="AE159" s="7" t="str">
        <f t="shared" si="26"/>
        <v>Y1x.Propulsion.acoustic</v>
      </c>
      <c r="AF159" s="7" t="str">
        <f t="shared" si="27"/>
        <v/>
      </c>
      <c r="AG159" s="7" t="str">
        <f t="shared" si="28"/>
        <v/>
      </c>
      <c r="AH159" s="7" t="str">
        <f t="shared" si="29"/>
        <v/>
      </c>
      <c r="AI159" s="7" t="str">
        <f t="shared" si="30"/>
        <v/>
      </c>
      <c r="AJ159" s="7" t="str">
        <f t="shared" si="31"/>
        <v/>
      </c>
    </row>
    <row r="160" spans="2:36">
      <c r="B160" s="301" t="s">
        <v>6</v>
      </c>
      <c r="C160" s="335" t="s">
        <v>71</v>
      </c>
      <c r="D160" s="59" t="s">
        <v>283</v>
      </c>
      <c r="E160" s="60" t="s">
        <v>285</v>
      </c>
      <c r="F160" t="s">
        <v>1055</v>
      </c>
      <c r="G160" t="s">
        <v>1051</v>
      </c>
      <c r="H160" s="258" t="s">
        <v>354</v>
      </c>
      <c r="I160" s="61" t="s">
        <v>625</v>
      </c>
      <c r="J160" s="200" t="s">
        <v>51</v>
      </c>
      <c r="K160" s="199" t="s">
        <v>74</v>
      </c>
      <c r="L160" s="61"/>
      <c r="M160" s="61"/>
      <c r="N160" s="61"/>
      <c r="O160" s="61"/>
      <c r="P160" s="200"/>
      <c r="Q160" t="s">
        <v>951</v>
      </c>
      <c r="R160" s="167">
        <v>145</v>
      </c>
      <c r="S160" s="149" t="s">
        <v>665</v>
      </c>
      <c r="T160" s="62"/>
      <c r="U160" s="7"/>
      <c r="V160" s="239"/>
      <c r="Y160" t="str">
        <f t="shared" si="32"/>
        <v>aero_table_body_nb_points</v>
      </c>
      <c r="Z160" t="str">
        <f t="shared" si="33"/>
        <v>integer</v>
      </c>
      <c r="AA160" t="str">
        <f t="shared" si="34"/>
        <v>scalaire</v>
      </c>
      <c r="AB160" t="str">
        <f t="shared" si="35"/>
        <v>Nombre de points des tables de profil aérodynamique</v>
      </c>
      <c r="AC160" t="str">
        <f t="shared" si="24"/>
        <v>(-)</v>
      </c>
      <c r="AD160" s="279" t="str">
        <f t="shared" si="25"/>
        <v>variable: aero_table_body_nb_points integer input description= "Nombre de points des tables de profil aérodynamique" units= "(-)"</v>
      </c>
      <c r="AE160" s="7" t="str">
        <f t="shared" si="26"/>
        <v>Y23.Aerodynamics.airfoil</v>
      </c>
      <c r="AF160" s="7" t="str">
        <f t="shared" si="27"/>
        <v/>
      </c>
      <c r="AG160" s="7" t="str">
        <f t="shared" si="28"/>
        <v/>
      </c>
      <c r="AH160" s="7" t="str">
        <f t="shared" si="29"/>
        <v/>
      </c>
      <c r="AI160" s="7" t="str">
        <f t="shared" si="30"/>
        <v/>
      </c>
      <c r="AJ160" s="7" t="str">
        <f t="shared" si="31"/>
        <v/>
      </c>
    </row>
    <row r="161" spans="2:36">
      <c r="B161" s="302"/>
      <c r="C161" s="299"/>
      <c r="D161" s="63" t="s">
        <v>264</v>
      </c>
      <c r="E161" s="64" t="s">
        <v>263</v>
      </c>
      <c r="F161" t="s">
        <v>1055</v>
      </c>
      <c r="G161" t="s">
        <v>1051</v>
      </c>
      <c r="H161" s="259" t="s">
        <v>72</v>
      </c>
      <c r="I161" s="67" t="s">
        <v>638</v>
      </c>
      <c r="J161" s="202" t="s">
        <v>51</v>
      </c>
      <c r="K161" s="201" t="s">
        <v>585</v>
      </c>
      <c r="L161" s="66" t="s">
        <v>577</v>
      </c>
      <c r="M161" s="66"/>
      <c r="N161" s="66"/>
      <c r="O161" s="66"/>
      <c r="P161" s="202"/>
      <c r="Q161" t="s">
        <v>934</v>
      </c>
      <c r="R161" s="168">
        <v>146</v>
      </c>
      <c r="S161" s="150" t="s">
        <v>665</v>
      </c>
      <c r="T161" s="68"/>
      <c r="U161" s="7"/>
      <c r="V161" s="239"/>
      <c r="Y161" t="str">
        <f t="shared" si="32"/>
        <v>airfoil_extrados_p0</v>
      </c>
      <c r="Z161" t="str">
        <f t="shared" si="33"/>
        <v>double[]</v>
      </c>
      <c r="AA161" t="str">
        <f t="shared" si="34"/>
        <v>table</v>
      </c>
      <c r="AB161" t="str">
        <f t="shared" si="35"/>
        <v>Profil aérodynamique au plan 0, coordonnées de l'extrados (BA vers BF)</v>
      </c>
      <c r="AC161" t="str">
        <f t="shared" si="24"/>
        <v>(-)</v>
      </c>
      <c r="AD161" s="279" t="str">
        <f t="shared" si="25"/>
        <v>variable: airfoil_extrados_p0 double[] input description= "Profil aérodynamique au plan 0, coordonnées de l'extrados (BA vers BF)" units= "(-)"</v>
      </c>
      <c r="AE161" s="7" t="str">
        <f t="shared" si="26"/>
        <v>Y20.Aerodynamics.airfoil</v>
      </c>
      <c r="AF161" s="7" t="str">
        <f t="shared" si="27"/>
        <v>Y32.Aerodynamics.airfoil</v>
      </c>
      <c r="AG161" s="7" t="str">
        <f t="shared" si="28"/>
        <v/>
      </c>
      <c r="AH161" s="7" t="str">
        <f t="shared" si="29"/>
        <v/>
      </c>
      <c r="AI161" s="7" t="str">
        <f t="shared" si="30"/>
        <v/>
      </c>
      <c r="AJ161" s="7" t="str">
        <f t="shared" si="31"/>
        <v/>
      </c>
    </row>
    <row r="162" spans="2:36">
      <c r="B162" s="302"/>
      <c r="C162" s="299"/>
      <c r="D162" s="63" t="s">
        <v>265</v>
      </c>
      <c r="E162" s="64" t="s">
        <v>274</v>
      </c>
      <c r="F162" t="s">
        <v>1055</v>
      </c>
      <c r="G162" t="s">
        <v>1051</v>
      </c>
      <c r="H162" s="259" t="s">
        <v>72</v>
      </c>
      <c r="I162" s="67" t="s">
        <v>638</v>
      </c>
      <c r="J162" s="202" t="s">
        <v>51</v>
      </c>
      <c r="K162" s="201" t="s">
        <v>585</v>
      </c>
      <c r="L162" s="66" t="s">
        <v>577</v>
      </c>
      <c r="M162" s="66"/>
      <c r="N162" s="66"/>
      <c r="O162" s="66"/>
      <c r="P162" s="202"/>
      <c r="Q162" t="s">
        <v>935</v>
      </c>
      <c r="R162" s="168">
        <v>147</v>
      </c>
      <c r="S162" s="150" t="s">
        <v>665</v>
      </c>
      <c r="T162" s="68"/>
      <c r="U162" s="7"/>
      <c r="V162" s="239"/>
      <c r="Y162" t="str">
        <f t="shared" si="32"/>
        <v>airfoil_intrados_p0</v>
      </c>
      <c r="Z162" t="str">
        <f t="shared" si="33"/>
        <v>double[]</v>
      </c>
      <c r="AA162" t="str">
        <f t="shared" si="34"/>
        <v>table</v>
      </c>
      <c r="AB162" t="str">
        <f t="shared" si="35"/>
        <v>Profil aérodynamique au plan 0, coordonnées de l'intrados (BA vers BF)</v>
      </c>
      <c r="AC162" t="str">
        <f t="shared" si="24"/>
        <v>(-)</v>
      </c>
      <c r="AD162" s="279" t="str">
        <f t="shared" si="25"/>
        <v>variable: airfoil_intrados_p0 double[] input description= "Profil aérodynamique au plan 0, coordonnées de l'intrados (BA vers BF)" units= "(-)"</v>
      </c>
      <c r="AE162" s="7" t="str">
        <f t="shared" si="26"/>
        <v>Y20.Aerodynamics.airfoil</v>
      </c>
      <c r="AF162" s="7" t="str">
        <f t="shared" si="27"/>
        <v>Y32.Aerodynamics.airfoil</v>
      </c>
      <c r="AG162" s="7" t="str">
        <f t="shared" si="28"/>
        <v/>
      </c>
      <c r="AH162" s="7" t="str">
        <f t="shared" si="29"/>
        <v/>
      </c>
      <c r="AI162" s="7" t="str">
        <f t="shared" si="30"/>
        <v/>
      </c>
      <c r="AJ162" s="7" t="str">
        <f t="shared" si="31"/>
        <v/>
      </c>
    </row>
    <row r="163" spans="2:36">
      <c r="B163" s="302"/>
      <c r="C163" s="299"/>
      <c r="D163" s="69" t="s">
        <v>500</v>
      </c>
      <c r="E163" s="70" t="s">
        <v>543</v>
      </c>
      <c r="F163" t="s">
        <v>1055</v>
      </c>
      <c r="G163" t="s">
        <v>1051</v>
      </c>
      <c r="H163" s="260" t="s">
        <v>72</v>
      </c>
      <c r="I163" s="72" t="s">
        <v>638</v>
      </c>
      <c r="J163" s="204" t="s">
        <v>51</v>
      </c>
      <c r="K163" s="203" t="s">
        <v>585</v>
      </c>
      <c r="L163" s="71" t="s">
        <v>577</v>
      </c>
      <c r="M163" s="71"/>
      <c r="N163" s="71"/>
      <c r="O163" s="71"/>
      <c r="P163" s="204"/>
      <c r="Q163" t="s">
        <v>936</v>
      </c>
      <c r="R163" s="168">
        <v>148</v>
      </c>
      <c r="S163" s="150" t="s">
        <v>665</v>
      </c>
      <c r="T163" s="68"/>
      <c r="U163" s="7"/>
      <c r="V163" s="239"/>
      <c r="Y163" t="str">
        <f t="shared" si="32"/>
        <v>airfoil_extrados_p0_1</v>
      </c>
      <c r="Z163" t="str">
        <f t="shared" si="33"/>
        <v>double[]</v>
      </c>
      <c r="AA163" t="str">
        <f t="shared" si="34"/>
        <v>table</v>
      </c>
      <c r="AB163" t="str">
        <f t="shared" si="35"/>
        <v>Profil aérodynamique au plan 0.1, coordonnées de l'extrados (BA vers BF)</v>
      </c>
      <c r="AC163" t="str">
        <f t="shared" si="24"/>
        <v>(-)</v>
      </c>
      <c r="AD163" s="279" t="str">
        <f t="shared" si="25"/>
        <v>variable: airfoil_extrados_p0_1 double[] input description= "Profil aérodynamique au plan 0.1, coordonnées de l'extrados (BA vers BF)" units= "(-)"</v>
      </c>
      <c r="AE163" s="7" t="str">
        <f t="shared" si="26"/>
        <v>Y20.Aerodynamics.airfoil</v>
      </c>
      <c r="AF163" s="7" t="str">
        <f t="shared" si="27"/>
        <v>Y32.Aerodynamics.airfoil</v>
      </c>
      <c r="AG163" s="7" t="str">
        <f t="shared" si="28"/>
        <v/>
      </c>
      <c r="AH163" s="7" t="str">
        <f t="shared" si="29"/>
        <v/>
      </c>
      <c r="AI163" s="7" t="str">
        <f t="shared" si="30"/>
        <v/>
      </c>
      <c r="AJ163" s="7" t="str">
        <f t="shared" si="31"/>
        <v/>
      </c>
    </row>
    <row r="164" spans="2:36">
      <c r="B164" s="302"/>
      <c r="C164" s="299"/>
      <c r="D164" s="69" t="s">
        <v>501</v>
      </c>
      <c r="E164" s="70" t="s">
        <v>544</v>
      </c>
      <c r="F164" t="s">
        <v>1055</v>
      </c>
      <c r="G164" t="s">
        <v>1051</v>
      </c>
      <c r="H164" s="260" t="s">
        <v>72</v>
      </c>
      <c r="I164" s="72" t="s">
        <v>638</v>
      </c>
      <c r="J164" s="204" t="s">
        <v>51</v>
      </c>
      <c r="K164" s="203" t="s">
        <v>585</v>
      </c>
      <c r="L164" s="71" t="s">
        <v>577</v>
      </c>
      <c r="M164" s="71"/>
      <c r="N164" s="71"/>
      <c r="O164" s="71"/>
      <c r="P164" s="204"/>
      <c r="Q164" t="s">
        <v>937</v>
      </c>
      <c r="R164" s="168">
        <v>149</v>
      </c>
      <c r="S164" s="150" t="s">
        <v>665</v>
      </c>
      <c r="T164" s="68"/>
      <c r="U164" s="7"/>
      <c r="V164" s="239"/>
      <c r="Y164" t="str">
        <f t="shared" si="32"/>
        <v>airfoil_intrados_p0_1</v>
      </c>
      <c r="Z164" t="str">
        <f t="shared" si="33"/>
        <v>double[]</v>
      </c>
      <c r="AA164" t="str">
        <f t="shared" si="34"/>
        <v>table</v>
      </c>
      <c r="AB164" t="str">
        <f t="shared" si="35"/>
        <v>Profil aérodynamique au plan 0.1, coordonnées de l'intrados (BA vers BF)</v>
      </c>
      <c r="AC164" t="str">
        <f t="shared" si="24"/>
        <v>(-)</v>
      </c>
      <c r="AD164" s="279" t="str">
        <f t="shared" si="25"/>
        <v>variable: airfoil_intrados_p0_1 double[] input description= "Profil aérodynamique au plan 0.1, coordonnées de l'intrados (BA vers BF)" units= "(-)"</v>
      </c>
      <c r="AE164" s="7" t="str">
        <f t="shared" si="26"/>
        <v>Y20.Aerodynamics.airfoil</v>
      </c>
      <c r="AF164" s="7" t="str">
        <f t="shared" si="27"/>
        <v>Y32.Aerodynamics.airfoil</v>
      </c>
      <c r="AG164" s="7" t="str">
        <f t="shared" si="28"/>
        <v/>
      </c>
      <c r="AH164" s="7" t="str">
        <f t="shared" si="29"/>
        <v/>
      </c>
      <c r="AI164" s="7" t="str">
        <f t="shared" si="30"/>
        <v/>
      </c>
      <c r="AJ164" s="7" t="str">
        <f t="shared" si="31"/>
        <v/>
      </c>
    </row>
    <row r="165" spans="2:36">
      <c r="B165" s="302"/>
      <c r="C165" s="299"/>
      <c r="D165" s="63" t="s">
        <v>266</v>
      </c>
      <c r="E165" s="64" t="s">
        <v>275</v>
      </c>
      <c r="F165" t="s">
        <v>1055</v>
      </c>
      <c r="G165" t="s">
        <v>1051</v>
      </c>
      <c r="H165" s="259" t="s">
        <v>72</v>
      </c>
      <c r="I165" s="67" t="s">
        <v>638</v>
      </c>
      <c r="J165" s="202" t="s">
        <v>51</v>
      </c>
      <c r="K165" s="201" t="s">
        <v>585</v>
      </c>
      <c r="L165" s="66" t="s">
        <v>577</v>
      </c>
      <c r="M165" s="66"/>
      <c r="N165" s="66"/>
      <c r="O165" s="66"/>
      <c r="P165" s="202"/>
      <c r="Q165" t="s">
        <v>938</v>
      </c>
      <c r="R165" s="168">
        <v>150</v>
      </c>
      <c r="S165" s="150" t="s">
        <v>665</v>
      </c>
      <c r="T165" s="68"/>
      <c r="U165" s="7"/>
      <c r="V165" s="239"/>
      <c r="Y165" t="str">
        <f t="shared" si="32"/>
        <v>airfoil_extrados_p1</v>
      </c>
      <c r="Z165" t="str">
        <f t="shared" si="33"/>
        <v>double[]</v>
      </c>
      <c r="AA165" t="str">
        <f t="shared" si="34"/>
        <v>table</v>
      </c>
      <c r="AB165" t="str">
        <f t="shared" si="35"/>
        <v>Profil aérodynamique au plan 1, coordonnées de l'extrados (BA vers BF)</v>
      </c>
      <c r="AC165" t="str">
        <f t="shared" si="24"/>
        <v>(-)</v>
      </c>
      <c r="AD165" s="279" t="str">
        <f t="shared" si="25"/>
        <v>variable: airfoil_extrados_p1 double[] input description= "Profil aérodynamique au plan 1, coordonnées de l'extrados (BA vers BF)" units= "(-)"</v>
      </c>
      <c r="AE165" s="7" t="str">
        <f t="shared" si="26"/>
        <v>Y20.Aerodynamics.airfoil</v>
      </c>
      <c r="AF165" s="7" t="str">
        <f t="shared" si="27"/>
        <v>Y32.Aerodynamics.airfoil</v>
      </c>
      <c r="AG165" s="7" t="str">
        <f t="shared" si="28"/>
        <v/>
      </c>
      <c r="AH165" s="7" t="str">
        <f t="shared" si="29"/>
        <v/>
      </c>
      <c r="AI165" s="7" t="str">
        <f t="shared" si="30"/>
        <v/>
      </c>
      <c r="AJ165" s="7" t="str">
        <f t="shared" si="31"/>
        <v/>
      </c>
    </row>
    <row r="166" spans="2:36">
      <c r="B166" s="302"/>
      <c r="C166" s="299"/>
      <c r="D166" s="63" t="s">
        <v>267</v>
      </c>
      <c r="E166" s="64" t="s">
        <v>276</v>
      </c>
      <c r="F166" t="s">
        <v>1055</v>
      </c>
      <c r="G166" t="s">
        <v>1051</v>
      </c>
      <c r="H166" s="259" t="s">
        <v>72</v>
      </c>
      <c r="I166" s="67" t="s">
        <v>638</v>
      </c>
      <c r="J166" s="202" t="s">
        <v>51</v>
      </c>
      <c r="K166" s="201" t="s">
        <v>585</v>
      </c>
      <c r="L166" s="66" t="s">
        <v>577</v>
      </c>
      <c r="M166" s="66"/>
      <c r="N166" s="66"/>
      <c r="O166" s="66"/>
      <c r="P166" s="202"/>
      <c r="Q166" t="s">
        <v>939</v>
      </c>
      <c r="R166" s="168">
        <v>151</v>
      </c>
      <c r="S166" s="150" t="s">
        <v>665</v>
      </c>
      <c r="T166" s="68"/>
      <c r="U166" s="7"/>
      <c r="V166" s="239"/>
      <c r="Y166" t="str">
        <f t="shared" si="32"/>
        <v>airfoil_intrados_p1</v>
      </c>
      <c r="Z166" t="str">
        <f t="shared" si="33"/>
        <v>double[]</v>
      </c>
      <c r="AA166" t="str">
        <f t="shared" si="34"/>
        <v>table</v>
      </c>
      <c r="AB166" t="str">
        <f t="shared" si="35"/>
        <v>Profil aérodynamique au plan 1, coordonnées de l'intrados (BA vers BF)</v>
      </c>
      <c r="AC166" t="str">
        <f t="shared" si="24"/>
        <v>(-)</v>
      </c>
      <c r="AD166" s="279" t="str">
        <f t="shared" si="25"/>
        <v>variable: airfoil_intrados_p1 double[] input description= "Profil aérodynamique au plan 1, coordonnées de l'intrados (BA vers BF)" units= "(-)"</v>
      </c>
      <c r="AE166" s="7" t="str">
        <f t="shared" si="26"/>
        <v>Y20.Aerodynamics.airfoil</v>
      </c>
      <c r="AF166" s="7" t="str">
        <f t="shared" si="27"/>
        <v>Y32.Aerodynamics.airfoil</v>
      </c>
      <c r="AG166" s="7" t="str">
        <f t="shared" si="28"/>
        <v/>
      </c>
      <c r="AH166" s="7" t="str">
        <f t="shared" si="29"/>
        <v/>
      </c>
      <c r="AI166" s="7" t="str">
        <f t="shared" si="30"/>
        <v/>
      </c>
      <c r="AJ166" s="7" t="str">
        <f t="shared" si="31"/>
        <v/>
      </c>
    </row>
    <row r="167" spans="2:36" ht="12" customHeight="1">
      <c r="B167" s="302"/>
      <c r="C167" s="299"/>
      <c r="D167" s="63" t="s">
        <v>268</v>
      </c>
      <c r="E167" s="64" t="s">
        <v>277</v>
      </c>
      <c r="F167" t="s">
        <v>1055</v>
      </c>
      <c r="G167" t="s">
        <v>1051</v>
      </c>
      <c r="H167" s="259" t="s">
        <v>72</v>
      </c>
      <c r="I167" s="67" t="s">
        <v>638</v>
      </c>
      <c r="J167" s="202" t="s">
        <v>51</v>
      </c>
      <c r="K167" s="201" t="s">
        <v>121</v>
      </c>
      <c r="L167" s="66" t="s">
        <v>586</v>
      </c>
      <c r="M167" s="66" t="s">
        <v>587</v>
      </c>
      <c r="N167" s="66"/>
      <c r="O167" s="66"/>
      <c r="P167" s="202"/>
      <c r="Q167" t="s">
        <v>940</v>
      </c>
      <c r="R167" s="168">
        <v>152</v>
      </c>
      <c r="S167" s="150" t="s">
        <v>665</v>
      </c>
      <c r="T167" s="68"/>
      <c r="U167" s="7"/>
      <c r="V167" s="239"/>
      <c r="Y167" t="str">
        <f t="shared" si="32"/>
        <v>airfoil_extrados_p2</v>
      </c>
      <c r="Z167" t="str">
        <f t="shared" si="33"/>
        <v>double[]</v>
      </c>
      <c r="AA167" t="str">
        <f t="shared" si="34"/>
        <v>table</v>
      </c>
      <c r="AB167" t="str">
        <f t="shared" si="35"/>
        <v>Profil aérodynamique au plan 2, coordonnées de l'extrados (BA vers BF)</v>
      </c>
      <c r="AC167" t="str">
        <f t="shared" si="24"/>
        <v>(-)</v>
      </c>
      <c r="AD167" s="279" t="str">
        <f t="shared" si="25"/>
        <v>variable: airfoil_extrados_p2 double[] input description= "Profil aérodynamique au plan 2, coordonnées de l'extrados (BA vers BF)" units= "(-)"</v>
      </c>
      <c r="AE167" s="7" t="str">
        <f t="shared" si="26"/>
        <v>X2.Aerodynamics.airfoil</v>
      </c>
      <c r="AF167" s="7" t="str">
        <f t="shared" si="27"/>
        <v>Y20.Aerodynamics.airfoil</v>
      </c>
      <c r="AG167" s="7" t="str">
        <f t="shared" si="28"/>
        <v>Y23.Aerodynamics.airfoil</v>
      </c>
      <c r="AH167" s="7" t="str">
        <f t="shared" si="29"/>
        <v/>
      </c>
      <c r="AI167" s="7" t="str">
        <f t="shared" si="30"/>
        <v/>
      </c>
      <c r="AJ167" s="7" t="str">
        <f t="shared" si="31"/>
        <v/>
      </c>
    </row>
    <row r="168" spans="2:36" ht="12" customHeight="1">
      <c r="B168" s="302"/>
      <c r="C168" s="299"/>
      <c r="D168" s="63" t="s">
        <v>269</v>
      </c>
      <c r="E168" s="64" t="s">
        <v>278</v>
      </c>
      <c r="F168" t="s">
        <v>1055</v>
      </c>
      <c r="G168" t="s">
        <v>1051</v>
      </c>
      <c r="H168" s="259" t="s">
        <v>72</v>
      </c>
      <c r="I168" s="67" t="s">
        <v>638</v>
      </c>
      <c r="J168" s="202" t="s">
        <v>51</v>
      </c>
      <c r="K168" s="201" t="s">
        <v>121</v>
      </c>
      <c r="L168" s="66" t="s">
        <v>586</v>
      </c>
      <c r="M168" s="66" t="s">
        <v>587</v>
      </c>
      <c r="N168" s="66"/>
      <c r="O168" s="66"/>
      <c r="P168" s="202"/>
      <c r="Q168" t="s">
        <v>941</v>
      </c>
      <c r="R168" s="168">
        <v>153</v>
      </c>
      <c r="S168" s="150" t="s">
        <v>665</v>
      </c>
      <c r="T168" s="68"/>
      <c r="U168" s="7"/>
      <c r="V168" s="239"/>
      <c r="Y168" t="str">
        <f t="shared" si="32"/>
        <v>airfoil_intrados_p2</v>
      </c>
      <c r="Z168" t="str">
        <f t="shared" si="33"/>
        <v>double[]</v>
      </c>
      <c r="AA168" t="str">
        <f t="shared" si="34"/>
        <v>table</v>
      </c>
      <c r="AB168" t="str">
        <f t="shared" si="35"/>
        <v>Profil aérodynamique au plan 2, coordonnées de l'intrados (BA vers BF)</v>
      </c>
      <c r="AC168" t="str">
        <f t="shared" si="24"/>
        <v>(-)</v>
      </c>
      <c r="AD168" s="279" t="str">
        <f t="shared" si="25"/>
        <v>variable: airfoil_intrados_p2 double[] input description= "Profil aérodynamique au plan 2, coordonnées de l'intrados (BA vers BF)" units= "(-)"</v>
      </c>
      <c r="AE168" s="7" t="str">
        <f t="shared" si="26"/>
        <v>X2.Aerodynamics.airfoil</v>
      </c>
      <c r="AF168" s="7" t="str">
        <f t="shared" si="27"/>
        <v>Y20.Aerodynamics.airfoil</v>
      </c>
      <c r="AG168" s="7" t="str">
        <f t="shared" si="28"/>
        <v>Y23.Aerodynamics.airfoil</v>
      </c>
      <c r="AH168" s="7" t="str">
        <f t="shared" si="29"/>
        <v/>
      </c>
      <c r="AI168" s="7" t="str">
        <f t="shared" si="30"/>
        <v/>
      </c>
      <c r="AJ168" s="7" t="str">
        <f t="shared" si="31"/>
        <v/>
      </c>
    </row>
    <row r="169" spans="2:36" ht="12" customHeight="1">
      <c r="B169" s="302"/>
      <c r="C169" s="299"/>
      <c r="D169" s="73" t="s">
        <v>502</v>
      </c>
      <c r="E169" s="74" t="s">
        <v>504</v>
      </c>
      <c r="F169" t="s">
        <v>1055</v>
      </c>
      <c r="G169" t="s">
        <v>1051</v>
      </c>
      <c r="H169" s="260" t="s">
        <v>72</v>
      </c>
      <c r="I169" s="72" t="s">
        <v>638</v>
      </c>
      <c r="J169" s="204" t="s">
        <v>51</v>
      </c>
      <c r="K169" s="203" t="s">
        <v>121</v>
      </c>
      <c r="L169" s="71" t="s">
        <v>586</v>
      </c>
      <c r="M169" s="71" t="s">
        <v>587</v>
      </c>
      <c r="N169" s="71"/>
      <c r="O169" s="71"/>
      <c r="P169" s="204"/>
      <c r="Q169" t="s">
        <v>942</v>
      </c>
      <c r="R169" s="168">
        <v>154</v>
      </c>
      <c r="S169" s="150" t="s">
        <v>665</v>
      </c>
      <c r="T169" s="68"/>
      <c r="U169" s="7"/>
      <c r="V169" s="239"/>
      <c r="Y169" t="str">
        <f t="shared" si="32"/>
        <v>airfoil_extrados_p2_1</v>
      </c>
      <c r="Z169" t="str">
        <f t="shared" si="33"/>
        <v>double[]</v>
      </c>
      <c r="AA169" t="str">
        <f t="shared" si="34"/>
        <v>table</v>
      </c>
      <c r="AB169" t="str">
        <f t="shared" si="35"/>
        <v>Profil aérodynamique au plan 2.1, coordonnées de l'extrados (BA vers BF)</v>
      </c>
      <c r="AC169" t="str">
        <f t="shared" si="24"/>
        <v>(-)</v>
      </c>
      <c r="AD169" s="279" t="str">
        <f t="shared" si="25"/>
        <v>variable: airfoil_extrados_p2_1 double[] input description= "Profil aérodynamique au plan 2.1, coordonnées de l'extrados (BA vers BF)" units= "(-)"</v>
      </c>
      <c r="AE169" s="7" t="str">
        <f t="shared" si="26"/>
        <v>X2.Aerodynamics.airfoil</v>
      </c>
      <c r="AF169" s="7" t="str">
        <f t="shared" si="27"/>
        <v>Y20.Aerodynamics.airfoil</v>
      </c>
      <c r="AG169" s="7" t="str">
        <f t="shared" si="28"/>
        <v>Y23.Aerodynamics.airfoil</v>
      </c>
      <c r="AH169" s="7" t="str">
        <f t="shared" si="29"/>
        <v/>
      </c>
      <c r="AI169" s="7" t="str">
        <f t="shared" si="30"/>
        <v/>
      </c>
      <c r="AJ169" s="7" t="str">
        <f t="shared" si="31"/>
        <v/>
      </c>
    </row>
    <row r="170" spans="2:36" ht="12" customHeight="1">
      <c r="B170" s="302"/>
      <c r="C170" s="299"/>
      <c r="D170" s="73" t="s">
        <v>503</v>
      </c>
      <c r="E170" s="74" t="s">
        <v>505</v>
      </c>
      <c r="F170" t="s">
        <v>1055</v>
      </c>
      <c r="G170" t="s">
        <v>1051</v>
      </c>
      <c r="H170" s="260" t="s">
        <v>72</v>
      </c>
      <c r="I170" s="72" t="s">
        <v>638</v>
      </c>
      <c r="J170" s="204" t="s">
        <v>51</v>
      </c>
      <c r="K170" s="203" t="s">
        <v>121</v>
      </c>
      <c r="L170" s="71" t="s">
        <v>586</v>
      </c>
      <c r="M170" s="71" t="s">
        <v>587</v>
      </c>
      <c r="N170" s="71"/>
      <c r="O170" s="71"/>
      <c r="P170" s="204"/>
      <c r="Q170" t="s">
        <v>943</v>
      </c>
      <c r="R170" s="168">
        <v>155</v>
      </c>
      <c r="S170" s="150" t="s">
        <v>665</v>
      </c>
      <c r="T170" s="68"/>
      <c r="U170" s="7"/>
      <c r="V170" s="239"/>
      <c r="Y170" t="str">
        <f t="shared" si="32"/>
        <v>airfoil_intrados_p2_1</v>
      </c>
      <c r="Z170" t="str">
        <f t="shared" si="33"/>
        <v>double[]</v>
      </c>
      <c r="AA170" t="str">
        <f t="shared" si="34"/>
        <v>table</v>
      </c>
      <c r="AB170" t="str">
        <f t="shared" si="35"/>
        <v>Profil aérodynamique au plan 2.1, coordonnées de l'intrados (BA vers BF)</v>
      </c>
      <c r="AC170" t="str">
        <f t="shared" si="24"/>
        <v>(-)</v>
      </c>
      <c r="AD170" s="279" t="str">
        <f t="shared" si="25"/>
        <v>variable: airfoil_intrados_p2_1 double[] input description= "Profil aérodynamique au plan 2.1, coordonnées de l'intrados (BA vers BF)" units= "(-)"</v>
      </c>
      <c r="AE170" s="7" t="str">
        <f t="shared" si="26"/>
        <v>X2.Aerodynamics.airfoil</v>
      </c>
      <c r="AF170" s="7" t="str">
        <f t="shared" si="27"/>
        <v>Y20.Aerodynamics.airfoil</v>
      </c>
      <c r="AG170" s="7" t="str">
        <f t="shared" si="28"/>
        <v>Y23.Aerodynamics.airfoil</v>
      </c>
      <c r="AH170" s="7" t="str">
        <f t="shared" si="29"/>
        <v/>
      </c>
      <c r="AI170" s="7" t="str">
        <f t="shared" si="30"/>
        <v/>
      </c>
      <c r="AJ170" s="7" t="str">
        <f t="shared" si="31"/>
        <v/>
      </c>
    </row>
    <row r="171" spans="2:36">
      <c r="B171" s="302"/>
      <c r="C171" s="299"/>
      <c r="D171" s="63" t="s">
        <v>270</v>
      </c>
      <c r="E171" s="64" t="s">
        <v>279</v>
      </c>
      <c r="F171" t="s">
        <v>1055</v>
      </c>
      <c r="G171" t="s">
        <v>1051</v>
      </c>
      <c r="H171" s="259" t="s">
        <v>72</v>
      </c>
      <c r="I171" s="67" t="s">
        <v>638</v>
      </c>
      <c r="J171" s="202" t="s">
        <v>51</v>
      </c>
      <c r="K171" s="201" t="s">
        <v>121</v>
      </c>
      <c r="L171" s="66" t="s">
        <v>586</v>
      </c>
      <c r="M171" s="66" t="s">
        <v>587</v>
      </c>
      <c r="N171" s="66"/>
      <c r="O171" s="66"/>
      <c r="P171" s="202"/>
      <c r="Q171" t="s">
        <v>944</v>
      </c>
      <c r="R171" s="168">
        <v>156</v>
      </c>
      <c r="S171" s="150" t="s">
        <v>665</v>
      </c>
      <c r="T171" s="68"/>
      <c r="U171" s="7"/>
      <c r="V171" s="239"/>
      <c r="Y171" t="str">
        <f t="shared" si="32"/>
        <v>airfoil_extrados_p3</v>
      </c>
      <c r="Z171" t="str">
        <f t="shared" si="33"/>
        <v>double[]</v>
      </c>
      <c r="AA171" t="str">
        <f t="shared" si="34"/>
        <v>table</v>
      </c>
      <c r="AB171" t="str">
        <f t="shared" si="35"/>
        <v>Profil aérodynamique au plan 3, coordonnées de l'extrados (BA vers BF)</v>
      </c>
      <c r="AC171" t="str">
        <f t="shared" si="24"/>
        <v>(-)</v>
      </c>
      <c r="AD171" s="279" t="str">
        <f t="shared" si="25"/>
        <v>variable: airfoil_extrados_p3 double[] input description= "Profil aérodynamique au plan 3, coordonnées de l'extrados (BA vers BF)" units= "(-)"</v>
      </c>
      <c r="AE171" s="7" t="str">
        <f t="shared" si="26"/>
        <v>X2.Aerodynamics.airfoil</v>
      </c>
      <c r="AF171" s="7" t="str">
        <f t="shared" si="27"/>
        <v>Y20.Aerodynamics.airfoil</v>
      </c>
      <c r="AG171" s="7" t="str">
        <f t="shared" si="28"/>
        <v>Y23.Aerodynamics.airfoil</v>
      </c>
      <c r="AH171" s="7" t="str">
        <f t="shared" si="29"/>
        <v/>
      </c>
      <c r="AI171" s="7" t="str">
        <f t="shared" si="30"/>
        <v/>
      </c>
      <c r="AJ171" s="7" t="str">
        <f t="shared" si="31"/>
        <v/>
      </c>
    </row>
    <row r="172" spans="2:36">
      <c r="B172" s="302"/>
      <c r="C172" s="299"/>
      <c r="D172" s="63" t="s">
        <v>271</v>
      </c>
      <c r="E172" s="64" t="s">
        <v>280</v>
      </c>
      <c r="F172" t="s">
        <v>1055</v>
      </c>
      <c r="G172" t="s">
        <v>1051</v>
      </c>
      <c r="H172" s="259" t="s">
        <v>72</v>
      </c>
      <c r="I172" s="67" t="s">
        <v>638</v>
      </c>
      <c r="J172" s="202" t="s">
        <v>51</v>
      </c>
      <c r="K172" s="201" t="s">
        <v>121</v>
      </c>
      <c r="L172" s="66" t="s">
        <v>586</v>
      </c>
      <c r="M172" s="66" t="s">
        <v>587</v>
      </c>
      <c r="N172" s="66"/>
      <c r="O172" s="66"/>
      <c r="P172" s="202"/>
      <c r="Q172" t="s">
        <v>945</v>
      </c>
      <c r="R172" s="168">
        <v>157</v>
      </c>
      <c r="S172" s="150" t="s">
        <v>665</v>
      </c>
      <c r="T172" s="68"/>
      <c r="U172" s="7"/>
      <c r="V172" s="239"/>
      <c r="Y172" t="str">
        <f t="shared" si="32"/>
        <v>airfoil_intrados_p3</v>
      </c>
      <c r="Z172" t="str">
        <f t="shared" si="33"/>
        <v>double[]</v>
      </c>
      <c r="AA172" t="str">
        <f t="shared" si="34"/>
        <v>table</v>
      </c>
      <c r="AB172" t="str">
        <f t="shared" si="35"/>
        <v>Profil aérodynamique au plan 3, coordonnées de l'intrados (BA vers BF)</v>
      </c>
      <c r="AC172" t="str">
        <f t="shared" si="24"/>
        <v>(-)</v>
      </c>
      <c r="AD172" s="279" t="str">
        <f t="shared" si="25"/>
        <v>variable: airfoil_intrados_p3 double[] input description= "Profil aérodynamique au plan 3, coordonnées de l'intrados (BA vers BF)" units= "(-)"</v>
      </c>
      <c r="AE172" s="7" t="str">
        <f t="shared" si="26"/>
        <v>X2.Aerodynamics.airfoil</v>
      </c>
      <c r="AF172" s="7" t="str">
        <f t="shared" si="27"/>
        <v>Y20.Aerodynamics.airfoil</v>
      </c>
      <c r="AG172" s="7" t="str">
        <f t="shared" si="28"/>
        <v>Y23.Aerodynamics.airfoil</v>
      </c>
      <c r="AH172" s="7" t="str">
        <f t="shared" si="29"/>
        <v/>
      </c>
      <c r="AI172" s="7" t="str">
        <f t="shared" si="30"/>
        <v/>
      </c>
      <c r="AJ172" s="7" t="str">
        <f t="shared" si="31"/>
        <v/>
      </c>
    </row>
    <row r="173" spans="2:36">
      <c r="B173" s="302"/>
      <c r="C173" s="299"/>
      <c r="D173" s="75" t="s">
        <v>411</v>
      </c>
      <c r="E173" s="76" t="s">
        <v>412</v>
      </c>
      <c r="F173" t="s">
        <v>1055</v>
      </c>
      <c r="G173" t="s">
        <v>1051</v>
      </c>
      <c r="H173" s="259" t="s">
        <v>72</v>
      </c>
      <c r="I173" s="67" t="s">
        <v>638</v>
      </c>
      <c r="J173" s="202" t="s">
        <v>51</v>
      </c>
      <c r="K173" s="201" t="s">
        <v>585</v>
      </c>
      <c r="L173" s="66" t="s">
        <v>577</v>
      </c>
      <c r="M173" s="66"/>
      <c r="N173" s="66"/>
      <c r="O173" s="66"/>
      <c r="P173" s="202"/>
      <c r="Q173" t="s">
        <v>946</v>
      </c>
      <c r="R173" s="168">
        <v>158</v>
      </c>
      <c r="S173" s="150" t="s">
        <v>665</v>
      </c>
      <c r="T173" s="68"/>
      <c r="U173" s="7"/>
      <c r="V173" s="239"/>
      <c r="Y173" t="str">
        <f t="shared" si="32"/>
        <v>airfoil_extrados_ctrl_surface_2</v>
      </c>
      <c r="Z173" t="str">
        <f t="shared" si="33"/>
        <v>double[]</v>
      </c>
      <c r="AA173" t="str">
        <f t="shared" si="34"/>
        <v>table</v>
      </c>
      <c r="AB173" t="str">
        <f t="shared" si="35"/>
        <v>Profil aérodynamique à l'emplanture de la gouverne 2, coordonnées de l'extrados</v>
      </c>
      <c r="AC173" t="str">
        <f t="shared" si="24"/>
        <v>(-)</v>
      </c>
      <c r="AD173" s="279" t="str">
        <f t="shared" si="25"/>
        <v>variable: airfoil_extrados_ctrl_surface_2 double[] input description= "Profil aérodynamique à l'emplanture de la gouverne 2, coordonnées de l'extrados" units= "(-)"</v>
      </c>
      <c r="AE173" s="7" t="str">
        <f t="shared" si="26"/>
        <v>Y20.Aerodynamics.airfoil</v>
      </c>
      <c r="AF173" s="7" t="str">
        <f t="shared" si="27"/>
        <v>Y32.Aerodynamics.airfoil</v>
      </c>
      <c r="AG173" s="7" t="str">
        <f t="shared" si="28"/>
        <v/>
      </c>
      <c r="AH173" s="7" t="str">
        <f t="shared" si="29"/>
        <v/>
      </c>
      <c r="AI173" s="7" t="str">
        <f t="shared" si="30"/>
        <v/>
      </c>
      <c r="AJ173" s="7" t="str">
        <f t="shared" si="31"/>
        <v/>
      </c>
    </row>
    <row r="174" spans="2:36">
      <c r="B174" s="302"/>
      <c r="C174" s="299"/>
      <c r="D174" s="75" t="s">
        <v>413</v>
      </c>
      <c r="E174" s="76" t="s">
        <v>414</v>
      </c>
      <c r="F174" t="s">
        <v>1055</v>
      </c>
      <c r="G174" t="s">
        <v>1051</v>
      </c>
      <c r="H174" s="259" t="s">
        <v>72</v>
      </c>
      <c r="I174" s="67" t="s">
        <v>638</v>
      </c>
      <c r="J174" s="202" t="s">
        <v>51</v>
      </c>
      <c r="K174" s="201" t="s">
        <v>585</v>
      </c>
      <c r="L174" s="66" t="s">
        <v>577</v>
      </c>
      <c r="M174" s="66"/>
      <c r="N174" s="66"/>
      <c r="O174" s="66"/>
      <c r="P174" s="202"/>
      <c r="Q174" t="s">
        <v>947</v>
      </c>
      <c r="R174" s="168">
        <v>159</v>
      </c>
      <c r="S174" s="150" t="s">
        <v>665</v>
      </c>
      <c r="T174" s="68"/>
      <c r="U174" s="7"/>
      <c r="V174" s="239"/>
      <c r="Y174" t="str">
        <f t="shared" si="32"/>
        <v>airfoil_intrados_ctrl_surface_2</v>
      </c>
      <c r="Z174" t="str">
        <f t="shared" si="33"/>
        <v>double[]</v>
      </c>
      <c r="AA174" t="str">
        <f t="shared" si="34"/>
        <v>table</v>
      </c>
      <c r="AB174" t="str">
        <f t="shared" si="35"/>
        <v>Profil aérodynamique à l'emplanture de la gouverne 2, coordonnées de l'intrados</v>
      </c>
      <c r="AC174" t="str">
        <f t="shared" si="24"/>
        <v>(-)</v>
      </c>
      <c r="AD174" s="279" t="str">
        <f t="shared" si="25"/>
        <v>variable: airfoil_intrados_ctrl_surface_2 double[] input description= "Profil aérodynamique à l'emplanture de la gouverne 2, coordonnées de l'intrados" units= "(-)"</v>
      </c>
      <c r="AE174" s="7" t="str">
        <f t="shared" si="26"/>
        <v>Y20.Aerodynamics.airfoil</v>
      </c>
      <c r="AF174" s="7" t="str">
        <f t="shared" si="27"/>
        <v>Y32.Aerodynamics.airfoil</v>
      </c>
      <c r="AG174" s="7" t="str">
        <f t="shared" si="28"/>
        <v/>
      </c>
      <c r="AH174" s="7" t="str">
        <f t="shared" si="29"/>
        <v/>
      </c>
      <c r="AI174" s="7" t="str">
        <f t="shared" si="30"/>
        <v/>
      </c>
      <c r="AJ174" s="7" t="str">
        <f t="shared" si="31"/>
        <v/>
      </c>
    </row>
    <row r="175" spans="2:36">
      <c r="B175" s="302"/>
      <c r="C175" s="299"/>
      <c r="D175" s="75" t="s">
        <v>415</v>
      </c>
      <c r="E175" s="76" t="s">
        <v>416</v>
      </c>
      <c r="F175" t="s">
        <v>1055</v>
      </c>
      <c r="G175" t="s">
        <v>1051</v>
      </c>
      <c r="H175" s="259" t="s">
        <v>72</v>
      </c>
      <c r="I175" s="67" t="s">
        <v>638</v>
      </c>
      <c r="J175" s="202" t="s">
        <v>51</v>
      </c>
      <c r="K175" s="201" t="s">
        <v>585</v>
      </c>
      <c r="L175" s="66" t="s">
        <v>577</v>
      </c>
      <c r="M175" s="66"/>
      <c r="N175" s="66"/>
      <c r="O175" s="66"/>
      <c r="P175" s="202"/>
      <c r="Q175" t="s">
        <v>948</v>
      </c>
      <c r="R175" s="168">
        <v>160</v>
      </c>
      <c r="S175" s="150" t="s">
        <v>665</v>
      </c>
      <c r="T175" s="68"/>
      <c r="U175" s="7"/>
      <c r="V175" s="239"/>
      <c r="Y175" t="str">
        <f t="shared" si="32"/>
        <v>airfoil_extrados_ctrl_surface_3</v>
      </c>
      <c r="Z175" t="str">
        <f t="shared" si="33"/>
        <v>double[]</v>
      </c>
      <c r="AA175" t="str">
        <f t="shared" si="34"/>
        <v>table</v>
      </c>
      <c r="AB175" t="str">
        <f t="shared" si="35"/>
        <v>Profil aérodynamique à l'emplanture de la gouverne 3, coordonnées de l'extrados</v>
      </c>
      <c r="AC175" t="str">
        <f t="shared" si="24"/>
        <v>(-)</v>
      </c>
      <c r="AD175" s="279" t="str">
        <f t="shared" si="25"/>
        <v>variable: airfoil_extrados_ctrl_surface_3 double[] input description= "Profil aérodynamique à l'emplanture de la gouverne 3, coordonnées de l'extrados" units= "(-)"</v>
      </c>
      <c r="AE175" s="7" t="str">
        <f t="shared" si="26"/>
        <v>Y20.Aerodynamics.airfoil</v>
      </c>
      <c r="AF175" s="7" t="str">
        <f t="shared" si="27"/>
        <v>Y32.Aerodynamics.airfoil</v>
      </c>
      <c r="AG175" s="7" t="str">
        <f t="shared" si="28"/>
        <v/>
      </c>
      <c r="AH175" s="7" t="str">
        <f t="shared" si="29"/>
        <v/>
      </c>
      <c r="AI175" s="7" t="str">
        <f t="shared" si="30"/>
        <v/>
      </c>
      <c r="AJ175" s="7" t="str">
        <f t="shared" si="31"/>
        <v/>
      </c>
    </row>
    <row r="176" spans="2:36">
      <c r="B176" s="302"/>
      <c r="C176" s="299"/>
      <c r="D176" s="75" t="s">
        <v>417</v>
      </c>
      <c r="E176" s="76" t="s">
        <v>418</v>
      </c>
      <c r="F176" t="s">
        <v>1055</v>
      </c>
      <c r="G176" t="s">
        <v>1051</v>
      </c>
      <c r="H176" s="259" t="s">
        <v>72</v>
      </c>
      <c r="I176" s="67" t="s">
        <v>638</v>
      </c>
      <c r="J176" s="202" t="s">
        <v>51</v>
      </c>
      <c r="K176" s="201" t="s">
        <v>585</v>
      </c>
      <c r="L176" s="66" t="s">
        <v>577</v>
      </c>
      <c r="M176" s="66"/>
      <c r="N176" s="66"/>
      <c r="O176" s="66"/>
      <c r="P176" s="202"/>
      <c r="Q176" t="s">
        <v>949</v>
      </c>
      <c r="R176" s="168">
        <v>161</v>
      </c>
      <c r="S176" s="150" t="s">
        <v>665</v>
      </c>
      <c r="T176" s="68"/>
      <c r="U176" s="7"/>
      <c r="V176" s="239"/>
      <c r="Y176" t="str">
        <f t="shared" si="32"/>
        <v>airfoil_intrados_ctrl_surface_3</v>
      </c>
      <c r="Z176" t="str">
        <f t="shared" si="33"/>
        <v>double[]</v>
      </c>
      <c r="AA176" t="str">
        <f t="shared" si="34"/>
        <v>table</v>
      </c>
      <c r="AB176" t="str">
        <f t="shared" si="35"/>
        <v>Profil aérodynamique à l'emplanture de la gouverne 3, coordonnées de l'intrados</v>
      </c>
      <c r="AC176" t="str">
        <f t="shared" si="24"/>
        <v>(-)</v>
      </c>
      <c r="AD176" s="279" t="str">
        <f t="shared" si="25"/>
        <v>variable: airfoil_intrados_ctrl_surface_3 double[] input description= "Profil aérodynamique à l'emplanture de la gouverne 3, coordonnées de l'intrados" units= "(-)"</v>
      </c>
      <c r="AE176" s="7" t="str">
        <f t="shared" si="26"/>
        <v>Y20.Aerodynamics.airfoil</v>
      </c>
      <c r="AF176" s="7" t="str">
        <f t="shared" si="27"/>
        <v>Y32.Aerodynamics.airfoil</v>
      </c>
      <c r="AG176" s="7" t="str">
        <f t="shared" si="28"/>
        <v/>
      </c>
      <c r="AH176" s="7" t="str">
        <f t="shared" si="29"/>
        <v/>
      </c>
      <c r="AI176" s="7" t="str">
        <f t="shared" si="30"/>
        <v/>
      </c>
      <c r="AJ176" s="7" t="str">
        <f t="shared" si="31"/>
        <v/>
      </c>
    </row>
    <row r="177" spans="2:36">
      <c r="B177" s="302"/>
      <c r="C177" s="299"/>
      <c r="D177" s="63" t="s">
        <v>284</v>
      </c>
      <c r="E177" s="64" t="s">
        <v>286</v>
      </c>
      <c r="F177" t="s">
        <v>1055</v>
      </c>
      <c r="G177" t="s">
        <v>1051</v>
      </c>
      <c r="H177" s="259" t="s">
        <v>354</v>
      </c>
      <c r="I177" s="66" t="s">
        <v>625</v>
      </c>
      <c r="J177" s="202" t="s">
        <v>51</v>
      </c>
      <c r="K177" s="201" t="s">
        <v>74</v>
      </c>
      <c r="L177" s="66"/>
      <c r="M177" s="66"/>
      <c r="N177" s="66"/>
      <c r="O177" s="66"/>
      <c r="P177" s="202"/>
      <c r="Q177" t="s">
        <v>950</v>
      </c>
      <c r="R177" s="168">
        <v>162</v>
      </c>
      <c r="S177" s="150" t="s">
        <v>665</v>
      </c>
      <c r="T177" s="68"/>
      <c r="U177" s="7"/>
      <c r="V177" s="239"/>
      <c r="Y177" t="str">
        <f t="shared" si="32"/>
        <v>aero_table_rudder_nb_points</v>
      </c>
      <c r="Z177" t="str">
        <f t="shared" si="33"/>
        <v>integer</v>
      </c>
      <c r="AA177" t="str">
        <f t="shared" si="34"/>
        <v>scalaire</v>
      </c>
      <c r="AB177" t="str">
        <f t="shared" si="35"/>
        <v>Nombre de points des tables de profil aérodynamique de la surface verticale</v>
      </c>
      <c r="AC177" t="str">
        <f t="shared" si="24"/>
        <v>(-)</v>
      </c>
      <c r="AD177" s="279" t="str">
        <f t="shared" si="25"/>
        <v>variable: aero_table_rudder_nb_points integer input description= "Nombre de points des tables de profil aérodynamique de la surface verticale" units= "(-)"</v>
      </c>
      <c r="AE177" s="7" t="str">
        <f t="shared" si="26"/>
        <v>Y23.Aerodynamics.airfoil</v>
      </c>
      <c r="AF177" s="7" t="str">
        <f t="shared" si="27"/>
        <v/>
      </c>
      <c r="AG177" s="7" t="str">
        <f t="shared" si="28"/>
        <v/>
      </c>
      <c r="AH177" s="7" t="str">
        <f t="shared" si="29"/>
        <v/>
      </c>
      <c r="AI177" s="7" t="str">
        <f t="shared" si="30"/>
        <v/>
      </c>
      <c r="AJ177" s="7" t="str">
        <f t="shared" si="31"/>
        <v/>
      </c>
    </row>
    <row r="178" spans="2:36">
      <c r="B178" s="302"/>
      <c r="C178" s="299"/>
      <c r="D178" s="63" t="s">
        <v>272</v>
      </c>
      <c r="E178" s="64" t="s">
        <v>281</v>
      </c>
      <c r="F178" t="s">
        <v>1055</v>
      </c>
      <c r="G178" t="s">
        <v>1051</v>
      </c>
      <c r="H178" s="259" t="s">
        <v>72</v>
      </c>
      <c r="I178" s="67" t="s">
        <v>638</v>
      </c>
      <c r="J178" s="202" t="s">
        <v>51</v>
      </c>
      <c r="K178" s="201" t="s">
        <v>121</v>
      </c>
      <c r="L178" s="66" t="s">
        <v>586</v>
      </c>
      <c r="M178" s="66" t="s">
        <v>587</v>
      </c>
      <c r="N178" s="66"/>
      <c r="O178" s="66"/>
      <c r="P178" s="202"/>
      <c r="Q178" t="s">
        <v>952</v>
      </c>
      <c r="R178" s="168">
        <v>163</v>
      </c>
      <c r="S178" s="150" t="s">
        <v>665</v>
      </c>
      <c r="T178" s="68"/>
      <c r="U178" s="7"/>
      <c r="V178" s="239"/>
      <c r="Y178" t="str">
        <f t="shared" si="32"/>
        <v>airfoil_extrados_rudder</v>
      </c>
      <c r="Z178" t="str">
        <f t="shared" si="33"/>
        <v>double[]</v>
      </c>
      <c r="AA178" t="str">
        <f t="shared" si="34"/>
        <v>table</v>
      </c>
      <c r="AB178" t="str">
        <f t="shared" si="35"/>
        <v>Profil aérodynamique de la surface verticale, coordonnées de l'extrados (BA vers BF)</v>
      </c>
      <c r="AC178" t="str">
        <f t="shared" si="24"/>
        <v>(-)</v>
      </c>
      <c r="AD178" s="279" t="str">
        <f t="shared" si="25"/>
        <v>variable: airfoil_extrados_rudder double[] input description= "Profil aérodynamique de la surface verticale, coordonnées de l'extrados (BA vers BF)" units= "(-)"</v>
      </c>
      <c r="AE178" s="7" t="str">
        <f t="shared" si="26"/>
        <v>X2.Aerodynamics.airfoil</v>
      </c>
      <c r="AF178" s="7" t="str">
        <f t="shared" si="27"/>
        <v>Y20.Aerodynamics.airfoil</v>
      </c>
      <c r="AG178" s="7" t="str">
        <f t="shared" si="28"/>
        <v>Y23.Aerodynamics.airfoil</v>
      </c>
      <c r="AH178" s="7" t="str">
        <f t="shared" si="29"/>
        <v/>
      </c>
      <c r="AI178" s="7" t="str">
        <f t="shared" si="30"/>
        <v/>
      </c>
      <c r="AJ178" s="7" t="str">
        <f t="shared" si="31"/>
        <v/>
      </c>
    </row>
    <row r="179" spans="2:36">
      <c r="B179" s="302"/>
      <c r="C179" s="299"/>
      <c r="D179" s="63" t="s">
        <v>273</v>
      </c>
      <c r="E179" s="64" t="s">
        <v>282</v>
      </c>
      <c r="F179" t="s">
        <v>1055</v>
      </c>
      <c r="G179" t="s">
        <v>1051</v>
      </c>
      <c r="H179" s="259" t="s">
        <v>72</v>
      </c>
      <c r="I179" s="67" t="s">
        <v>638</v>
      </c>
      <c r="J179" s="202" t="s">
        <v>51</v>
      </c>
      <c r="K179" s="201" t="s">
        <v>121</v>
      </c>
      <c r="L179" s="66" t="s">
        <v>586</v>
      </c>
      <c r="M179" s="66" t="s">
        <v>587</v>
      </c>
      <c r="N179" s="66"/>
      <c r="O179" s="66"/>
      <c r="P179" s="202"/>
      <c r="Q179" t="s">
        <v>953</v>
      </c>
      <c r="R179" s="168">
        <v>164</v>
      </c>
      <c r="S179" s="150" t="s">
        <v>665</v>
      </c>
      <c r="T179" s="68"/>
      <c r="U179" s="7"/>
      <c r="V179" s="239"/>
      <c r="Y179" t="str">
        <f t="shared" si="32"/>
        <v>airfoil_intrados_rudder</v>
      </c>
      <c r="Z179" t="str">
        <f t="shared" si="33"/>
        <v>double[]</v>
      </c>
      <c r="AA179" t="str">
        <f t="shared" si="34"/>
        <v>table</v>
      </c>
      <c r="AB179" t="str">
        <f t="shared" si="35"/>
        <v>Profil aérodynamique de la surface verticale, coordonnées de l'intrados (BA vers BF)</v>
      </c>
      <c r="AC179" t="str">
        <f t="shared" si="24"/>
        <v>(-)</v>
      </c>
      <c r="AD179" s="279" t="str">
        <f t="shared" si="25"/>
        <v>variable: airfoil_intrados_rudder double[] input description= "Profil aérodynamique de la surface verticale, coordonnées de l'intrados (BA vers BF)" units= "(-)"</v>
      </c>
      <c r="AE179" s="7" t="str">
        <f t="shared" si="26"/>
        <v>X2.Aerodynamics.airfoil</v>
      </c>
      <c r="AF179" s="7" t="str">
        <f t="shared" si="27"/>
        <v>Y20.Aerodynamics.airfoil</v>
      </c>
      <c r="AG179" s="7" t="str">
        <f t="shared" si="28"/>
        <v>Y23.Aerodynamics.airfoil</v>
      </c>
      <c r="AH179" s="7" t="str">
        <f t="shared" si="29"/>
        <v/>
      </c>
      <c r="AI179" s="7" t="str">
        <f t="shared" si="30"/>
        <v/>
      </c>
      <c r="AJ179" s="7" t="str">
        <f t="shared" si="31"/>
        <v/>
      </c>
    </row>
    <row r="180" spans="2:36">
      <c r="B180" s="302"/>
      <c r="C180" s="299" t="s">
        <v>194</v>
      </c>
      <c r="D180" s="63" t="s">
        <v>260</v>
      </c>
      <c r="E180" s="64" t="s">
        <v>162</v>
      </c>
      <c r="F180" t="s">
        <v>1055</v>
      </c>
      <c r="G180" t="s">
        <v>1043</v>
      </c>
      <c r="H180" s="259" t="s">
        <v>354</v>
      </c>
      <c r="I180" s="66" t="s">
        <v>13</v>
      </c>
      <c r="J180" s="202" t="s">
        <v>12</v>
      </c>
      <c r="K180" s="201" t="s">
        <v>74</v>
      </c>
      <c r="L180" s="66"/>
      <c r="M180" s="66"/>
      <c r="N180" s="66"/>
      <c r="O180" s="66"/>
      <c r="P180" s="202"/>
      <c r="Q180" t="s">
        <v>954</v>
      </c>
      <c r="R180" s="168">
        <v>165</v>
      </c>
      <c r="S180" s="150" t="s">
        <v>665</v>
      </c>
      <c r="T180" s="68"/>
      <c r="U180" s="7"/>
      <c r="V180" s="239"/>
      <c r="Y180" t="str">
        <f t="shared" si="32"/>
        <v>joint_curvature_radius</v>
      </c>
      <c r="Z180" t="str">
        <f t="shared" si="33"/>
        <v>double</v>
      </c>
      <c r="AA180" t="str">
        <f t="shared" si="34"/>
        <v>scalaire</v>
      </c>
      <c r="AB180" t="str">
        <f t="shared" si="35"/>
        <v>Rayon de courbure aux raccordements des surfaces</v>
      </c>
      <c r="AC180" t="str">
        <f t="shared" si="24"/>
        <v>m</v>
      </c>
      <c r="AD180" s="279" t="str">
        <f t="shared" si="25"/>
        <v>variable: joint_curvature_radius double input description= "Rayon de courbure aux raccordements des surfaces" units= "m"</v>
      </c>
      <c r="AE180" s="7" t="str">
        <f t="shared" si="26"/>
        <v>Y23.Aerodynamics.twists</v>
      </c>
      <c r="AF180" s="7" t="str">
        <f t="shared" si="27"/>
        <v/>
      </c>
      <c r="AG180" s="7" t="str">
        <f t="shared" si="28"/>
        <v/>
      </c>
      <c r="AH180" s="7" t="str">
        <f t="shared" si="29"/>
        <v/>
      </c>
      <c r="AI180" s="7" t="str">
        <f t="shared" si="30"/>
        <v/>
      </c>
      <c r="AJ180" s="7" t="str">
        <f t="shared" si="31"/>
        <v/>
      </c>
    </row>
    <row r="181" spans="2:36">
      <c r="B181" s="302"/>
      <c r="C181" s="299"/>
      <c r="D181" s="63" t="s">
        <v>261</v>
      </c>
      <c r="E181" s="64" t="s">
        <v>80</v>
      </c>
      <c r="F181" t="s">
        <v>1055</v>
      </c>
      <c r="G181" t="s">
        <v>1043</v>
      </c>
      <c r="H181" s="259" t="s">
        <v>354</v>
      </c>
      <c r="I181" s="66" t="s">
        <v>13</v>
      </c>
      <c r="J181" s="202" t="s">
        <v>42</v>
      </c>
      <c r="K181" s="201" t="s">
        <v>74</v>
      </c>
      <c r="L181" s="66"/>
      <c r="M181" s="66"/>
      <c r="N181" s="66"/>
      <c r="O181" s="66"/>
      <c r="P181" s="202"/>
      <c r="Q181" t="s">
        <v>955</v>
      </c>
      <c r="R181" s="168">
        <v>166</v>
      </c>
      <c r="S181" s="150" t="s">
        <v>665</v>
      </c>
      <c r="T181" s="68"/>
      <c r="U181" s="7"/>
      <c r="V181" s="239"/>
      <c r="Y181" t="str">
        <f t="shared" si="32"/>
        <v>twist_angle_p2</v>
      </c>
      <c r="Z181" t="str">
        <f t="shared" si="33"/>
        <v>double</v>
      </c>
      <c r="AA181" t="str">
        <f t="shared" si="34"/>
        <v>scalaire</v>
      </c>
      <c r="AB181" t="str">
        <f t="shared" si="35"/>
        <v>Angle de vrillage au plan 2</v>
      </c>
      <c r="AC181" t="str">
        <f t="shared" si="24"/>
        <v>degré</v>
      </c>
      <c r="AD181" s="279" t="str">
        <f t="shared" si="25"/>
        <v>variable: twist_angle_p2 double input description= "Angle de vrillage au plan 2" units= "degré"</v>
      </c>
      <c r="AE181" s="7" t="str">
        <f t="shared" si="26"/>
        <v>Y23.Aerodynamics.twists</v>
      </c>
      <c r="AF181" s="7" t="str">
        <f t="shared" si="27"/>
        <v/>
      </c>
      <c r="AG181" s="7" t="str">
        <f t="shared" si="28"/>
        <v/>
      </c>
      <c r="AH181" s="7" t="str">
        <f t="shared" si="29"/>
        <v/>
      </c>
      <c r="AI181" s="7" t="str">
        <f t="shared" si="30"/>
        <v/>
      </c>
      <c r="AJ181" s="7" t="str">
        <f t="shared" si="31"/>
        <v/>
      </c>
    </row>
    <row r="182" spans="2:36">
      <c r="B182" s="302"/>
      <c r="C182" s="299"/>
      <c r="D182" s="73" t="s">
        <v>533</v>
      </c>
      <c r="E182" s="74" t="s">
        <v>570</v>
      </c>
      <c r="F182" t="s">
        <v>1055</v>
      </c>
      <c r="G182" t="s">
        <v>1043</v>
      </c>
      <c r="H182" s="260" t="s">
        <v>354</v>
      </c>
      <c r="I182" s="71" t="s">
        <v>13</v>
      </c>
      <c r="J182" s="204" t="s">
        <v>42</v>
      </c>
      <c r="K182" s="203" t="s">
        <v>74</v>
      </c>
      <c r="L182" s="71"/>
      <c r="M182" s="71"/>
      <c r="N182" s="71"/>
      <c r="O182" s="71"/>
      <c r="P182" s="204"/>
      <c r="Q182" t="s">
        <v>956</v>
      </c>
      <c r="R182" s="168">
        <v>167</v>
      </c>
      <c r="S182" s="150" t="s">
        <v>665</v>
      </c>
      <c r="T182" s="68"/>
      <c r="U182" s="7"/>
      <c r="V182" s="239"/>
      <c r="Y182" t="str">
        <f t="shared" si="32"/>
        <v>twist_angle_p2_1</v>
      </c>
      <c r="Z182" t="str">
        <f t="shared" si="33"/>
        <v>double</v>
      </c>
      <c r="AA182" t="str">
        <f t="shared" si="34"/>
        <v>scalaire</v>
      </c>
      <c r="AB182" t="str">
        <f t="shared" si="35"/>
        <v>Angle de vrillage au plan 2.1</v>
      </c>
      <c r="AC182" t="str">
        <f t="shared" si="24"/>
        <v>degré</v>
      </c>
      <c r="AD182" s="279" t="str">
        <f t="shared" si="25"/>
        <v>variable: twist_angle_p2_1 double input description= "Angle de vrillage au plan 2.1" units= "degré"</v>
      </c>
      <c r="AE182" s="7" t="str">
        <f t="shared" si="26"/>
        <v>Y23.Aerodynamics.twists</v>
      </c>
      <c r="AF182" s="7" t="str">
        <f t="shared" si="27"/>
        <v/>
      </c>
      <c r="AG182" s="7" t="str">
        <f t="shared" si="28"/>
        <v/>
      </c>
      <c r="AH182" s="7" t="str">
        <f t="shared" si="29"/>
        <v/>
      </c>
      <c r="AI182" s="7" t="str">
        <f t="shared" si="30"/>
        <v/>
      </c>
      <c r="AJ182" s="7" t="str">
        <f t="shared" si="31"/>
        <v/>
      </c>
    </row>
    <row r="183" spans="2:36">
      <c r="B183" s="302"/>
      <c r="C183" s="299"/>
      <c r="D183" s="63" t="s">
        <v>262</v>
      </c>
      <c r="E183" s="64" t="s">
        <v>81</v>
      </c>
      <c r="F183" t="s">
        <v>1055</v>
      </c>
      <c r="G183" t="s">
        <v>1043</v>
      </c>
      <c r="H183" s="259" t="s">
        <v>354</v>
      </c>
      <c r="I183" s="66" t="s">
        <v>13</v>
      </c>
      <c r="J183" s="202" t="s">
        <v>42</v>
      </c>
      <c r="K183" s="201" t="s">
        <v>74</v>
      </c>
      <c r="L183" s="66"/>
      <c r="M183" s="66"/>
      <c r="N183" s="66"/>
      <c r="O183" s="66"/>
      <c r="P183" s="202"/>
      <c r="Q183" t="s">
        <v>957</v>
      </c>
      <c r="R183" s="168">
        <v>168</v>
      </c>
      <c r="S183" s="150" t="s">
        <v>665</v>
      </c>
      <c r="T183" s="68"/>
      <c r="U183" s="7"/>
      <c r="V183" s="239"/>
      <c r="Y183" t="str">
        <f t="shared" si="32"/>
        <v>twist_angle_p3</v>
      </c>
      <c r="Z183" t="str">
        <f t="shared" si="33"/>
        <v>double</v>
      </c>
      <c r="AA183" t="str">
        <f t="shared" si="34"/>
        <v>scalaire</v>
      </c>
      <c r="AB183" t="str">
        <f t="shared" si="35"/>
        <v>Angle de vrillage au plan 3</v>
      </c>
      <c r="AC183" t="str">
        <f t="shared" si="24"/>
        <v>degré</v>
      </c>
      <c r="AD183" s="279" t="str">
        <f t="shared" si="25"/>
        <v>variable: twist_angle_p3 double input description= "Angle de vrillage au plan 3" units= "degré"</v>
      </c>
      <c r="AE183" s="7" t="str">
        <f t="shared" si="26"/>
        <v>Y23.Aerodynamics.twists</v>
      </c>
      <c r="AF183" s="7" t="str">
        <f t="shared" si="27"/>
        <v/>
      </c>
      <c r="AG183" s="7" t="str">
        <f t="shared" si="28"/>
        <v/>
      </c>
      <c r="AH183" s="7" t="str">
        <f t="shared" si="29"/>
        <v/>
      </c>
      <c r="AI183" s="7" t="str">
        <f t="shared" si="30"/>
        <v/>
      </c>
      <c r="AJ183" s="7" t="str">
        <f t="shared" si="31"/>
        <v/>
      </c>
    </row>
    <row r="184" spans="2:36">
      <c r="B184" s="302"/>
      <c r="C184" s="243" t="s">
        <v>350</v>
      </c>
      <c r="D184" s="63" t="s">
        <v>117</v>
      </c>
      <c r="E184" s="64" t="s">
        <v>458</v>
      </c>
      <c r="F184" t="s">
        <v>1055</v>
      </c>
      <c r="G184" t="s">
        <v>1032</v>
      </c>
      <c r="H184" s="259" t="s">
        <v>72</v>
      </c>
      <c r="I184" s="67" t="s">
        <v>638</v>
      </c>
      <c r="J184" s="202" t="s">
        <v>51</v>
      </c>
      <c r="K184" s="201" t="s">
        <v>121</v>
      </c>
      <c r="L184" s="66"/>
      <c r="M184" s="66"/>
      <c r="N184" s="66"/>
      <c r="O184" s="66"/>
      <c r="P184" s="202"/>
      <c r="Q184" t="s">
        <v>958</v>
      </c>
      <c r="R184" s="168">
        <v>169</v>
      </c>
      <c r="S184" s="150" t="s">
        <v>665</v>
      </c>
      <c r="T184" s="68"/>
      <c r="U184" s="7"/>
      <c r="V184" s="239"/>
      <c r="Y184" t="str">
        <f t="shared" si="32"/>
        <v>aero_table_inputs_point_z_mach</v>
      </c>
      <c r="Z184" t="str">
        <f t="shared" si="33"/>
        <v>double[]</v>
      </c>
      <c r="AA184" t="str">
        <f t="shared" si="34"/>
        <v>table</v>
      </c>
      <c r="AB184" t="str">
        <f t="shared" si="35"/>
        <v>Points de vol pour le calcul de l'aérodynamique (z, Mach)</v>
      </c>
      <c r="AC184" t="str">
        <f t="shared" si="24"/>
        <v>(-)</v>
      </c>
      <c r="AD184" s="279" t="str">
        <f t="shared" si="25"/>
        <v>variable: aero_table_inputs_point_z_mach double[] input description= "Points de vol pour le calcul de l'aérodynamique (z, Mach)" units= "(-)"</v>
      </c>
      <c r="AE184" s="7" t="str">
        <f t="shared" si="26"/>
        <v>X2.Aerodynamics.flight_points</v>
      </c>
      <c r="AF184" s="7" t="str">
        <f t="shared" si="27"/>
        <v/>
      </c>
      <c r="AG184" s="7" t="str">
        <f t="shared" si="28"/>
        <v/>
      </c>
      <c r="AH184" s="7" t="str">
        <f t="shared" si="29"/>
        <v/>
      </c>
      <c r="AI184" s="7" t="str">
        <f t="shared" si="30"/>
        <v/>
      </c>
      <c r="AJ184" s="7" t="str">
        <f t="shared" si="31"/>
        <v/>
      </c>
    </row>
    <row r="185" spans="2:36">
      <c r="B185" s="302"/>
      <c r="C185" s="244" t="s">
        <v>122</v>
      </c>
      <c r="D185" s="73" t="s">
        <v>122</v>
      </c>
      <c r="E185" s="74" t="s">
        <v>545</v>
      </c>
      <c r="F185" t="s">
        <v>1055</v>
      </c>
      <c r="G185" t="s">
        <v>122</v>
      </c>
      <c r="H185" s="260" t="s">
        <v>72</v>
      </c>
      <c r="I185" s="72" t="s">
        <v>638</v>
      </c>
      <c r="J185" s="204" t="s">
        <v>51</v>
      </c>
      <c r="K185" s="203" t="s">
        <v>123</v>
      </c>
      <c r="L185" s="71"/>
      <c r="M185" s="71"/>
      <c r="N185" s="71"/>
      <c r="O185" s="71"/>
      <c r="P185" s="204"/>
      <c r="Q185" t="s">
        <v>960</v>
      </c>
      <c r="R185" s="168">
        <v>170</v>
      </c>
      <c r="S185" s="150" t="s">
        <v>665</v>
      </c>
      <c r="T185" s="68"/>
      <c r="U185" s="7"/>
      <c r="V185" s="239"/>
      <c r="Y185" t="str">
        <f t="shared" si="32"/>
        <v>aero_output_Cx_table</v>
      </c>
      <c r="Z185" t="str">
        <f t="shared" si="33"/>
        <v>double[]</v>
      </c>
      <c r="AA185" t="str">
        <f t="shared" si="34"/>
        <v>table</v>
      </c>
      <c r="AB185" t="str">
        <f t="shared" si="35"/>
        <v>Cx aux points Tableaero (z, Mach,Cz)</v>
      </c>
      <c r="AC185" t="str">
        <f t="shared" si="24"/>
        <v>(-)</v>
      </c>
      <c r="AD185" s="279" t="str">
        <f t="shared" si="25"/>
        <v>variable: aero_output_Cx_table double[] input description= "Cx aux points Tableaero (z, Mach,Cz)" units= "(-)"</v>
      </c>
      <c r="AE185" s="7" t="str">
        <f t="shared" si="26"/>
        <v>Y24.Aerodynamics.Cx</v>
      </c>
      <c r="AF185" s="7" t="str">
        <f t="shared" si="27"/>
        <v/>
      </c>
      <c r="AG185" s="7" t="str">
        <f t="shared" si="28"/>
        <v/>
      </c>
      <c r="AH185" s="7" t="str">
        <f t="shared" si="29"/>
        <v/>
      </c>
      <c r="AI185" s="7" t="str">
        <f t="shared" si="30"/>
        <v/>
      </c>
      <c r="AJ185" s="7" t="str">
        <f t="shared" si="31"/>
        <v/>
      </c>
    </row>
    <row r="186" spans="2:36">
      <c r="B186" s="302"/>
      <c r="C186" s="243" t="s">
        <v>199</v>
      </c>
      <c r="D186" s="63" t="s">
        <v>200</v>
      </c>
      <c r="E186" s="64" t="s">
        <v>201</v>
      </c>
      <c r="F186" t="s">
        <v>1055</v>
      </c>
      <c r="G186" t="s">
        <v>199</v>
      </c>
      <c r="H186" s="259" t="s">
        <v>72</v>
      </c>
      <c r="I186" s="67" t="s">
        <v>638</v>
      </c>
      <c r="J186" s="202" t="s">
        <v>51</v>
      </c>
      <c r="K186" s="201" t="s">
        <v>166</v>
      </c>
      <c r="L186" s="66"/>
      <c r="M186" s="66"/>
      <c r="N186" s="66"/>
      <c r="O186" s="66"/>
      <c r="P186" s="202"/>
      <c r="Q186" t="s">
        <v>959</v>
      </c>
      <c r="R186" s="168">
        <v>171</v>
      </c>
      <c r="S186" s="150" t="s">
        <v>665</v>
      </c>
      <c r="T186" s="68"/>
      <c r="U186" s="7"/>
      <c r="V186" s="239"/>
      <c r="Y186" t="str">
        <f t="shared" si="32"/>
        <v>lift_to_drag_table</v>
      </c>
      <c r="Z186" t="str">
        <f t="shared" si="33"/>
        <v>double[]</v>
      </c>
      <c r="AA186" t="str">
        <f t="shared" si="34"/>
        <v>table</v>
      </c>
      <c r="AB186" t="str">
        <f t="shared" si="35"/>
        <v>Finesse aux points Tableaero</v>
      </c>
      <c r="AC186" t="str">
        <f t="shared" si="24"/>
        <v>(-)</v>
      </c>
      <c r="AD186" s="279" t="str">
        <f t="shared" si="25"/>
        <v>variable: lift_to_drag_table double[] input description= "Finesse aux points Tableaero" units= "(-)"</v>
      </c>
      <c r="AE186" s="7" t="str">
        <f t="shared" si="26"/>
        <v>Y2x.Aerodynamics.Finesse</v>
      </c>
      <c r="AF186" s="7" t="str">
        <f t="shared" si="27"/>
        <v/>
      </c>
      <c r="AG186" s="7" t="str">
        <f t="shared" si="28"/>
        <v/>
      </c>
      <c r="AH186" s="7" t="str">
        <f t="shared" si="29"/>
        <v/>
      </c>
      <c r="AI186" s="7" t="str">
        <f t="shared" si="30"/>
        <v/>
      </c>
      <c r="AJ186" s="7" t="str">
        <f t="shared" si="31"/>
        <v/>
      </c>
    </row>
    <row r="187" spans="2:36">
      <c r="B187" s="302"/>
      <c r="C187" s="243" t="s">
        <v>469</v>
      </c>
      <c r="D187" s="63" t="s">
        <v>461</v>
      </c>
      <c r="E187" s="64" t="s">
        <v>462</v>
      </c>
      <c r="F187" t="s">
        <v>1055</v>
      </c>
      <c r="G187"/>
      <c r="H187" s="259" t="s">
        <v>72</v>
      </c>
      <c r="I187" s="67" t="s">
        <v>638</v>
      </c>
      <c r="J187" s="202" t="s">
        <v>477</v>
      </c>
      <c r="K187" s="201" t="s">
        <v>166</v>
      </c>
      <c r="L187" s="66"/>
      <c r="M187" s="66"/>
      <c r="N187" s="66"/>
      <c r="O187" s="66"/>
      <c r="P187" s="202"/>
      <c r="Q187" t="s">
        <v>961</v>
      </c>
      <c r="R187" s="168">
        <v>172</v>
      </c>
      <c r="S187" s="150" t="s">
        <v>665</v>
      </c>
      <c r="T187" s="68"/>
      <c r="U187" s="7"/>
      <c r="V187" s="239"/>
      <c r="Y187" t="str">
        <f t="shared" si="32"/>
        <v>alpha_table</v>
      </c>
      <c r="Z187" t="str">
        <f t="shared" si="33"/>
        <v>double[]</v>
      </c>
      <c r="AA187" t="str">
        <f t="shared" si="34"/>
        <v>table</v>
      </c>
      <c r="AB187" t="str">
        <f t="shared" si="35"/>
        <v>Incidence aux points Tableaero</v>
      </c>
      <c r="AC187" t="str">
        <f t="shared" si="24"/>
        <v>rad</v>
      </c>
      <c r="AD187" s="279" t="str">
        <f t="shared" si="25"/>
        <v>variable: alpha_table double[] input description= "Incidence aux points Tableaero" units= "rad"</v>
      </c>
      <c r="AE187" s="7" t="str">
        <f t="shared" si="26"/>
        <v>Y2x.Aerodynamics</v>
      </c>
      <c r="AF187" s="7" t="str">
        <f t="shared" si="27"/>
        <v/>
      </c>
      <c r="AG187" s="7" t="str">
        <f t="shared" si="28"/>
        <v/>
      </c>
      <c r="AH187" s="7" t="str">
        <f t="shared" si="29"/>
        <v/>
      </c>
      <c r="AI187" s="7" t="str">
        <f t="shared" si="30"/>
        <v/>
      </c>
      <c r="AJ187" s="7" t="str">
        <f t="shared" si="31"/>
        <v/>
      </c>
    </row>
    <row r="188" spans="2:36">
      <c r="B188" s="302"/>
      <c r="C188" s="243" t="s">
        <v>470</v>
      </c>
      <c r="D188" s="63" t="s">
        <v>463</v>
      </c>
      <c r="E188" s="64" t="s">
        <v>464</v>
      </c>
      <c r="F188" t="s">
        <v>1055</v>
      </c>
      <c r="G188"/>
      <c r="H188" s="259" t="s">
        <v>354</v>
      </c>
      <c r="I188" s="66" t="s">
        <v>13</v>
      </c>
      <c r="J188" s="202" t="s">
        <v>12</v>
      </c>
      <c r="K188" s="201" t="s">
        <v>166</v>
      </c>
      <c r="L188" s="66"/>
      <c r="M188" s="66"/>
      <c r="N188" s="66"/>
      <c r="O188" s="66"/>
      <c r="P188" s="202"/>
      <c r="Q188" t="s">
        <v>962</v>
      </c>
      <c r="R188" s="168">
        <v>173</v>
      </c>
      <c r="S188" s="150" t="s">
        <v>665</v>
      </c>
      <c r="T188" s="68"/>
      <c r="U188" s="7"/>
      <c r="V188" s="239"/>
      <c r="Y188" t="str">
        <f t="shared" si="32"/>
        <v>aero_mean_chord</v>
      </c>
      <c r="Z188" t="str">
        <f t="shared" si="33"/>
        <v>double</v>
      </c>
      <c r="AA188" t="str">
        <f t="shared" si="34"/>
        <v>scalaire</v>
      </c>
      <c r="AB188" t="str">
        <f t="shared" si="35"/>
        <v>Corde Moyenne Aérodynamique</v>
      </c>
      <c r="AC188" t="str">
        <f t="shared" si="24"/>
        <v>m</v>
      </c>
      <c r="AD188" s="279" t="str">
        <f t="shared" si="25"/>
        <v>variable: aero_mean_chord double input description= "Corde Moyenne Aérodynamique" units= "m"</v>
      </c>
      <c r="AE188" s="7" t="str">
        <f t="shared" si="26"/>
        <v>Y2x.Aerodynamics</v>
      </c>
      <c r="AF188" s="7" t="str">
        <f t="shared" si="27"/>
        <v/>
      </c>
      <c r="AG188" s="7" t="str">
        <f t="shared" si="28"/>
        <v/>
      </c>
      <c r="AH188" s="7" t="str">
        <f t="shared" si="29"/>
        <v/>
      </c>
      <c r="AI188" s="7" t="str">
        <f t="shared" si="30"/>
        <v/>
      </c>
      <c r="AJ188" s="7" t="str">
        <f t="shared" si="31"/>
        <v/>
      </c>
    </row>
    <row r="189" spans="2:36">
      <c r="B189" s="302"/>
      <c r="C189" s="299" t="s">
        <v>195</v>
      </c>
      <c r="D189" s="63" t="s">
        <v>93</v>
      </c>
      <c r="E189" s="64" t="s">
        <v>208</v>
      </c>
      <c r="F189" t="s">
        <v>1055</v>
      </c>
      <c r="G189" t="s">
        <v>1033</v>
      </c>
      <c r="H189" s="259" t="s">
        <v>72</v>
      </c>
      <c r="I189" s="67" t="s">
        <v>638</v>
      </c>
      <c r="J189" s="202" t="s">
        <v>94</v>
      </c>
      <c r="K189" s="201" t="s">
        <v>74</v>
      </c>
      <c r="L189" s="66"/>
      <c r="M189" s="66"/>
      <c r="N189" s="66"/>
      <c r="O189" s="66"/>
      <c r="P189" s="202"/>
      <c r="Q189" t="s">
        <v>963</v>
      </c>
      <c r="R189" s="168">
        <v>174</v>
      </c>
      <c r="S189" s="150" t="s">
        <v>665</v>
      </c>
      <c r="T189" s="68"/>
      <c r="U189" s="7"/>
      <c r="V189" s="239"/>
      <c r="Y189" t="str">
        <f t="shared" si="32"/>
        <v>wing_loading_law</v>
      </c>
      <c r="Z189" t="str">
        <f t="shared" si="33"/>
        <v>double[]</v>
      </c>
      <c r="AA189" t="str">
        <f t="shared" si="34"/>
        <v>table</v>
      </c>
      <c r="AB189" t="str">
        <f t="shared" si="35"/>
        <v>Répartition de portance en envergure pour le dimensionnement de la structure</v>
      </c>
      <c r="AC189" t="str">
        <f t="shared" si="24"/>
        <v>N/m</v>
      </c>
      <c r="AD189" s="279" t="str">
        <f t="shared" si="25"/>
        <v>variable: wing_loading_law double[] input description= "Répartition de portance en envergure pour le dimensionnement de la structure" units= "N/m"</v>
      </c>
      <c r="AE189" s="7" t="str">
        <f t="shared" si="26"/>
        <v>Y23.Aerodynamics.lift</v>
      </c>
      <c r="AF189" s="7" t="str">
        <f t="shared" si="27"/>
        <v/>
      </c>
      <c r="AG189" s="7" t="str">
        <f t="shared" si="28"/>
        <v/>
      </c>
      <c r="AH189" s="7" t="str">
        <f t="shared" si="29"/>
        <v/>
      </c>
      <c r="AI189" s="7" t="str">
        <f t="shared" si="30"/>
        <v/>
      </c>
      <c r="AJ189" s="7" t="str">
        <f t="shared" si="31"/>
        <v/>
      </c>
    </row>
    <row r="190" spans="2:36">
      <c r="B190" s="302"/>
      <c r="C190" s="299"/>
      <c r="D190" s="63" t="s">
        <v>101</v>
      </c>
      <c r="E190" s="64" t="s">
        <v>361</v>
      </c>
      <c r="F190" t="s">
        <v>1055</v>
      </c>
      <c r="G190" t="s">
        <v>1033</v>
      </c>
      <c r="H190" s="259" t="s">
        <v>72</v>
      </c>
      <c r="I190" s="67" t="s">
        <v>638</v>
      </c>
      <c r="J190" s="202" t="s">
        <v>475</v>
      </c>
      <c r="K190" s="201" t="s">
        <v>74</v>
      </c>
      <c r="L190" s="66"/>
      <c r="M190" s="66"/>
      <c r="N190" s="66"/>
      <c r="O190" s="66"/>
      <c r="P190" s="202"/>
      <c r="Q190" t="s">
        <v>964</v>
      </c>
      <c r="R190" s="168">
        <v>175</v>
      </c>
      <c r="S190" s="150" t="s">
        <v>665</v>
      </c>
      <c r="T190" s="68"/>
      <c r="U190" s="7"/>
      <c r="V190" s="239"/>
      <c r="Y190" t="str">
        <f t="shared" si="32"/>
        <v>Cz_alpha_load_case</v>
      </c>
      <c r="Z190" t="str">
        <f t="shared" si="33"/>
        <v>double[]</v>
      </c>
      <c r="AA190" t="str">
        <f t="shared" si="34"/>
        <v>table</v>
      </c>
      <c r="AB190" t="str">
        <f t="shared" si="35"/>
        <v>Gradient de portance aux points de vol pour le dimensionnement de la structure</v>
      </c>
      <c r="AC190" t="str">
        <f t="shared" si="24"/>
        <v>rad-1</v>
      </c>
      <c r="AD190" s="279" t="str">
        <f t="shared" si="25"/>
        <v>variable: Cz_alpha_load_case double[] input description= "Gradient de portance aux points de vol pour le dimensionnement de la structure" units= "rad-1"</v>
      </c>
      <c r="AE190" s="7" t="str">
        <f t="shared" si="26"/>
        <v>Y23.Aerodynamics.lift</v>
      </c>
      <c r="AF190" s="7" t="str">
        <f t="shared" si="27"/>
        <v/>
      </c>
      <c r="AG190" s="7" t="str">
        <f t="shared" si="28"/>
        <v/>
      </c>
      <c r="AH190" s="7" t="str">
        <f t="shared" si="29"/>
        <v/>
      </c>
      <c r="AI190" s="7" t="str">
        <f t="shared" si="30"/>
        <v/>
      </c>
      <c r="AJ190" s="7" t="str">
        <f t="shared" si="31"/>
        <v/>
      </c>
    </row>
    <row r="191" spans="2:36">
      <c r="B191" s="302"/>
      <c r="C191" s="299"/>
      <c r="D191" s="63" t="s">
        <v>102</v>
      </c>
      <c r="E191" s="64" t="s">
        <v>107</v>
      </c>
      <c r="F191" t="s">
        <v>1055</v>
      </c>
      <c r="G191" t="s">
        <v>1033</v>
      </c>
      <c r="H191" s="259" t="s">
        <v>72</v>
      </c>
      <c r="I191" s="67" t="s">
        <v>638</v>
      </c>
      <c r="J191" s="202" t="s">
        <v>51</v>
      </c>
      <c r="K191" s="201" t="s">
        <v>74</v>
      </c>
      <c r="L191" s="66"/>
      <c r="M191" s="66"/>
      <c r="N191" s="66"/>
      <c r="O191" s="66"/>
      <c r="P191" s="202"/>
      <c r="Q191" t="s">
        <v>965</v>
      </c>
      <c r="R191" s="168">
        <v>176</v>
      </c>
      <c r="S191" s="150" t="s">
        <v>665</v>
      </c>
      <c r="T191" s="68"/>
      <c r="U191" s="7"/>
      <c r="V191" s="239"/>
      <c r="Y191" t="str">
        <f t="shared" si="32"/>
        <v>Cz_max_load_case</v>
      </c>
      <c r="Z191" t="str">
        <f t="shared" si="33"/>
        <v>double[]</v>
      </c>
      <c r="AA191" t="str">
        <f t="shared" si="34"/>
        <v>table</v>
      </c>
      <c r="AB191" t="str">
        <f t="shared" si="35"/>
        <v>Czmax aux points de vol pour le dimensionnement de la structure</v>
      </c>
      <c r="AC191" t="str">
        <f t="shared" si="24"/>
        <v>(-)</v>
      </c>
      <c r="AD191" s="279" t="str">
        <f t="shared" si="25"/>
        <v>variable: Cz_max_load_case double[] input description= "Czmax aux points de vol pour le dimensionnement de la structure" units= "(-)"</v>
      </c>
      <c r="AE191" s="7" t="str">
        <f t="shared" si="26"/>
        <v>Y23.Aerodynamics.lift</v>
      </c>
      <c r="AF191" s="7" t="str">
        <f t="shared" si="27"/>
        <v/>
      </c>
      <c r="AG191" s="7" t="str">
        <f t="shared" si="28"/>
        <v/>
      </c>
      <c r="AH191" s="7" t="str">
        <f t="shared" si="29"/>
        <v/>
      </c>
      <c r="AI191" s="7" t="str">
        <f t="shared" si="30"/>
        <v/>
      </c>
      <c r="AJ191" s="7" t="str">
        <f t="shared" si="31"/>
        <v/>
      </c>
    </row>
    <row r="192" spans="2:36" ht="13.5" thickBot="1">
      <c r="B192" s="303"/>
      <c r="C192" s="245" t="s">
        <v>205</v>
      </c>
      <c r="D192" s="82" t="s">
        <v>206</v>
      </c>
      <c r="E192" s="83" t="s">
        <v>250</v>
      </c>
      <c r="F192" s="295" t="s">
        <v>1055</v>
      </c>
      <c r="G192" s="295" t="s">
        <v>1024</v>
      </c>
      <c r="H192" s="261" t="s">
        <v>72</v>
      </c>
      <c r="I192" s="85" t="s">
        <v>638</v>
      </c>
      <c r="J192" s="208" t="s">
        <v>51</v>
      </c>
      <c r="K192" s="207" t="s">
        <v>207</v>
      </c>
      <c r="L192" s="84"/>
      <c r="M192" s="84"/>
      <c r="N192" s="84"/>
      <c r="O192" s="84"/>
      <c r="P192" s="208"/>
      <c r="Q192" s="290" t="s">
        <v>966</v>
      </c>
      <c r="R192" s="169">
        <v>177</v>
      </c>
      <c r="S192" s="151" t="s">
        <v>665</v>
      </c>
      <c r="T192" s="86"/>
      <c r="U192" s="7"/>
      <c r="V192" s="239"/>
      <c r="Y192" t="str">
        <f t="shared" si="32"/>
        <v>arodynamic_complete_model</v>
      </c>
      <c r="Z192" t="str">
        <f t="shared" si="33"/>
        <v>double[]</v>
      </c>
      <c r="AA192" t="str">
        <f t="shared" si="34"/>
        <v>table</v>
      </c>
      <c r="AB192" t="str">
        <f t="shared" si="35"/>
        <v>Modèle aérodynamique complet (Cz, Cx, Cm, etc. en fonction de M ,α ,β, dl, etc.)</v>
      </c>
      <c r="AC192" t="str">
        <f t="shared" si="24"/>
        <v>(-)</v>
      </c>
      <c r="AD192" s="279" t="str">
        <f t="shared" si="25"/>
        <v>variable: arodynamic_complete_model double[] input description= "Modèle aérodynamique complet (Cz, Cx, Cm, etc. en fonction de M ,α ,β, dl, etc.)" units= "(-)"</v>
      </c>
      <c r="AE192" s="7" t="str">
        <f t="shared" si="26"/>
        <v>Y25.Aerodynamics.complete_model</v>
      </c>
      <c r="AF192" s="7" t="str">
        <f t="shared" si="27"/>
        <v/>
      </c>
      <c r="AG192" s="7" t="str">
        <f t="shared" si="28"/>
        <v/>
      </c>
      <c r="AH192" s="7" t="str">
        <f t="shared" si="29"/>
        <v/>
      </c>
      <c r="AI192" s="7" t="str">
        <f t="shared" si="30"/>
        <v/>
      </c>
      <c r="AJ192" s="7" t="str">
        <f t="shared" si="31"/>
        <v/>
      </c>
    </row>
    <row r="193" spans="2:36">
      <c r="B193" s="325" t="s">
        <v>62</v>
      </c>
      <c r="C193" s="87" t="s">
        <v>351</v>
      </c>
      <c r="D193" s="88" t="s">
        <v>125</v>
      </c>
      <c r="E193" s="89" t="s">
        <v>126</v>
      </c>
      <c r="F193" t="s">
        <v>1053</v>
      </c>
      <c r="G193"/>
      <c r="H193" s="262" t="s">
        <v>72</v>
      </c>
      <c r="I193" s="90" t="s">
        <v>638</v>
      </c>
      <c r="J193" s="210" t="s">
        <v>63</v>
      </c>
      <c r="K193" s="209" t="s">
        <v>17</v>
      </c>
      <c r="L193" s="90"/>
      <c r="M193" s="90"/>
      <c r="N193" s="90"/>
      <c r="O193" s="90"/>
      <c r="P193" s="210"/>
      <c r="Q193" t="s">
        <v>967</v>
      </c>
      <c r="R193" s="170">
        <v>178</v>
      </c>
      <c r="S193" s="152" t="s">
        <v>665</v>
      </c>
      <c r="T193" s="91"/>
      <c r="U193" s="7"/>
      <c r="V193" s="239"/>
      <c r="Y193" t="str">
        <f t="shared" si="32"/>
        <v>systems_masses_table</v>
      </c>
      <c r="Z193" t="str">
        <f t="shared" si="33"/>
        <v>double[]</v>
      </c>
      <c r="AA193" t="str">
        <f t="shared" si="34"/>
        <v>table</v>
      </c>
      <c r="AB193" t="str">
        <f t="shared" si="35"/>
        <v>Masse par postes i, d'après la norme AIR 2001</v>
      </c>
      <c r="AC193" t="str">
        <f t="shared" si="24"/>
        <v>kg</v>
      </c>
      <c r="AD193" s="279" t="str">
        <f t="shared" si="25"/>
        <v>variable: systems_masses_table double[] input description= "Masse par postes i, d'après la norme AIR 2001" units= "kg"</v>
      </c>
      <c r="AE193" s="7" t="str">
        <f t="shared" si="26"/>
        <v>Y3x.MCI</v>
      </c>
      <c r="AF193" s="7" t="str">
        <f t="shared" si="27"/>
        <v/>
      </c>
      <c r="AG193" s="7" t="str">
        <f t="shared" si="28"/>
        <v/>
      </c>
      <c r="AH193" s="7" t="str">
        <f t="shared" si="29"/>
        <v/>
      </c>
      <c r="AI193" s="7" t="str">
        <f t="shared" si="30"/>
        <v/>
      </c>
      <c r="AJ193" s="7" t="str">
        <f t="shared" si="31"/>
        <v/>
      </c>
    </row>
    <row r="194" spans="2:36">
      <c r="B194" s="326"/>
      <c r="C194" s="92" t="s">
        <v>534</v>
      </c>
      <c r="D194" s="93" t="s">
        <v>534</v>
      </c>
      <c r="E194" s="94" t="s">
        <v>535</v>
      </c>
      <c r="F194" t="s">
        <v>1053</v>
      </c>
      <c r="G194"/>
      <c r="H194" s="263" t="s">
        <v>354</v>
      </c>
      <c r="I194" s="95" t="s">
        <v>13</v>
      </c>
      <c r="J194" s="212" t="s">
        <v>63</v>
      </c>
      <c r="K194" s="211" t="s">
        <v>17</v>
      </c>
      <c r="L194" s="95"/>
      <c r="M194" s="95"/>
      <c r="N194" s="95"/>
      <c r="O194" s="95"/>
      <c r="P194" s="212"/>
      <c r="Q194" t="s">
        <v>534</v>
      </c>
      <c r="R194" s="171">
        <v>179</v>
      </c>
      <c r="S194" s="153" t="s">
        <v>665</v>
      </c>
      <c r="T194" s="96"/>
      <c r="U194" s="7"/>
      <c r="V194" s="239"/>
      <c r="Y194" t="str">
        <f t="shared" si="32"/>
        <v>OEW</v>
      </c>
      <c r="Z194" t="str">
        <f t="shared" si="33"/>
        <v>double</v>
      </c>
      <c r="AA194" t="str">
        <f t="shared" si="34"/>
        <v>scalaire</v>
      </c>
      <c r="AB194" t="str">
        <f t="shared" si="35"/>
        <v>Operating Empty Weight</v>
      </c>
      <c r="AC194" t="str">
        <f t="shared" si="24"/>
        <v>kg</v>
      </c>
      <c r="AD194" s="279" t="str">
        <f t="shared" si="25"/>
        <v>variable: OEW double input description= "Operating Empty Weight" units= "kg"</v>
      </c>
      <c r="AE194" s="7" t="str">
        <f t="shared" si="26"/>
        <v>Y3x.MCI</v>
      </c>
      <c r="AF194" s="7" t="str">
        <f t="shared" si="27"/>
        <v/>
      </c>
      <c r="AG194" s="7" t="str">
        <f t="shared" si="28"/>
        <v/>
      </c>
      <c r="AH194" s="7" t="str">
        <f t="shared" si="29"/>
        <v/>
      </c>
      <c r="AI194" s="7" t="str">
        <f t="shared" si="30"/>
        <v/>
      </c>
      <c r="AJ194" s="7" t="str">
        <f t="shared" si="31"/>
        <v/>
      </c>
    </row>
    <row r="195" spans="2:36">
      <c r="B195" s="326"/>
      <c r="C195" s="97" t="s">
        <v>103</v>
      </c>
      <c r="D195" s="98" t="s">
        <v>103</v>
      </c>
      <c r="E195" s="99" t="s">
        <v>104</v>
      </c>
      <c r="F195" t="s">
        <v>1053</v>
      </c>
      <c r="G195"/>
      <c r="H195" s="264" t="s">
        <v>354</v>
      </c>
      <c r="I195" s="100" t="s">
        <v>13</v>
      </c>
      <c r="J195" s="214" t="s">
        <v>63</v>
      </c>
      <c r="K195" s="213" t="s">
        <v>588</v>
      </c>
      <c r="L195" s="100" t="s">
        <v>589</v>
      </c>
      <c r="M195" s="100" t="s">
        <v>590</v>
      </c>
      <c r="N195" s="100"/>
      <c r="O195" s="100"/>
      <c r="P195" s="214"/>
      <c r="Q195" t="s">
        <v>103</v>
      </c>
      <c r="R195" s="171">
        <v>180</v>
      </c>
      <c r="S195" s="153" t="s">
        <v>665</v>
      </c>
      <c r="T195" s="96" t="s">
        <v>668</v>
      </c>
      <c r="U195" s="7"/>
      <c r="V195" s="239"/>
      <c r="Y195" t="str">
        <f t="shared" si="32"/>
        <v>MTOW</v>
      </c>
      <c r="Z195" t="str">
        <f t="shared" si="33"/>
        <v>double</v>
      </c>
      <c r="AA195" t="str">
        <f t="shared" si="34"/>
        <v>scalaire</v>
      </c>
      <c r="AB195" t="str">
        <f t="shared" si="35"/>
        <v>Maximum Take Off Weight</v>
      </c>
      <c r="AC195" t="str">
        <f t="shared" si="24"/>
        <v>kg</v>
      </c>
      <c r="AD195" s="279" t="str">
        <f t="shared" si="25"/>
        <v>variable: MTOW double input description= "Maximum Take Off Weight" units= "kg"</v>
      </c>
      <c r="AE195" s="7" t="str">
        <f t="shared" si="26"/>
        <v>Y34.MCI</v>
      </c>
      <c r="AF195" s="7" t="str">
        <f t="shared" si="27"/>
        <v>Y43.MCI</v>
      </c>
      <c r="AG195" s="7" t="str">
        <f t="shared" si="28"/>
        <v>Y35.MCI</v>
      </c>
      <c r="AH195" s="7" t="str">
        <f t="shared" si="29"/>
        <v/>
      </c>
      <c r="AI195" s="7" t="str">
        <f t="shared" si="30"/>
        <v/>
      </c>
      <c r="AJ195" s="7" t="str">
        <f t="shared" si="31"/>
        <v/>
      </c>
    </row>
    <row r="196" spans="2:36">
      <c r="B196" s="326"/>
      <c r="C196" s="97" t="s">
        <v>242</v>
      </c>
      <c r="D196" s="98" t="s">
        <v>242</v>
      </c>
      <c r="E196" s="99" t="s">
        <v>243</v>
      </c>
      <c r="F196" t="s">
        <v>1053</v>
      </c>
      <c r="G196"/>
      <c r="H196" s="264" t="s">
        <v>354</v>
      </c>
      <c r="I196" s="100" t="s">
        <v>13</v>
      </c>
      <c r="J196" s="214" t="s">
        <v>63</v>
      </c>
      <c r="K196" s="213" t="s">
        <v>588</v>
      </c>
      <c r="L196" s="100" t="s">
        <v>589</v>
      </c>
      <c r="M196" s="100" t="s">
        <v>590</v>
      </c>
      <c r="N196" s="100"/>
      <c r="O196" s="100"/>
      <c r="P196" s="214"/>
      <c r="Q196" t="s">
        <v>242</v>
      </c>
      <c r="R196" s="171">
        <v>181</v>
      </c>
      <c r="S196" s="153" t="s">
        <v>665</v>
      </c>
      <c r="T196" s="96" t="s">
        <v>667</v>
      </c>
      <c r="U196" s="7"/>
      <c r="V196" s="239"/>
      <c r="Y196" t="str">
        <f t="shared" si="32"/>
        <v>ZFW</v>
      </c>
      <c r="Z196" t="str">
        <f t="shared" si="33"/>
        <v>double</v>
      </c>
      <c r="AA196" t="str">
        <f t="shared" si="34"/>
        <v>scalaire</v>
      </c>
      <c r="AB196" t="str">
        <f t="shared" si="35"/>
        <v>Zero Fuel Weight</v>
      </c>
      <c r="AC196" t="str">
        <f t="shared" si="24"/>
        <v>kg</v>
      </c>
      <c r="AD196" s="279" t="str">
        <f t="shared" si="25"/>
        <v>variable: ZFW double input description= "Zero Fuel Weight" units= "kg"</v>
      </c>
      <c r="AE196" s="7" t="str">
        <f t="shared" si="26"/>
        <v>Y34.MCI</v>
      </c>
      <c r="AF196" s="7" t="str">
        <f t="shared" si="27"/>
        <v>Y43.MCI</v>
      </c>
      <c r="AG196" s="7" t="str">
        <f t="shared" si="28"/>
        <v>Y35.MCI</v>
      </c>
      <c r="AH196" s="7" t="str">
        <f t="shared" si="29"/>
        <v/>
      </c>
      <c r="AI196" s="7" t="str">
        <f t="shared" si="30"/>
        <v/>
      </c>
      <c r="AJ196" s="7" t="str">
        <f t="shared" si="31"/>
        <v/>
      </c>
    </row>
    <row r="197" spans="2:36" ht="13.5" thickBot="1">
      <c r="B197" s="327"/>
      <c r="C197" s="101" t="s">
        <v>244</v>
      </c>
      <c r="D197" s="102" t="s">
        <v>244</v>
      </c>
      <c r="E197" s="103" t="s">
        <v>245</v>
      </c>
      <c r="F197" s="295" t="s">
        <v>1053</v>
      </c>
      <c r="G197" s="295"/>
      <c r="H197" s="265" t="s">
        <v>354</v>
      </c>
      <c r="I197" s="104" t="s">
        <v>13</v>
      </c>
      <c r="J197" s="216" t="s">
        <v>63</v>
      </c>
      <c r="K197" s="215" t="s">
        <v>588</v>
      </c>
      <c r="L197" s="104" t="s">
        <v>589</v>
      </c>
      <c r="M197" s="104" t="s">
        <v>590</v>
      </c>
      <c r="N197" s="104"/>
      <c r="O197" s="104"/>
      <c r="P197" s="216"/>
      <c r="Q197" s="290" t="s">
        <v>244</v>
      </c>
      <c r="R197" s="172">
        <v>182</v>
      </c>
      <c r="S197" s="154" t="s">
        <v>665</v>
      </c>
      <c r="T197" s="105" t="s">
        <v>667</v>
      </c>
      <c r="U197" s="7"/>
      <c r="V197" s="239"/>
      <c r="Y197" t="str">
        <f t="shared" si="32"/>
        <v>MLW</v>
      </c>
      <c r="Z197" t="str">
        <f t="shared" si="33"/>
        <v>double</v>
      </c>
      <c r="AA197" t="str">
        <f t="shared" si="34"/>
        <v>scalaire</v>
      </c>
      <c r="AB197" t="str">
        <f t="shared" si="35"/>
        <v>Maximum Landing Weight</v>
      </c>
      <c r="AC197" t="str">
        <f t="shared" si="24"/>
        <v>kg</v>
      </c>
      <c r="AD197" s="279" t="str">
        <f t="shared" si="25"/>
        <v>variable: MLW double input description= "Maximum Landing Weight" units= "kg"</v>
      </c>
      <c r="AE197" s="7" t="str">
        <f t="shared" si="26"/>
        <v>Y34.MCI</v>
      </c>
      <c r="AF197" s="7" t="str">
        <f t="shared" si="27"/>
        <v>Y43.MCI</v>
      </c>
      <c r="AG197" s="7" t="str">
        <f t="shared" si="28"/>
        <v>Y35.MCI</v>
      </c>
      <c r="AH197" s="7" t="str">
        <f t="shared" si="29"/>
        <v/>
      </c>
      <c r="AI197" s="7" t="str">
        <f t="shared" si="30"/>
        <v/>
      </c>
      <c r="AJ197" s="7" t="str">
        <f t="shared" si="31"/>
        <v/>
      </c>
    </row>
    <row r="198" spans="2:36">
      <c r="B198" s="357" t="s">
        <v>252</v>
      </c>
      <c r="C198" s="339" t="s">
        <v>251</v>
      </c>
      <c r="D198" s="88" t="s">
        <v>341</v>
      </c>
      <c r="E198" s="89" t="s">
        <v>295</v>
      </c>
      <c r="F198" t="s">
        <v>1053</v>
      </c>
      <c r="G198" t="s">
        <v>1046</v>
      </c>
      <c r="H198" s="262" t="s">
        <v>72</v>
      </c>
      <c r="I198" s="90" t="s">
        <v>638</v>
      </c>
      <c r="J198" s="210" t="s">
        <v>12</v>
      </c>
      <c r="K198" s="209" t="s">
        <v>14</v>
      </c>
      <c r="L198" s="90"/>
      <c r="M198" s="90"/>
      <c r="N198" s="90"/>
      <c r="O198" s="90"/>
      <c r="P198" s="210"/>
      <c r="Q198" t="s">
        <v>968</v>
      </c>
      <c r="R198" s="170">
        <v>183</v>
      </c>
      <c r="S198" s="152" t="s">
        <v>665</v>
      </c>
      <c r="T198" s="91"/>
      <c r="U198" s="7"/>
      <c r="V198" s="239"/>
      <c r="Y198" t="str">
        <f t="shared" si="32"/>
        <v>cabin_seats_CoM</v>
      </c>
      <c r="Z198" t="str">
        <f t="shared" si="33"/>
        <v>double[]</v>
      </c>
      <c r="AA198" t="str">
        <f t="shared" si="34"/>
        <v>table</v>
      </c>
      <c r="AB198" t="str">
        <f t="shared" si="35"/>
        <v>Position longitudinale et latérale du CdG des sièges passagers</v>
      </c>
      <c r="AC198" t="str">
        <f t="shared" si="24"/>
        <v>m</v>
      </c>
      <c r="AD198" s="279" t="str">
        <f t="shared" si="25"/>
        <v>variable: cabin_seats_CoM double[] input description= "Position longitudinale et latérale du CdG des sièges passagers" units= "m"</v>
      </c>
      <c r="AE198" s="7" t="str">
        <f t="shared" si="26"/>
        <v>Y03.MCI.cabin</v>
      </c>
      <c r="AF198" s="7" t="str">
        <f t="shared" si="27"/>
        <v/>
      </c>
      <c r="AG198" s="7" t="str">
        <f t="shared" si="28"/>
        <v/>
      </c>
      <c r="AH198" s="7" t="str">
        <f t="shared" si="29"/>
        <v/>
      </c>
      <c r="AI198" s="7" t="str">
        <f t="shared" si="30"/>
        <v/>
      </c>
      <c r="AJ198" s="7" t="str">
        <f t="shared" si="31"/>
        <v/>
      </c>
    </row>
    <row r="199" spans="2:36">
      <c r="B199" s="326"/>
      <c r="C199" s="340"/>
      <c r="D199" s="98" t="s">
        <v>294</v>
      </c>
      <c r="E199" s="99" t="s">
        <v>296</v>
      </c>
      <c r="F199" t="s">
        <v>1053</v>
      </c>
      <c r="G199" t="s">
        <v>1046</v>
      </c>
      <c r="H199" s="264" t="s">
        <v>72</v>
      </c>
      <c r="I199" s="100" t="s">
        <v>638</v>
      </c>
      <c r="J199" s="214" t="s">
        <v>12</v>
      </c>
      <c r="K199" s="213" t="s">
        <v>14</v>
      </c>
      <c r="L199" s="100"/>
      <c r="M199" s="100"/>
      <c r="N199" s="100"/>
      <c r="O199" s="100"/>
      <c r="P199" s="214"/>
      <c r="Q199" t="s">
        <v>969</v>
      </c>
      <c r="R199" s="171">
        <v>184</v>
      </c>
      <c r="S199" s="153" t="s">
        <v>665</v>
      </c>
      <c r="T199" s="96"/>
      <c r="U199" s="7"/>
      <c r="V199" s="239"/>
      <c r="Y199" t="str">
        <f t="shared" si="32"/>
        <v>cabin_toilets_CoM</v>
      </c>
      <c r="Z199" t="str">
        <f t="shared" si="33"/>
        <v>double[]</v>
      </c>
      <c r="AA199" t="str">
        <f t="shared" si="34"/>
        <v>table</v>
      </c>
      <c r="AB199" t="str">
        <f t="shared" si="35"/>
        <v>Position longitudinale et latérale du CdG des WC</v>
      </c>
      <c r="AC199" t="str">
        <f t="shared" si="24"/>
        <v>m</v>
      </c>
      <c r="AD199" s="279" t="str">
        <f t="shared" si="25"/>
        <v>variable: cabin_toilets_CoM double[] input description= "Position longitudinale et latérale du CdG des WC" units= "m"</v>
      </c>
      <c r="AE199" s="7" t="str">
        <f t="shared" si="26"/>
        <v>Y03.MCI.cabin</v>
      </c>
      <c r="AF199" s="7" t="str">
        <f t="shared" si="27"/>
        <v/>
      </c>
      <c r="AG199" s="7" t="str">
        <f t="shared" si="28"/>
        <v/>
      </c>
      <c r="AH199" s="7" t="str">
        <f t="shared" si="29"/>
        <v/>
      </c>
      <c r="AI199" s="7" t="str">
        <f t="shared" si="30"/>
        <v/>
      </c>
      <c r="AJ199" s="7" t="str">
        <f t="shared" si="31"/>
        <v/>
      </c>
    </row>
    <row r="200" spans="2:36">
      <c r="B200" s="326"/>
      <c r="C200" s="340"/>
      <c r="D200" s="98" t="s">
        <v>342</v>
      </c>
      <c r="E200" s="99" t="s">
        <v>297</v>
      </c>
      <c r="F200" t="s">
        <v>1053</v>
      </c>
      <c r="G200" t="s">
        <v>1046</v>
      </c>
      <c r="H200" s="264" t="s">
        <v>72</v>
      </c>
      <c r="I200" s="100" t="s">
        <v>638</v>
      </c>
      <c r="J200" s="214" t="s">
        <v>12</v>
      </c>
      <c r="K200" s="213" t="s">
        <v>14</v>
      </c>
      <c r="L200" s="100"/>
      <c r="M200" s="100"/>
      <c r="N200" s="100"/>
      <c r="O200" s="100"/>
      <c r="P200" s="214"/>
      <c r="Q200" t="s">
        <v>970</v>
      </c>
      <c r="R200" s="171">
        <v>185</v>
      </c>
      <c r="S200" s="153" t="s">
        <v>665</v>
      </c>
      <c r="T200" s="96"/>
      <c r="U200" s="7"/>
      <c r="V200" s="239"/>
      <c r="Y200" t="str">
        <f t="shared" si="32"/>
        <v>cabin_galleys_CoM</v>
      </c>
      <c r="Z200" t="str">
        <f t="shared" si="33"/>
        <v>double[]</v>
      </c>
      <c r="AA200" t="str">
        <f t="shared" si="34"/>
        <v>table</v>
      </c>
      <c r="AB200" t="str">
        <f t="shared" si="35"/>
        <v>Position longitudinale et latérale du CdG des galleys</v>
      </c>
      <c r="AC200" t="str">
        <f t="shared" si="24"/>
        <v>m</v>
      </c>
      <c r="AD200" s="279" t="str">
        <f t="shared" si="25"/>
        <v>variable: cabin_galleys_CoM double[] input description= "Position longitudinale et latérale du CdG des galleys" units= "m"</v>
      </c>
      <c r="AE200" s="7" t="str">
        <f t="shared" si="26"/>
        <v>Y03.MCI.cabin</v>
      </c>
      <c r="AF200" s="7" t="str">
        <f t="shared" si="27"/>
        <v/>
      </c>
      <c r="AG200" s="7" t="str">
        <f t="shared" si="28"/>
        <v/>
      </c>
      <c r="AH200" s="7" t="str">
        <f t="shared" si="29"/>
        <v/>
      </c>
      <c r="AI200" s="7" t="str">
        <f t="shared" si="30"/>
        <v/>
      </c>
      <c r="AJ200" s="7" t="str">
        <f t="shared" si="31"/>
        <v/>
      </c>
    </row>
    <row r="201" spans="2:36">
      <c r="B201" s="326"/>
      <c r="C201" s="341"/>
      <c r="D201" s="98" t="s">
        <v>343</v>
      </c>
      <c r="E201" s="99" t="s">
        <v>298</v>
      </c>
      <c r="F201" t="s">
        <v>1053</v>
      </c>
      <c r="G201" t="s">
        <v>1046</v>
      </c>
      <c r="H201" s="264" t="s">
        <v>72</v>
      </c>
      <c r="I201" s="100" t="s">
        <v>638</v>
      </c>
      <c r="J201" s="214" t="s">
        <v>12</v>
      </c>
      <c r="K201" s="213" t="s">
        <v>14</v>
      </c>
      <c r="L201" s="100"/>
      <c r="M201" s="100"/>
      <c r="N201" s="100"/>
      <c r="O201" s="100"/>
      <c r="P201" s="214"/>
      <c r="Q201" t="s">
        <v>971</v>
      </c>
      <c r="R201" s="171">
        <v>186</v>
      </c>
      <c r="S201" s="153" t="s">
        <v>665</v>
      </c>
      <c r="T201" s="96"/>
      <c r="U201" s="7"/>
      <c r="V201" s="239"/>
      <c r="Y201" t="str">
        <f t="shared" si="32"/>
        <v>cabin_doors_CoM</v>
      </c>
      <c r="Z201" t="str">
        <f t="shared" si="33"/>
        <v>double[]</v>
      </c>
      <c r="AA201" t="str">
        <f t="shared" si="34"/>
        <v>table</v>
      </c>
      <c r="AB201" t="str">
        <f t="shared" si="35"/>
        <v>Position longitudinale et latérale du CdG des portes</v>
      </c>
      <c r="AC201" t="str">
        <f t="shared" si="24"/>
        <v>m</v>
      </c>
      <c r="AD201" s="279" t="str">
        <f t="shared" si="25"/>
        <v>variable: cabin_doors_CoM double[] input description= "Position longitudinale et latérale du CdG des portes" units= "m"</v>
      </c>
      <c r="AE201" s="7" t="str">
        <f t="shared" si="26"/>
        <v>Y03.MCI.cabin</v>
      </c>
      <c r="AF201" s="7" t="str">
        <f t="shared" si="27"/>
        <v/>
      </c>
      <c r="AG201" s="7" t="str">
        <f t="shared" si="28"/>
        <v/>
      </c>
      <c r="AH201" s="7" t="str">
        <f t="shared" si="29"/>
        <v/>
      </c>
      <c r="AI201" s="7" t="str">
        <f t="shared" si="30"/>
        <v/>
      </c>
      <c r="AJ201" s="7" t="str">
        <f t="shared" si="31"/>
        <v/>
      </c>
    </row>
    <row r="202" spans="2:36">
      <c r="B202" s="326"/>
      <c r="C202" s="351" t="s">
        <v>471</v>
      </c>
      <c r="D202" s="98" t="s">
        <v>422</v>
      </c>
      <c r="E202" s="99" t="s">
        <v>423</v>
      </c>
      <c r="F202" t="s">
        <v>1053</v>
      </c>
      <c r="G202" t="s">
        <v>1039</v>
      </c>
      <c r="H202" s="264" t="s">
        <v>72</v>
      </c>
      <c r="I202" s="100" t="s">
        <v>638</v>
      </c>
      <c r="J202" s="214" t="s">
        <v>12</v>
      </c>
      <c r="K202" s="213" t="s">
        <v>14</v>
      </c>
      <c r="L202" s="100"/>
      <c r="M202" s="100"/>
      <c r="N202" s="100"/>
      <c r="O202" s="100"/>
      <c r="P202" s="214"/>
      <c r="Q202" t="s">
        <v>972</v>
      </c>
      <c r="R202" s="171">
        <v>187</v>
      </c>
      <c r="S202" s="153" t="s">
        <v>665</v>
      </c>
      <c r="T202" s="96"/>
      <c r="U202" s="7"/>
      <c r="V202" s="239"/>
      <c r="Y202" t="str">
        <f t="shared" si="32"/>
        <v>hold_LD3_CoM</v>
      </c>
      <c r="Z202" t="str">
        <f t="shared" si="33"/>
        <v>double[]</v>
      </c>
      <c r="AA202" t="str">
        <f t="shared" si="34"/>
        <v>table</v>
      </c>
      <c r="AB202" t="str">
        <f t="shared" si="35"/>
        <v>Position longitudinale et latérale du CdG des conteneurs LD3</v>
      </c>
      <c r="AC202" t="str">
        <f t="shared" si="24"/>
        <v>m</v>
      </c>
      <c r="AD202" s="279" t="str">
        <f t="shared" si="25"/>
        <v>variable: hold_LD3_CoM double[] input description= "Position longitudinale et latérale du CdG des conteneurs LD3" units= "m"</v>
      </c>
      <c r="AE202" s="7" t="str">
        <f t="shared" si="26"/>
        <v>Y03.MCI.cargo_hold</v>
      </c>
      <c r="AF202" s="7" t="str">
        <f t="shared" si="27"/>
        <v/>
      </c>
      <c r="AG202" s="7" t="str">
        <f t="shared" si="28"/>
        <v/>
      </c>
      <c r="AH202" s="7" t="str">
        <f t="shared" si="29"/>
        <v/>
      </c>
      <c r="AI202" s="7" t="str">
        <f t="shared" si="30"/>
        <v/>
      </c>
      <c r="AJ202" s="7" t="str">
        <f t="shared" si="31"/>
        <v/>
      </c>
    </row>
    <row r="203" spans="2:36">
      <c r="B203" s="326"/>
      <c r="C203" s="352"/>
      <c r="D203" s="98" t="s">
        <v>424</v>
      </c>
      <c r="E203" s="99" t="s">
        <v>425</v>
      </c>
      <c r="F203" t="s">
        <v>1053</v>
      </c>
      <c r="G203" t="s">
        <v>1039</v>
      </c>
      <c r="H203" s="264" t="s">
        <v>72</v>
      </c>
      <c r="I203" s="100" t="s">
        <v>638</v>
      </c>
      <c r="J203" s="214" t="s">
        <v>12</v>
      </c>
      <c r="K203" s="213" t="s">
        <v>14</v>
      </c>
      <c r="L203" s="100"/>
      <c r="M203" s="100"/>
      <c r="N203" s="100"/>
      <c r="O203" s="100"/>
      <c r="P203" s="214"/>
      <c r="Q203" t="s">
        <v>973</v>
      </c>
      <c r="R203" s="171">
        <v>188</v>
      </c>
      <c r="S203" s="153" t="s">
        <v>665</v>
      </c>
      <c r="T203" s="96"/>
      <c r="U203" s="7"/>
      <c r="V203" s="239"/>
      <c r="Y203" t="str">
        <f t="shared" si="32"/>
        <v>hold_pallet_CoM</v>
      </c>
      <c r="Z203" t="str">
        <f t="shared" si="33"/>
        <v>double[]</v>
      </c>
      <c r="AA203" t="str">
        <f t="shared" si="34"/>
        <v>table</v>
      </c>
      <c r="AB203" t="str">
        <f t="shared" si="35"/>
        <v>Position longitudinale et latérale du CdG des palettes 96"</v>
      </c>
      <c r="AC203" t="str">
        <f t="shared" si="24"/>
        <v>m</v>
      </c>
      <c r="AD203" s="279" t="str">
        <f t="shared" si="25"/>
        <v>variable: hold_pallet_CoM double[] input description= "Position longitudinale et latérale du CdG des palettes 96"" units= "m"</v>
      </c>
      <c r="AE203" s="7" t="str">
        <f t="shared" si="26"/>
        <v>Y03.MCI.cargo_hold</v>
      </c>
      <c r="AF203" s="7" t="str">
        <f t="shared" si="27"/>
        <v/>
      </c>
      <c r="AG203" s="7" t="str">
        <f t="shared" si="28"/>
        <v/>
      </c>
      <c r="AH203" s="7" t="str">
        <f t="shared" si="29"/>
        <v/>
      </c>
      <c r="AI203" s="7" t="str">
        <f t="shared" si="30"/>
        <v/>
      </c>
      <c r="AJ203" s="7" t="str">
        <f t="shared" si="31"/>
        <v/>
      </c>
    </row>
    <row r="204" spans="2:36">
      <c r="B204" s="326"/>
      <c r="C204" s="106" t="s">
        <v>47</v>
      </c>
      <c r="D204" s="98" t="s">
        <v>299</v>
      </c>
      <c r="E204" s="99" t="s">
        <v>300</v>
      </c>
      <c r="F204" t="s">
        <v>1053</v>
      </c>
      <c r="G204" t="s">
        <v>1027</v>
      </c>
      <c r="H204" s="264" t="s">
        <v>72</v>
      </c>
      <c r="I204" s="100" t="s">
        <v>638</v>
      </c>
      <c r="J204" s="214" t="s">
        <v>12</v>
      </c>
      <c r="K204" s="213" t="s">
        <v>133</v>
      </c>
      <c r="L204" s="100" t="s">
        <v>575</v>
      </c>
      <c r="M204" s="100" t="s">
        <v>576</v>
      </c>
      <c r="N204" s="100"/>
      <c r="O204" s="100"/>
      <c r="P204" s="214"/>
      <c r="Q204" t="s">
        <v>974</v>
      </c>
      <c r="R204" s="171">
        <v>189</v>
      </c>
      <c r="S204" s="153" t="s">
        <v>665</v>
      </c>
      <c r="T204" s="96"/>
      <c r="U204" s="7"/>
      <c r="V204" s="239"/>
      <c r="Y204" t="str">
        <f t="shared" si="32"/>
        <v>engine_CoM</v>
      </c>
      <c r="Z204" t="str">
        <f t="shared" si="33"/>
        <v>double[]</v>
      </c>
      <c r="AA204" t="str">
        <f t="shared" si="34"/>
        <v>table</v>
      </c>
      <c r="AB204" t="str">
        <f t="shared" si="35"/>
        <v>Position longitudinale, latérale et verticale du CdG des moteurs</v>
      </c>
      <c r="AC204" t="str">
        <f t="shared" si="24"/>
        <v>m</v>
      </c>
      <c r="AD204" s="279" t="str">
        <f t="shared" si="25"/>
        <v>variable: engine_CoM double[] input description= "Position longitudinale, latérale et verticale du CdG des moteurs" units= "m"</v>
      </c>
      <c r="AE204" s="7" t="str">
        <f t="shared" si="26"/>
        <v>X0.MCI.engine</v>
      </c>
      <c r="AF204" s="7" t="str">
        <f t="shared" si="27"/>
        <v>Y02.MCI.engine</v>
      </c>
      <c r="AG204" s="7" t="str">
        <f t="shared" si="28"/>
        <v>Y03.MCI.engine</v>
      </c>
      <c r="AH204" s="7" t="str">
        <f t="shared" si="29"/>
        <v/>
      </c>
      <c r="AI204" s="7" t="str">
        <f t="shared" si="30"/>
        <v/>
      </c>
      <c r="AJ204" s="7" t="str">
        <f t="shared" si="31"/>
        <v/>
      </c>
    </row>
    <row r="205" spans="2:36">
      <c r="B205" s="326"/>
      <c r="C205" s="351" t="s">
        <v>54</v>
      </c>
      <c r="D205" s="98" t="s">
        <v>397</v>
      </c>
      <c r="E205" s="107" t="s">
        <v>398</v>
      </c>
      <c r="F205" t="s">
        <v>1053</v>
      </c>
      <c r="G205" t="s">
        <v>1041</v>
      </c>
      <c r="H205" s="264" t="s">
        <v>72</v>
      </c>
      <c r="I205" s="100" t="s">
        <v>638</v>
      </c>
      <c r="J205" s="214" t="s">
        <v>12</v>
      </c>
      <c r="K205" s="236" t="s">
        <v>83</v>
      </c>
      <c r="L205" s="108"/>
      <c r="M205" s="108"/>
      <c r="N205" s="108"/>
      <c r="O205" s="108"/>
      <c r="P205" s="237"/>
      <c r="Q205" t="s">
        <v>975</v>
      </c>
      <c r="R205" s="171">
        <v>190</v>
      </c>
      <c r="S205" s="153" t="s">
        <v>665</v>
      </c>
      <c r="T205" s="96"/>
      <c r="U205" s="7"/>
      <c r="V205" s="239"/>
      <c r="Y205" t="str">
        <f t="shared" si="32"/>
        <v>front_landing_gear_CoM</v>
      </c>
      <c r="Z205" t="str">
        <f t="shared" si="33"/>
        <v>double[]</v>
      </c>
      <c r="AA205" t="str">
        <f t="shared" si="34"/>
        <v>table</v>
      </c>
      <c r="AB205" t="str">
        <f t="shared" si="35"/>
        <v>Position longitudinale, latérale et verticale du CdG de la case du train avant</v>
      </c>
      <c r="AC205" t="str">
        <f t="shared" si="24"/>
        <v>m</v>
      </c>
      <c r="AD205" s="279" t="str">
        <f t="shared" si="25"/>
        <v>variable: front_landing_gear_CoM double[] input description= "Position longitudinale, latérale et verticale du CdG de la case du train avant" units= "m"</v>
      </c>
      <c r="AE205" s="7" t="str">
        <f t="shared" si="26"/>
        <v>Y30.MCI.landing_gear</v>
      </c>
      <c r="AF205" s="7" t="str">
        <f t="shared" si="27"/>
        <v/>
      </c>
      <c r="AG205" s="7" t="str">
        <f t="shared" si="28"/>
        <v/>
      </c>
      <c r="AH205" s="7" t="str">
        <f t="shared" si="29"/>
        <v/>
      </c>
      <c r="AI205" s="7" t="str">
        <f t="shared" si="30"/>
        <v/>
      </c>
      <c r="AJ205" s="7" t="str">
        <f t="shared" si="31"/>
        <v/>
      </c>
    </row>
    <row r="206" spans="2:36">
      <c r="B206" s="326"/>
      <c r="C206" s="352"/>
      <c r="D206" s="98" t="s">
        <v>399</v>
      </c>
      <c r="E206" s="99" t="s">
        <v>400</v>
      </c>
      <c r="F206" t="s">
        <v>1053</v>
      </c>
      <c r="G206" t="s">
        <v>1041</v>
      </c>
      <c r="H206" s="264" t="s">
        <v>72</v>
      </c>
      <c r="I206" s="100" t="s">
        <v>638</v>
      </c>
      <c r="J206" s="214" t="s">
        <v>12</v>
      </c>
      <c r="K206" s="236" t="s">
        <v>83</v>
      </c>
      <c r="L206" s="108"/>
      <c r="M206" s="108"/>
      <c r="N206" s="108"/>
      <c r="O206" s="108"/>
      <c r="P206" s="237"/>
      <c r="Q206" t="s">
        <v>976</v>
      </c>
      <c r="R206" s="171">
        <v>191</v>
      </c>
      <c r="S206" s="153" t="s">
        <v>665</v>
      </c>
      <c r="T206" s="96"/>
      <c r="U206" s="7"/>
      <c r="V206" s="239"/>
      <c r="Y206" t="str">
        <f t="shared" si="32"/>
        <v>main_landing_gear_CoM</v>
      </c>
      <c r="Z206" t="str">
        <f t="shared" si="33"/>
        <v>double[]</v>
      </c>
      <c r="AA206" t="str">
        <f t="shared" si="34"/>
        <v>table</v>
      </c>
      <c r="AB206" t="str">
        <f t="shared" si="35"/>
        <v>Position longitudinale, latérale et verticale du CdG du train principal</v>
      </c>
      <c r="AC206" t="str">
        <f t="shared" si="24"/>
        <v>m</v>
      </c>
      <c r="AD206" s="279" t="str">
        <f t="shared" si="25"/>
        <v>variable: main_landing_gear_CoM double[] input description= "Position longitudinale, latérale et verticale du CdG du train principal" units= "m"</v>
      </c>
      <c r="AE206" s="7" t="str">
        <f t="shared" si="26"/>
        <v>Y30.MCI.landing_gear</v>
      </c>
      <c r="AF206" s="7" t="str">
        <f t="shared" si="27"/>
        <v/>
      </c>
      <c r="AG206" s="7" t="str">
        <f t="shared" si="28"/>
        <v/>
      </c>
      <c r="AH206" s="7" t="str">
        <f t="shared" si="29"/>
        <v/>
      </c>
      <c r="AI206" s="7" t="str">
        <f t="shared" si="30"/>
        <v/>
      </c>
      <c r="AJ206" s="7" t="str">
        <f t="shared" si="31"/>
        <v/>
      </c>
    </row>
    <row r="207" spans="2:36">
      <c r="B207" s="326"/>
      <c r="C207" s="349" t="s">
        <v>358</v>
      </c>
      <c r="D207" s="98" t="s">
        <v>356</v>
      </c>
      <c r="E207" s="99" t="s">
        <v>359</v>
      </c>
      <c r="F207" t="s">
        <v>1053</v>
      </c>
      <c r="G207" t="s">
        <v>1036</v>
      </c>
      <c r="H207" s="264" t="s">
        <v>72</v>
      </c>
      <c r="I207" s="100" t="s">
        <v>638</v>
      </c>
      <c r="J207" s="214" t="s">
        <v>12</v>
      </c>
      <c r="K207" s="213" t="s">
        <v>83</v>
      </c>
      <c r="L207" s="100"/>
      <c r="M207" s="100"/>
      <c r="N207" s="100"/>
      <c r="O207" s="100"/>
      <c r="P207" s="214"/>
      <c r="Q207" t="s">
        <v>977</v>
      </c>
      <c r="R207" s="171">
        <v>192</v>
      </c>
      <c r="S207" s="153" t="s">
        <v>665</v>
      </c>
      <c r="T207" s="96"/>
      <c r="U207" s="7"/>
      <c r="V207" s="239"/>
      <c r="Y207" t="str">
        <f t="shared" si="32"/>
        <v>wings_fuel_tank_CoM</v>
      </c>
      <c r="Z207" t="str">
        <f t="shared" si="33"/>
        <v>double[]</v>
      </c>
      <c r="AA207" t="str">
        <f t="shared" si="34"/>
        <v>table</v>
      </c>
      <c r="AB207" t="str">
        <f t="shared" si="35"/>
        <v>Position longitudinale, latérale et verticale du CdG du réservoir situé dans la voilure</v>
      </c>
      <c r="AC207" t="str">
        <f t="shared" si="24"/>
        <v>m</v>
      </c>
      <c r="AD207" s="279" t="str">
        <f t="shared" si="25"/>
        <v>variable: wings_fuel_tank_CoM double[] input description= "Position longitudinale, latérale et verticale du CdG du réservoir situé dans la voilure" units= "m"</v>
      </c>
      <c r="AE207" s="7" t="str">
        <f t="shared" si="26"/>
        <v>Y30.MCI.fuel_tanks</v>
      </c>
      <c r="AF207" s="7" t="str">
        <f t="shared" si="27"/>
        <v/>
      </c>
      <c r="AG207" s="7" t="str">
        <f t="shared" si="28"/>
        <v/>
      </c>
      <c r="AH207" s="7" t="str">
        <f t="shared" si="29"/>
        <v/>
      </c>
      <c r="AI207" s="7" t="str">
        <f t="shared" si="30"/>
        <v/>
      </c>
      <c r="AJ207" s="7" t="str">
        <f t="shared" si="31"/>
        <v/>
      </c>
    </row>
    <row r="208" spans="2:36" ht="12.75" customHeight="1">
      <c r="B208" s="326"/>
      <c r="C208" s="341"/>
      <c r="D208" s="98" t="s">
        <v>357</v>
      </c>
      <c r="E208" s="99" t="s">
        <v>360</v>
      </c>
      <c r="F208" t="s">
        <v>1053</v>
      </c>
      <c r="G208" t="s">
        <v>1036</v>
      </c>
      <c r="H208" s="264" t="s">
        <v>72</v>
      </c>
      <c r="I208" s="100" t="s">
        <v>638</v>
      </c>
      <c r="J208" s="214" t="s">
        <v>12</v>
      </c>
      <c r="K208" s="213" t="s">
        <v>83</v>
      </c>
      <c r="L208" s="100"/>
      <c r="M208" s="100"/>
      <c r="N208" s="100"/>
      <c r="O208" s="100"/>
      <c r="P208" s="214"/>
      <c r="Q208" t="s">
        <v>978</v>
      </c>
      <c r="R208" s="171">
        <v>193</v>
      </c>
      <c r="S208" s="153" t="s">
        <v>665</v>
      </c>
      <c r="T208" s="96"/>
      <c r="U208" s="7"/>
      <c r="V208" s="239"/>
      <c r="Y208" t="str">
        <f t="shared" si="32"/>
        <v>body_fuel_tank_CoM</v>
      </c>
      <c r="Z208" t="str">
        <f t="shared" si="33"/>
        <v>double[]</v>
      </c>
      <c r="AA208" t="str">
        <f t="shared" si="34"/>
        <v>table</v>
      </c>
      <c r="AB208" t="str">
        <f t="shared" si="35"/>
        <v>Position longitudinale, latérale et verticale du CdG du réservoir situé dans le corps central</v>
      </c>
      <c r="AC208" t="str">
        <f t="shared" ref="AC208:AC248" si="36">J208</f>
        <v>m</v>
      </c>
      <c r="AD208" s="279" t="str">
        <f t="shared" ref="AD208:AD248" si="37">CONCATENATE(IF(S208="oui","#",""),"variable: ",Y208," ",Z208," input ","description= """,AB208,""" units= """,AC208,"""")</f>
        <v>variable: body_fuel_tank_CoM double[] input description= "Position longitudinale, latérale et verticale du CdG du réservoir situé dans le corps central" units= "m"</v>
      </c>
      <c r="AE208" s="7" t="str">
        <f t="shared" ref="AE208:AE248" si="38">CONCATENER_MODELCENTER(K208,$F208,$G208)</f>
        <v>Y30.MCI.fuel_tanks</v>
      </c>
      <c r="AF208" s="7" t="str">
        <f t="shared" ref="AF208:AF248" si="39">CONCATENER_MODELCENTER(L208,$F208,$G208)</f>
        <v/>
      </c>
      <c r="AG208" s="7" t="str">
        <f t="shared" ref="AG208:AG248" si="40">CONCATENER_MODELCENTER(M208,$F208,$G208)</f>
        <v/>
      </c>
      <c r="AH208" s="7" t="str">
        <f t="shared" ref="AH208:AH248" si="41">CONCATENER_MODELCENTER(N208,$F208,$G208)</f>
        <v/>
      </c>
      <c r="AI208" s="7" t="str">
        <f t="shared" ref="AI208:AI248" si="42">CONCATENER_MODELCENTER(O208,$F208,$G208)</f>
        <v/>
      </c>
      <c r="AJ208" s="7" t="str">
        <f t="shared" ref="AJ208:AJ248" si="43">CONCATENER_MODELCENTER(P208,$F208,$G208)</f>
        <v/>
      </c>
    </row>
    <row r="209" spans="2:36">
      <c r="B209" s="326"/>
      <c r="C209" s="106" t="s">
        <v>103</v>
      </c>
      <c r="D209" s="98" t="s">
        <v>301</v>
      </c>
      <c r="E209" s="99" t="s">
        <v>304</v>
      </c>
      <c r="F209" t="s">
        <v>1053</v>
      </c>
      <c r="G209" t="s">
        <v>1045</v>
      </c>
      <c r="H209" s="264" t="s">
        <v>72</v>
      </c>
      <c r="I209" s="100" t="s">
        <v>638</v>
      </c>
      <c r="J209" s="214" t="s">
        <v>12</v>
      </c>
      <c r="K209" s="213" t="s">
        <v>246</v>
      </c>
      <c r="L209" s="100"/>
      <c r="M209" s="100"/>
      <c r="N209" s="100"/>
      <c r="O209" s="100"/>
      <c r="P209" s="214"/>
      <c r="Q209" t="s">
        <v>979</v>
      </c>
      <c r="R209" s="171">
        <v>194</v>
      </c>
      <c r="S209" s="153" t="s">
        <v>665</v>
      </c>
      <c r="T209" s="96"/>
      <c r="U209" s="7"/>
      <c r="V209" s="239"/>
      <c r="Y209" t="str">
        <f t="shared" ref="Y209:Y248" si="44">Q209</f>
        <v>MTOW_CoM</v>
      </c>
      <c r="Z209" t="str">
        <f t="shared" ref="Z209:Z248" si="45">I209</f>
        <v>double[]</v>
      </c>
      <c r="AA209" t="str">
        <f t="shared" ref="AA209:AA248" si="46">H209</f>
        <v>table</v>
      </c>
      <c r="AB209" t="str">
        <f t="shared" ref="AB209:AB248" si="47">E209</f>
        <v>Position longitudinale, latérale et verticale du CdG à la MTOW</v>
      </c>
      <c r="AC209" t="str">
        <f t="shared" si="36"/>
        <v>m</v>
      </c>
      <c r="AD209" s="279" t="str">
        <f t="shared" si="37"/>
        <v>variable: MTOW_CoM double[] input description= "Position longitudinale, latérale et verticale du CdG à la MTOW" units= "m"</v>
      </c>
      <c r="AE209" s="7" t="str">
        <f t="shared" si="38"/>
        <v>Y35.MCI.centering</v>
      </c>
      <c r="AF209" s="7" t="str">
        <f t="shared" si="39"/>
        <v/>
      </c>
      <c r="AG209" s="7" t="str">
        <f t="shared" si="40"/>
        <v/>
      </c>
      <c r="AH209" s="7" t="str">
        <f t="shared" si="41"/>
        <v/>
      </c>
      <c r="AI209" s="7" t="str">
        <f t="shared" si="42"/>
        <v/>
      </c>
      <c r="AJ209" s="7" t="str">
        <f t="shared" si="43"/>
        <v/>
      </c>
    </row>
    <row r="210" spans="2:36">
      <c r="B210" s="326"/>
      <c r="C210" s="106" t="s">
        <v>242</v>
      </c>
      <c r="D210" s="98" t="s">
        <v>302</v>
      </c>
      <c r="E210" s="99" t="s">
        <v>305</v>
      </c>
      <c r="F210" t="s">
        <v>1053</v>
      </c>
      <c r="G210" t="s">
        <v>1045</v>
      </c>
      <c r="H210" s="264" t="s">
        <v>72</v>
      </c>
      <c r="I210" s="100" t="s">
        <v>638</v>
      </c>
      <c r="J210" s="214" t="s">
        <v>12</v>
      </c>
      <c r="K210" s="213" t="s">
        <v>246</v>
      </c>
      <c r="L210" s="100"/>
      <c r="M210" s="100"/>
      <c r="N210" s="100"/>
      <c r="O210" s="100"/>
      <c r="P210" s="214"/>
      <c r="Q210" t="s">
        <v>980</v>
      </c>
      <c r="R210" s="171">
        <v>195</v>
      </c>
      <c r="S210" s="153" t="s">
        <v>665</v>
      </c>
      <c r="T210" s="96"/>
      <c r="U210" s="7"/>
      <c r="V210" s="239"/>
      <c r="Y210" t="str">
        <f t="shared" si="44"/>
        <v>ZFW_CoM</v>
      </c>
      <c r="Z210" t="str">
        <f t="shared" si="45"/>
        <v>double[]</v>
      </c>
      <c r="AA210" t="str">
        <f t="shared" si="46"/>
        <v>table</v>
      </c>
      <c r="AB210" t="str">
        <f t="shared" si="47"/>
        <v>Position longitudinale, latérale et verticale du CdG à la ZFW</v>
      </c>
      <c r="AC210" t="str">
        <f t="shared" si="36"/>
        <v>m</v>
      </c>
      <c r="AD210" s="279" t="str">
        <f t="shared" si="37"/>
        <v>variable: ZFW_CoM double[] input description= "Position longitudinale, latérale et verticale du CdG à la ZFW" units= "m"</v>
      </c>
      <c r="AE210" s="7" t="str">
        <f t="shared" si="38"/>
        <v>Y35.MCI.centering</v>
      </c>
      <c r="AF210" s="7" t="str">
        <f t="shared" si="39"/>
        <v/>
      </c>
      <c r="AG210" s="7" t="str">
        <f t="shared" si="40"/>
        <v/>
      </c>
      <c r="AH210" s="7" t="str">
        <f t="shared" si="41"/>
        <v/>
      </c>
      <c r="AI210" s="7" t="str">
        <f t="shared" si="42"/>
        <v/>
      </c>
      <c r="AJ210" s="7" t="str">
        <f t="shared" si="43"/>
        <v/>
      </c>
    </row>
    <row r="211" spans="2:36">
      <c r="B211" s="326"/>
      <c r="C211" s="106" t="s">
        <v>244</v>
      </c>
      <c r="D211" s="98" t="s">
        <v>303</v>
      </c>
      <c r="E211" s="99" t="s">
        <v>306</v>
      </c>
      <c r="F211" t="s">
        <v>1053</v>
      </c>
      <c r="G211" t="s">
        <v>1045</v>
      </c>
      <c r="H211" s="264" t="s">
        <v>72</v>
      </c>
      <c r="I211" s="100" t="s">
        <v>638</v>
      </c>
      <c r="J211" s="214" t="s">
        <v>12</v>
      </c>
      <c r="K211" s="213" t="s">
        <v>246</v>
      </c>
      <c r="L211" s="100"/>
      <c r="M211" s="100"/>
      <c r="N211" s="100"/>
      <c r="O211" s="100"/>
      <c r="P211" s="214"/>
      <c r="Q211" t="s">
        <v>981</v>
      </c>
      <c r="R211" s="171">
        <v>196</v>
      </c>
      <c r="S211" s="153" t="s">
        <v>665</v>
      </c>
      <c r="T211" s="96"/>
      <c r="U211" s="7"/>
      <c r="V211" s="239"/>
      <c r="Y211" t="str">
        <f t="shared" si="44"/>
        <v>MLW_CoM</v>
      </c>
      <c r="Z211" t="str">
        <f t="shared" si="45"/>
        <v>double[]</v>
      </c>
      <c r="AA211" t="str">
        <f t="shared" si="46"/>
        <v>table</v>
      </c>
      <c r="AB211" t="str">
        <f t="shared" si="47"/>
        <v>Position longitudinale, latérale et verticale du CdG à la MLW</v>
      </c>
      <c r="AC211" t="str">
        <f t="shared" si="36"/>
        <v>m</v>
      </c>
      <c r="AD211" s="279" t="str">
        <f t="shared" si="37"/>
        <v>variable: MLW_CoM double[] input description= "Position longitudinale, latérale et verticale du CdG à la MLW" units= "m"</v>
      </c>
      <c r="AE211" s="7" t="str">
        <f t="shared" si="38"/>
        <v>Y35.MCI.centering</v>
      </c>
      <c r="AF211" s="7" t="str">
        <f t="shared" si="39"/>
        <v/>
      </c>
      <c r="AG211" s="7" t="str">
        <f t="shared" si="40"/>
        <v/>
      </c>
      <c r="AH211" s="7" t="str">
        <f t="shared" si="41"/>
        <v/>
      </c>
      <c r="AI211" s="7" t="str">
        <f t="shared" si="42"/>
        <v/>
      </c>
      <c r="AJ211" s="7" t="str">
        <f t="shared" si="43"/>
        <v/>
      </c>
    </row>
    <row r="212" spans="2:36">
      <c r="B212" s="326"/>
      <c r="C212" s="349" t="s">
        <v>105</v>
      </c>
      <c r="D212" s="98" t="s">
        <v>127</v>
      </c>
      <c r="E212" s="99" t="s">
        <v>128</v>
      </c>
      <c r="F212" t="s">
        <v>1053</v>
      </c>
      <c r="G212" t="s">
        <v>1021</v>
      </c>
      <c r="H212" s="264" t="s">
        <v>72</v>
      </c>
      <c r="I212" s="100" t="s">
        <v>638</v>
      </c>
      <c r="J212" s="214" t="s">
        <v>476</v>
      </c>
      <c r="K212" s="213" t="s">
        <v>246</v>
      </c>
      <c r="L212" s="100"/>
      <c r="M212" s="100"/>
      <c r="N212" s="100"/>
      <c r="O212" s="100"/>
      <c r="P212" s="214"/>
      <c r="Q212" t="s">
        <v>982</v>
      </c>
      <c r="R212" s="171">
        <v>197</v>
      </c>
      <c r="S212" s="153" t="s">
        <v>665</v>
      </c>
      <c r="T212" s="96"/>
      <c r="U212" s="7"/>
      <c r="V212" s="239"/>
      <c r="Y212" t="str">
        <f t="shared" si="44"/>
        <v>MTOW_inertia</v>
      </c>
      <c r="Z212" t="str">
        <f t="shared" si="45"/>
        <v>double[]</v>
      </c>
      <c r="AA212" t="str">
        <f t="shared" si="46"/>
        <v>table</v>
      </c>
      <c r="AB212" t="str">
        <f t="shared" si="47"/>
        <v>Matrice d'inertie à la MTOW</v>
      </c>
      <c r="AC212" t="str">
        <f t="shared" si="36"/>
        <v>kg.m2</v>
      </c>
      <c r="AD212" s="279" t="str">
        <f t="shared" si="37"/>
        <v>variable: MTOW_inertia double[] input description= "Matrice d'inertie à la MTOW" units= "kg.m2"</v>
      </c>
      <c r="AE212" s="7" t="str">
        <f t="shared" si="38"/>
        <v>Y35.MCI.inertias</v>
      </c>
      <c r="AF212" s="7" t="str">
        <f t="shared" si="39"/>
        <v/>
      </c>
      <c r="AG212" s="7" t="str">
        <f t="shared" si="40"/>
        <v/>
      </c>
      <c r="AH212" s="7" t="str">
        <f t="shared" si="41"/>
        <v/>
      </c>
      <c r="AI212" s="7" t="str">
        <f t="shared" si="42"/>
        <v/>
      </c>
      <c r="AJ212" s="7" t="str">
        <f t="shared" si="43"/>
        <v/>
      </c>
    </row>
    <row r="213" spans="2:36">
      <c r="B213" s="326"/>
      <c r="C213" s="340"/>
      <c r="D213" s="98" t="s">
        <v>129</v>
      </c>
      <c r="E213" s="99" t="s">
        <v>130</v>
      </c>
      <c r="F213" t="s">
        <v>1053</v>
      </c>
      <c r="G213" t="s">
        <v>1021</v>
      </c>
      <c r="H213" s="264" t="s">
        <v>72</v>
      </c>
      <c r="I213" s="100" t="s">
        <v>638</v>
      </c>
      <c r="J213" s="214" t="s">
        <v>476</v>
      </c>
      <c r="K213" s="213" t="s">
        <v>246</v>
      </c>
      <c r="L213" s="100"/>
      <c r="M213" s="100"/>
      <c r="N213" s="100"/>
      <c r="O213" s="100"/>
      <c r="P213" s="214"/>
      <c r="Q213" t="s">
        <v>983</v>
      </c>
      <c r="R213" s="171">
        <v>198</v>
      </c>
      <c r="S213" s="153" t="s">
        <v>665</v>
      </c>
      <c r="T213" s="96"/>
      <c r="U213" s="7"/>
      <c r="V213" s="239"/>
      <c r="Y213" t="str">
        <f t="shared" si="44"/>
        <v>ZFW_inertia</v>
      </c>
      <c r="Z213" t="str">
        <f t="shared" si="45"/>
        <v>double[]</v>
      </c>
      <c r="AA213" t="str">
        <f t="shared" si="46"/>
        <v>table</v>
      </c>
      <c r="AB213" t="str">
        <f t="shared" si="47"/>
        <v>Matrice d'inertie à la ZFW</v>
      </c>
      <c r="AC213" t="str">
        <f t="shared" si="36"/>
        <v>kg.m2</v>
      </c>
      <c r="AD213" s="279" t="str">
        <f t="shared" si="37"/>
        <v>variable: ZFW_inertia double[] input description= "Matrice d'inertie à la ZFW" units= "kg.m2"</v>
      </c>
      <c r="AE213" s="7" t="str">
        <f t="shared" si="38"/>
        <v>Y35.MCI.inertias</v>
      </c>
      <c r="AF213" s="7" t="str">
        <f t="shared" si="39"/>
        <v/>
      </c>
      <c r="AG213" s="7" t="str">
        <f t="shared" si="40"/>
        <v/>
      </c>
      <c r="AH213" s="7" t="str">
        <f t="shared" si="41"/>
        <v/>
      </c>
      <c r="AI213" s="7" t="str">
        <f t="shared" si="42"/>
        <v/>
      </c>
      <c r="AJ213" s="7" t="str">
        <f t="shared" si="43"/>
        <v/>
      </c>
    </row>
    <row r="214" spans="2:36" ht="13.5" thickBot="1">
      <c r="B214" s="327"/>
      <c r="C214" s="350"/>
      <c r="D214" s="102" t="s">
        <v>240</v>
      </c>
      <c r="E214" s="103" t="s">
        <v>241</v>
      </c>
      <c r="F214" s="294" t="s">
        <v>1053</v>
      </c>
      <c r="G214" s="292" t="s">
        <v>1021</v>
      </c>
      <c r="H214" s="265" t="s">
        <v>72</v>
      </c>
      <c r="I214" s="104" t="s">
        <v>638</v>
      </c>
      <c r="J214" s="216" t="s">
        <v>476</v>
      </c>
      <c r="K214" s="215" t="s">
        <v>246</v>
      </c>
      <c r="L214" s="104"/>
      <c r="M214" s="104"/>
      <c r="N214" s="104"/>
      <c r="O214" s="104"/>
      <c r="P214" s="216"/>
      <c r="Q214" s="290" t="s">
        <v>984</v>
      </c>
      <c r="R214" s="172">
        <v>199</v>
      </c>
      <c r="S214" s="154" t="s">
        <v>665</v>
      </c>
      <c r="T214" s="105"/>
      <c r="U214" s="7"/>
      <c r="V214" s="239"/>
      <c r="Y214" t="str">
        <f t="shared" si="44"/>
        <v>MLW_inertia</v>
      </c>
      <c r="Z214" t="str">
        <f t="shared" si="45"/>
        <v>double[]</v>
      </c>
      <c r="AA214" t="str">
        <f t="shared" si="46"/>
        <v>table</v>
      </c>
      <c r="AB214" t="str">
        <f t="shared" si="47"/>
        <v>Matrice d'inertie à la MLW</v>
      </c>
      <c r="AC214" t="str">
        <f t="shared" si="36"/>
        <v>kg.m2</v>
      </c>
      <c r="AD214" s="279" t="str">
        <f t="shared" si="37"/>
        <v>variable: MLW_inertia double[] input description= "Matrice d'inertie à la MLW" units= "kg.m2"</v>
      </c>
      <c r="AE214" s="7" t="str">
        <f t="shared" si="38"/>
        <v>Y35.MCI.inertias</v>
      </c>
      <c r="AF214" s="7" t="str">
        <f t="shared" si="39"/>
        <v/>
      </c>
      <c r="AG214" s="7" t="str">
        <f t="shared" si="40"/>
        <v/>
      </c>
      <c r="AH214" s="7" t="str">
        <f t="shared" si="41"/>
        <v/>
      </c>
      <c r="AI214" s="7" t="str">
        <f t="shared" si="42"/>
        <v/>
      </c>
      <c r="AJ214" s="7" t="str">
        <f t="shared" si="43"/>
        <v/>
      </c>
    </row>
    <row r="215" spans="2:36">
      <c r="B215" s="358" t="s">
        <v>8</v>
      </c>
      <c r="C215" s="336" t="s">
        <v>167</v>
      </c>
      <c r="D215" s="122" t="s">
        <v>168</v>
      </c>
      <c r="E215" s="123" t="s">
        <v>172</v>
      </c>
      <c r="F215" s="274" t="s">
        <v>8</v>
      </c>
      <c r="G215" t="s">
        <v>1047</v>
      </c>
      <c r="H215" s="266" t="s">
        <v>354</v>
      </c>
      <c r="I215" s="124" t="s">
        <v>625</v>
      </c>
      <c r="J215" s="218" t="s">
        <v>51</v>
      </c>
      <c r="K215" s="217" t="s">
        <v>133</v>
      </c>
      <c r="L215" s="124"/>
      <c r="M215" s="124"/>
      <c r="N215" s="124"/>
      <c r="O215" s="124"/>
      <c r="P215" s="218"/>
      <c r="Q215" t="s">
        <v>990</v>
      </c>
      <c r="R215" s="173">
        <v>200</v>
      </c>
      <c r="S215" s="155" t="s">
        <v>665</v>
      </c>
      <c r="T215" s="125"/>
      <c r="U215" s="7"/>
      <c r="V215" s="239"/>
      <c r="Y215" t="str">
        <f t="shared" si="44"/>
        <v>nb_pax</v>
      </c>
      <c r="Z215" t="str">
        <f t="shared" si="45"/>
        <v>integer</v>
      </c>
      <c r="AA215" t="str">
        <f t="shared" si="46"/>
        <v>scalaire</v>
      </c>
      <c r="AB215" t="str">
        <f t="shared" si="47"/>
        <v>Nombre de passagers (aménagement homogène 100% classe économique)</v>
      </c>
      <c r="AC215" t="str">
        <f t="shared" si="36"/>
        <v>(-)</v>
      </c>
      <c r="AD215" s="279" t="str">
        <f t="shared" si="37"/>
        <v>variable: nb_pax integer input description= "Nombre de passagers (aménagement homogène 100% classe économique)" units= "(-)"</v>
      </c>
      <c r="AE215" s="7" t="str">
        <f t="shared" si="38"/>
        <v>X0.Mission.payload</v>
      </c>
      <c r="AF215" s="7" t="str">
        <f t="shared" si="39"/>
        <v/>
      </c>
      <c r="AG215" s="7" t="str">
        <f t="shared" si="40"/>
        <v/>
      </c>
      <c r="AH215" s="7" t="str">
        <f t="shared" si="41"/>
        <v/>
      </c>
      <c r="AI215" s="7" t="str">
        <f t="shared" si="42"/>
        <v/>
      </c>
      <c r="AJ215" s="7" t="str">
        <f t="shared" si="43"/>
        <v/>
      </c>
    </row>
    <row r="216" spans="2:36">
      <c r="B216" s="359"/>
      <c r="C216" s="337"/>
      <c r="D216" s="109" t="s">
        <v>287</v>
      </c>
      <c r="E216" s="110" t="s">
        <v>339</v>
      </c>
      <c r="F216" s="111" t="s">
        <v>8</v>
      </c>
      <c r="G216" t="s">
        <v>1047</v>
      </c>
      <c r="H216" s="267" t="s">
        <v>354</v>
      </c>
      <c r="I216" s="112" t="s">
        <v>625</v>
      </c>
      <c r="J216" s="220" t="s">
        <v>51</v>
      </c>
      <c r="K216" s="219" t="s">
        <v>14</v>
      </c>
      <c r="L216" s="112"/>
      <c r="M216" s="112"/>
      <c r="N216" s="112"/>
      <c r="O216" s="112"/>
      <c r="P216" s="220"/>
      <c r="Q216" t="s">
        <v>991</v>
      </c>
      <c r="R216" s="174">
        <v>201</v>
      </c>
      <c r="S216" s="156" t="s">
        <v>665</v>
      </c>
      <c r="T216" s="113"/>
      <c r="U216" s="7"/>
      <c r="V216" s="239"/>
      <c r="Y216" t="str">
        <f t="shared" si="44"/>
        <v>nb_cabin_crew</v>
      </c>
      <c r="Z216" t="str">
        <f t="shared" si="45"/>
        <v>integer</v>
      </c>
      <c r="AA216" t="str">
        <f t="shared" si="46"/>
        <v>scalaire</v>
      </c>
      <c r="AB216" t="str">
        <f t="shared" si="47"/>
        <v>Nombre de personnel navigant commercial</v>
      </c>
      <c r="AC216" t="str">
        <f t="shared" si="36"/>
        <v>(-)</v>
      </c>
      <c r="AD216" s="279" t="str">
        <f t="shared" si="37"/>
        <v>variable: nb_cabin_crew integer input description= "Nombre de personnel navigant commercial" units= "(-)"</v>
      </c>
      <c r="AE216" s="7" t="str">
        <f t="shared" si="38"/>
        <v>Y03.Mission.payload</v>
      </c>
      <c r="AF216" s="7" t="str">
        <f t="shared" si="39"/>
        <v/>
      </c>
      <c r="AG216" s="7" t="str">
        <f t="shared" si="40"/>
        <v/>
      </c>
      <c r="AH216" s="7" t="str">
        <f t="shared" si="41"/>
        <v/>
      </c>
      <c r="AI216" s="7" t="str">
        <f t="shared" si="42"/>
        <v/>
      </c>
      <c r="AJ216" s="7" t="str">
        <f t="shared" si="43"/>
        <v/>
      </c>
    </row>
    <row r="217" spans="2:36">
      <c r="B217" s="359"/>
      <c r="C217" s="337"/>
      <c r="D217" s="109" t="s">
        <v>288</v>
      </c>
      <c r="E217" s="110" t="s">
        <v>340</v>
      </c>
      <c r="F217" s="111" t="s">
        <v>8</v>
      </c>
      <c r="G217" t="s">
        <v>1047</v>
      </c>
      <c r="H217" s="267" t="s">
        <v>354</v>
      </c>
      <c r="I217" s="112" t="s">
        <v>625</v>
      </c>
      <c r="J217" s="220" t="s">
        <v>51</v>
      </c>
      <c r="K217" s="219" t="s">
        <v>14</v>
      </c>
      <c r="L217" s="112"/>
      <c r="M217" s="112"/>
      <c r="N217" s="112"/>
      <c r="O217" s="112"/>
      <c r="P217" s="220"/>
      <c r="Q217" t="s">
        <v>992</v>
      </c>
      <c r="R217" s="174">
        <v>202</v>
      </c>
      <c r="S217" s="156" t="s">
        <v>665</v>
      </c>
      <c r="T217" s="113"/>
      <c r="U217" s="7"/>
      <c r="V217" s="239"/>
      <c r="Y217" t="str">
        <f t="shared" si="44"/>
        <v>nb_tech_crew</v>
      </c>
      <c r="Z217" t="str">
        <f t="shared" si="45"/>
        <v>integer</v>
      </c>
      <c r="AA217" t="str">
        <f t="shared" si="46"/>
        <v>scalaire</v>
      </c>
      <c r="AB217" t="str">
        <f t="shared" si="47"/>
        <v>Nombre de personnel navigant technique</v>
      </c>
      <c r="AC217" t="str">
        <f t="shared" si="36"/>
        <v>(-)</v>
      </c>
      <c r="AD217" s="279" t="str">
        <f t="shared" si="37"/>
        <v>variable: nb_tech_crew integer input description= "Nombre de personnel navigant technique" units= "(-)"</v>
      </c>
      <c r="AE217" s="7" t="str">
        <f t="shared" si="38"/>
        <v>Y03.Mission.payload</v>
      </c>
      <c r="AF217" s="7" t="str">
        <f t="shared" si="39"/>
        <v/>
      </c>
      <c r="AG217" s="7" t="str">
        <f t="shared" si="40"/>
        <v/>
      </c>
      <c r="AH217" s="7" t="str">
        <f t="shared" si="41"/>
        <v/>
      </c>
      <c r="AI217" s="7" t="str">
        <f t="shared" si="42"/>
        <v/>
      </c>
      <c r="AJ217" s="7" t="str">
        <f t="shared" si="43"/>
        <v/>
      </c>
    </row>
    <row r="218" spans="2:36">
      <c r="B218" s="359"/>
      <c r="C218" s="337"/>
      <c r="D218" s="109" t="s">
        <v>329</v>
      </c>
      <c r="E218" s="110" t="s">
        <v>173</v>
      </c>
      <c r="F218" s="111" t="s">
        <v>8</v>
      </c>
      <c r="G218" t="s">
        <v>1047</v>
      </c>
      <c r="H218" s="267" t="s">
        <v>354</v>
      </c>
      <c r="I218" s="112" t="s">
        <v>625</v>
      </c>
      <c r="J218" s="220" t="s">
        <v>51</v>
      </c>
      <c r="K218" s="219" t="s">
        <v>133</v>
      </c>
      <c r="L218" s="112" t="s">
        <v>576</v>
      </c>
      <c r="M218" s="112"/>
      <c r="N218" s="112"/>
      <c r="O218" s="112"/>
      <c r="P218" s="220"/>
      <c r="Q218" t="s">
        <v>985</v>
      </c>
      <c r="R218" s="174">
        <v>203</v>
      </c>
      <c r="S218" s="156" t="s">
        <v>665</v>
      </c>
      <c r="T218" s="113"/>
      <c r="U218" s="7"/>
      <c r="V218" s="239"/>
      <c r="Y218" t="str">
        <f t="shared" si="44"/>
        <v>nb_cabin_partition</v>
      </c>
      <c r="Z218" t="str">
        <f t="shared" si="45"/>
        <v>integer</v>
      </c>
      <c r="AA218" t="str">
        <f t="shared" si="46"/>
        <v>scalaire</v>
      </c>
      <c r="AB218" t="str">
        <f t="shared" si="47"/>
        <v>Nombre de cloisons internes dans la cabine</v>
      </c>
      <c r="AC218" t="str">
        <f t="shared" si="36"/>
        <v>(-)</v>
      </c>
      <c r="AD218" s="279" t="str">
        <f t="shared" si="37"/>
        <v>variable: nb_cabin_partition integer input description= "Nombre de cloisons internes dans la cabine" units= "(-)"</v>
      </c>
      <c r="AE218" s="7" t="str">
        <f t="shared" si="38"/>
        <v>X0.Mission.payload</v>
      </c>
      <c r="AF218" s="7" t="str">
        <f t="shared" si="39"/>
        <v>Y03.Mission.payload</v>
      </c>
      <c r="AG218" s="7" t="str">
        <f t="shared" si="40"/>
        <v/>
      </c>
      <c r="AH218" s="7" t="str">
        <f t="shared" si="41"/>
        <v/>
      </c>
      <c r="AI218" s="7" t="str">
        <f t="shared" si="42"/>
        <v/>
      </c>
      <c r="AJ218" s="7" t="str">
        <f t="shared" si="43"/>
        <v/>
      </c>
    </row>
    <row r="219" spans="2:36">
      <c r="B219" s="359"/>
      <c r="C219" s="337"/>
      <c r="D219" s="109" t="s">
        <v>169</v>
      </c>
      <c r="E219" s="110" t="s">
        <v>174</v>
      </c>
      <c r="F219" s="111" t="s">
        <v>8</v>
      </c>
      <c r="G219" t="s">
        <v>1047</v>
      </c>
      <c r="H219" s="267" t="s">
        <v>354</v>
      </c>
      <c r="I219" s="112" t="s">
        <v>13</v>
      </c>
      <c r="J219" s="220" t="s">
        <v>474</v>
      </c>
      <c r="K219" s="219" t="s">
        <v>133</v>
      </c>
      <c r="L219" s="112"/>
      <c r="M219" s="112"/>
      <c r="N219" s="112"/>
      <c r="O219" s="112"/>
      <c r="P219" s="220"/>
      <c r="Q219" t="s">
        <v>986</v>
      </c>
      <c r="R219" s="174">
        <v>204</v>
      </c>
      <c r="S219" s="156" t="s">
        <v>665</v>
      </c>
      <c r="T219" s="113"/>
      <c r="U219" s="7"/>
      <c r="V219" s="239"/>
      <c r="Y219" t="str">
        <f t="shared" si="44"/>
        <v>hold_volume</v>
      </c>
      <c r="Z219" t="str">
        <f t="shared" si="45"/>
        <v>double</v>
      </c>
      <c r="AA219" t="str">
        <f t="shared" si="46"/>
        <v>scalaire</v>
      </c>
      <c r="AB219" t="str">
        <f t="shared" si="47"/>
        <v>Volume total de la soute</v>
      </c>
      <c r="AC219" t="str">
        <f t="shared" si="36"/>
        <v>m3</v>
      </c>
      <c r="AD219" s="279" t="str">
        <f t="shared" si="37"/>
        <v>variable: hold_volume double input description= "Volume total de la soute" units= "m3"</v>
      </c>
      <c r="AE219" s="7" t="str">
        <f t="shared" si="38"/>
        <v>X0.Mission.payload</v>
      </c>
      <c r="AF219" s="7" t="str">
        <f t="shared" si="39"/>
        <v/>
      </c>
      <c r="AG219" s="7" t="str">
        <f t="shared" si="40"/>
        <v/>
      </c>
      <c r="AH219" s="7" t="str">
        <f t="shared" si="41"/>
        <v/>
      </c>
      <c r="AI219" s="7" t="str">
        <f t="shared" si="42"/>
        <v/>
      </c>
      <c r="AJ219" s="7" t="str">
        <f t="shared" si="43"/>
        <v/>
      </c>
    </row>
    <row r="220" spans="2:36">
      <c r="B220" s="359"/>
      <c r="C220" s="337"/>
      <c r="D220" s="109" t="s">
        <v>171</v>
      </c>
      <c r="E220" s="110" t="s">
        <v>177</v>
      </c>
      <c r="F220" s="111" t="s">
        <v>8</v>
      </c>
      <c r="G220" t="s">
        <v>1047</v>
      </c>
      <c r="H220" s="267" t="s">
        <v>354</v>
      </c>
      <c r="I220" s="112" t="s">
        <v>13</v>
      </c>
      <c r="J220" s="220" t="s">
        <v>474</v>
      </c>
      <c r="K220" s="219" t="s">
        <v>133</v>
      </c>
      <c r="L220" s="112"/>
      <c r="M220" s="112"/>
      <c r="N220" s="112"/>
      <c r="O220" s="112"/>
      <c r="P220" s="220"/>
      <c r="Q220" t="s">
        <v>987</v>
      </c>
      <c r="R220" s="174">
        <v>205</v>
      </c>
      <c r="S220" s="156" t="s">
        <v>665</v>
      </c>
      <c r="T220" s="113"/>
      <c r="U220" s="7"/>
      <c r="V220" s="239"/>
      <c r="Y220" t="str">
        <f t="shared" si="44"/>
        <v>misc_volume</v>
      </c>
      <c r="Z220" t="str">
        <f t="shared" si="45"/>
        <v>double</v>
      </c>
      <c r="AA220" t="str">
        <f t="shared" si="46"/>
        <v>scalaire</v>
      </c>
      <c r="AB220" t="str">
        <f t="shared" si="47"/>
        <v>Volume de vrac</v>
      </c>
      <c r="AC220" t="str">
        <f t="shared" si="36"/>
        <v>m3</v>
      </c>
      <c r="AD220" s="279" t="str">
        <f t="shared" si="37"/>
        <v>variable: misc_volume double input description= "Volume de vrac" units= "m3"</v>
      </c>
      <c r="AE220" s="7" t="str">
        <f t="shared" si="38"/>
        <v>X0.Mission.payload</v>
      </c>
      <c r="AF220" s="7" t="str">
        <f t="shared" si="39"/>
        <v/>
      </c>
      <c r="AG220" s="7" t="str">
        <f t="shared" si="40"/>
        <v/>
      </c>
      <c r="AH220" s="7" t="str">
        <f t="shared" si="41"/>
        <v/>
      </c>
      <c r="AI220" s="7" t="str">
        <f t="shared" si="42"/>
        <v/>
      </c>
      <c r="AJ220" s="7" t="str">
        <f t="shared" si="43"/>
        <v/>
      </c>
    </row>
    <row r="221" spans="2:36">
      <c r="B221" s="359"/>
      <c r="C221" s="337"/>
      <c r="D221" s="109" t="s">
        <v>170</v>
      </c>
      <c r="E221" s="110" t="s">
        <v>175</v>
      </c>
      <c r="F221" s="111" t="s">
        <v>8</v>
      </c>
      <c r="G221" t="s">
        <v>1047</v>
      </c>
      <c r="H221" s="267" t="s">
        <v>354</v>
      </c>
      <c r="I221" s="112" t="s">
        <v>625</v>
      </c>
      <c r="J221" s="220" t="s">
        <v>51</v>
      </c>
      <c r="K221" s="219" t="s">
        <v>133</v>
      </c>
      <c r="L221" s="112" t="s">
        <v>576</v>
      </c>
      <c r="M221" s="112"/>
      <c r="N221" s="112"/>
      <c r="O221" s="112"/>
      <c r="P221" s="220"/>
      <c r="Q221" t="s">
        <v>988</v>
      </c>
      <c r="R221" s="174">
        <v>206</v>
      </c>
      <c r="S221" s="156" t="s">
        <v>665</v>
      </c>
      <c r="T221" s="113"/>
      <c r="U221" s="7"/>
      <c r="V221" s="239"/>
      <c r="Y221" t="str">
        <f t="shared" si="44"/>
        <v>nb_LD3</v>
      </c>
      <c r="Z221" t="str">
        <f t="shared" si="45"/>
        <v>integer</v>
      </c>
      <c r="AA221" t="str">
        <f t="shared" si="46"/>
        <v>scalaire</v>
      </c>
      <c r="AB221" t="str">
        <f t="shared" si="47"/>
        <v>Nombre de conteneurs LD3 (remplissage des soutes uniquement en LD3)</v>
      </c>
      <c r="AC221" t="str">
        <f t="shared" si="36"/>
        <v>(-)</v>
      </c>
      <c r="AD221" s="279" t="str">
        <f t="shared" si="37"/>
        <v>variable: nb_LD3 integer input description= "Nombre de conteneurs LD3 (remplissage des soutes uniquement en LD3)" units= "(-)"</v>
      </c>
      <c r="AE221" s="7" t="str">
        <f t="shared" si="38"/>
        <v>X0.Mission.payload</v>
      </c>
      <c r="AF221" s="7" t="str">
        <f t="shared" si="39"/>
        <v>Y03.Mission.payload</v>
      </c>
      <c r="AG221" s="7" t="str">
        <f t="shared" si="40"/>
        <v/>
      </c>
      <c r="AH221" s="7" t="str">
        <f t="shared" si="41"/>
        <v/>
      </c>
      <c r="AI221" s="7" t="str">
        <f t="shared" si="42"/>
        <v/>
      </c>
      <c r="AJ221" s="7" t="str">
        <f t="shared" si="43"/>
        <v/>
      </c>
    </row>
    <row r="222" spans="2:36">
      <c r="B222" s="359"/>
      <c r="C222" s="337"/>
      <c r="D222" s="109" t="s">
        <v>330</v>
      </c>
      <c r="E222" s="110" t="s">
        <v>176</v>
      </c>
      <c r="F222" s="111" t="s">
        <v>8</v>
      </c>
      <c r="G222" t="s">
        <v>1047</v>
      </c>
      <c r="H222" s="267" t="s">
        <v>354</v>
      </c>
      <c r="I222" s="112" t="s">
        <v>625</v>
      </c>
      <c r="J222" s="220" t="s">
        <v>51</v>
      </c>
      <c r="K222" s="219" t="s">
        <v>133</v>
      </c>
      <c r="L222" s="112" t="s">
        <v>576</v>
      </c>
      <c r="M222" s="112"/>
      <c r="N222" s="112"/>
      <c r="O222" s="112"/>
      <c r="P222" s="220"/>
      <c r="Q222" t="s">
        <v>989</v>
      </c>
      <c r="R222" s="174">
        <v>207</v>
      </c>
      <c r="S222" s="156" t="s">
        <v>665</v>
      </c>
      <c r="T222" s="113"/>
      <c r="U222" s="7"/>
      <c r="V222" s="239"/>
      <c r="Y222" t="str">
        <f t="shared" si="44"/>
        <v>nb_pallet</v>
      </c>
      <c r="Z222" t="str">
        <f t="shared" si="45"/>
        <v>integer</v>
      </c>
      <c r="AA222" t="str">
        <f t="shared" si="46"/>
        <v>scalaire</v>
      </c>
      <c r="AB222" t="str">
        <f t="shared" si="47"/>
        <v>Nombre de palettes 96" (remplissage des soutes uniquement en palettes 96")</v>
      </c>
      <c r="AC222" t="str">
        <f t="shared" si="36"/>
        <v>(-)</v>
      </c>
      <c r="AD222" s="279" t="str">
        <f t="shared" si="37"/>
        <v>variable: nb_pallet integer input description= "Nombre de palettes 96" (remplissage des soutes uniquement en palettes 96")" units= "(-)"</v>
      </c>
      <c r="AE222" s="7" t="str">
        <f t="shared" si="38"/>
        <v>X0.Mission.payload</v>
      </c>
      <c r="AF222" s="7" t="str">
        <f t="shared" si="39"/>
        <v>Y03.Mission.payload</v>
      </c>
      <c r="AG222" s="7" t="str">
        <f t="shared" si="40"/>
        <v/>
      </c>
      <c r="AH222" s="7" t="str">
        <f t="shared" si="41"/>
        <v/>
      </c>
      <c r="AI222" s="7" t="str">
        <f t="shared" si="42"/>
        <v/>
      </c>
      <c r="AJ222" s="7" t="str">
        <f t="shared" si="43"/>
        <v/>
      </c>
    </row>
    <row r="223" spans="2:36">
      <c r="B223" s="359"/>
      <c r="C223" s="337"/>
      <c r="D223" s="109" t="s">
        <v>331</v>
      </c>
      <c r="E223" s="110" t="s">
        <v>290</v>
      </c>
      <c r="F223" s="111" t="s">
        <v>8</v>
      </c>
      <c r="G223" t="s">
        <v>1047</v>
      </c>
      <c r="H223" s="267" t="s">
        <v>354</v>
      </c>
      <c r="I223" s="112" t="s">
        <v>625</v>
      </c>
      <c r="J223" s="220" t="s">
        <v>51</v>
      </c>
      <c r="K223" s="219" t="s">
        <v>14</v>
      </c>
      <c r="L223" s="112"/>
      <c r="M223" s="112"/>
      <c r="N223" s="112"/>
      <c r="O223" s="112"/>
      <c r="P223" s="220"/>
      <c r="Q223" t="s">
        <v>993</v>
      </c>
      <c r="R223" s="174">
        <v>208</v>
      </c>
      <c r="S223" s="156" t="s">
        <v>665</v>
      </c>
      <c r="T223" s="113"/>
      <c r="U223" s="7"/>
      <c r="V223" s="239"/>
      <c r="Y223" t="str">
        <f t="shared" si="44"/>
        <v>nb_seats</v>
      </c>
      <c r="Z223" t="str">
        <f t="shared" si="45"/>
        <v>integer</v>
      </c>
      <c r="AA223" t="str">
        <f t="shared" si="46"/>
        <v>scalaire</v>
      </c>
      <c r="AB223" t="str">
        <f t="shared" si="47"/>
        <v>Nombre de sièges</v>
      </c>
      <c r="AC223" t="str">
        <f t="shared" si="36"/>
        <v>(-)</v>
      </c>
      <c r="AD223" s="279" t="str">
        <f t="shared" si="37"/>
        <v>variable: nb_seats integer input description= "Nombre de sièges" units= "(-)"</v>
      </c>
      <c r="AE223" s="7" t="str">
        <f t="shared" si="38"/>
        <v>Y03.Mission.payload</v>
      </c>
      <c r="AF223" s="7" t="str">
        <f t="shared" si="39"/>
        <v/>
      </c>
      <c r="AG223" s="7" t="str">
        <f t="shared" si="40"/>
        <v/>
      </c>
      <c r="AH223" s="7" t="str">
        <f t="shared" si="41"/>
        <v/>
      </c>
      <c r="AI223" s="7" t="str">
        <f t="shared" si="42"/>
        <v/>
      </c>
      <c r="AJ223" s="7" t="str">
        <f t="shared" si="43"/>
        <v/>
      </c>
    </row>
    <row r="224" spans="2:36">
      <c r="B224" s="359"/>
      <c r="C224" s="337"/>
      <c r="D224" s="109" t="s">
        <v>289</v>
      </c>
      <c r="E224" s="110" t="s">
        <v>291</v>
      </c>
      <c r="F224" s="111" t="s">
        <v>8</v>
      </c>
      <c r="G224" t="s">
        <v>1047</v>
      </c>
      <c r="H224" s="267" t="s">
        <v>354</v>
      </c>
      <c r="I224" s="112" t="s">
        <v>625</v>
      </c>
      <c r="J224" s="220" t="s">
        <v>51</v>
      </c>
      <c r="K224" s="219" t="s">
        <v>14</v>
      </c>
      <c r="L224" s="112"/>
      <c r="M224" s="112"/>
      <c r="N224" s="112"/>
      <c r="O224" s="112"/>
      <c r="P224" s="220"/>
      <c r="Q224" t="s">
        <v>994</v>
      </c>
      <c r="R224" s="174">
        <v>209</v>
      </c>
      <c r="S224" s="156" t="s">
        <v>665</v>
      </c>
      <c r="T224" s="113"/>
      <c r="U224" s="7"/>
      <c r="V224" s="239"/>
      <c r="Y224" t="str">
        <f t="shared" si="44"/>
        <v>nb_toilets</v>
      </c>
      <c r="Z224" t="str">
        <f t="shared" si="45"/>
        <v>integer</v>
      </c>
      <c r="AA224" t="str">
        <f t="shared" si="46"/>
        <v>scalaire</v>
      </c>
      <c r="AB224" t="str">
        <f t="shared" si="47"/>
        <v>Nombre de WC</v>
      </c>
      <c r="AC224" t="str">
        <f t="shared" si="36"/>
        <v>(-)</v>
      </c>
      <c r="AD224" s="279" t="str">
        <f t="shared" si="37"/>
        <v>variable: nb_toilets integer input description= "Nombre de WC" units= "(-)"</v>
      </c>
      <c r="AE224" s="7" t="str">
        <f t="shared" si="38"/>
        <v>Y03.Mission.payload</v>
      </c>
      <c r="AF224" s="7" t="str">
        <f t="shared" si="39"/>
        <v/>
      </c>
      <c r="AG224" s="7" t="str">
        <f t="shared" si="40"/>
        <v/>
      </c>
      <c r="AH224" s="7" t="str">
        <f t="shared" si="41"/>
        <v/>
      </c>
      <c r="AI224" s="7" t="str">
        <f t="shared" si="42"/>
        <v/>
      </c>
      <c r="AJ224" s="7" t="str">
        <f t="shared" si="43"/>
        <v/>
      </c>
    </row>
    <row r="225" spans="2:36">
      <c r="B225" s="359"/>
      <c r="C225" s="337"/>
      <c r="D225" s="109" t="s">
        <v>332</v>
      </c>
      <c r="E225" s="110" t="s">
        <v>292</v>
      </c>
      <c r="F225" s="111" t="s">
        <v>8</v>
      </c>
      <c r="G225" t="s">
        <v>1047</v>
      </c>
      <c r="H225" s="267" t="s">
        <v>354</v>
      </c>
      <c r="I225" s="112" t="s">
        <v>625</v>
      </c>
      <c r="J225" s="220" t="s">
        <v>51</v>
      </c>
      <c r="K225" s="219" t="s">
        <v>14</v>
      </c>
      <c r="L225" s="112"/>
      <c r="M225" s="112"/>
      <c r="N225" s="112"/>
      <c r="O225" s="112"/>
      <c r="P225" s="220"/>
      <c r="Q225" t="s">
        <v>995</v>
      </c>
      <c r="R225" s="174">
        <v>210</v>
      </c>
      <c r="S225" s="156" t="s">
        <v>665</v>
      </c>
      <c r="T225" s="113"/>
      <c r="U225" s="7"/>
      <c r="V225" s="239"/>
      <c r="Y225" t="str">
        <f t="shared" si="44"/>
        <v>nb_galleys</v>
      </c>
      <c r="Z225" t="str">
        <f t="shared" si="45"/>
        <v>integer</v>
      </c>
      <c r="AA225" t="str">
        <f t="shared" si="46"/>
        <v>scalaire</v>
      </c>
      <c r="AB225" t="str">
        <f t="shared" si="47"/>
        <v>Nombre de galleys</v>
      </c>
      <c r="AC225" t="str">
        <f t="shared" si="36"/>
        <v>(-)</v>
      </c>
      <c r="AD225" s="279" t="str">
        <f t="shared" si="37"/>
        <v>variable: nb_galleys integer input description= "Nombre de galleys" units= "(-)"</v>
      </c>
      <c r="AE225" s="7" t="str">
        <f t="shared" si="38"/>
        <v>Y03.Mission.payload</v>
      </c>
      <c r="AF225" s="7" t="str">
        <f t="shared" si="39"/>
        <v/>
      </c>
      <c r="AG225" s="7" t="str">
        <f t="shared" si="40"/>
        <v/>
      </c>
      <c r="AH225" s="7" t="str">
        <f t="shared" si="41"/>
        <v/>
      </c>
      <c r="AI225" s="7" t="str">
        <f t="shared" si="42"/>
        <v/>
      </c>
      <c r="AJ225" s="7" t="str">
        <f t="shared" si="43"/>
        <v/>
      </c>
    </row>
    <row r="226" spans="2:36">
      <c r="B226" s="359"/>
      <c r="C226" s="338"/>
      <c r="D226" s="109" t="s">
        <v>333</v>
      </c>
      <c r="E226" s="110" t="s">
        <v>293</v>
      </c>
      <c r="F226" s="111" t="s">
        <v>8</v>
      </c>
      <c r="G226" t="s">
        <v>1047</v>
      </c>
      <c r="H226" s="267" t="s">
        <v>354</v>
      </c>
      <c r="I226" s="112" t="s">
        <v>625</v>
      </c>
      <c r="J226" s="220" t="s">
        <v>51</v>
      </c>
      <c r="K226" s="219" t="s">
        <v>14</v>
      </c>
      <c r="L226" s="112"/>
      <c r="M226" s="112"/>
      <c r="N226" s="112"/>
      <c r="O226" s="112"/>
      <c r="P226" s="220"/>
      <c r="Q226" t="s">
        <v>996</v>
      </c>
      <c r="R226" s="174">
        <v>211</v>
      </c>
      <c r="S226" s="156" t="s">
        <v>665</v>
      </c>
      <c r="T226" s="113"/>
      <c r="U226" s="7"/>
      <c r="V226" s="239"/>
      <c r="Y226" t="str">
        <f t="shared" si="44"/>
        <v>nb_doors</v>
      </c>
      <c r="Z226" t="str">
        <f t="shared" si="45"/>
        <v>integer</v>
      </c>
      <c r="AA226" t="str">
        <f t="shared" si="46"/>
        <v>scalaire</v>
      </c>
      <c r="AB226" t="str">
        <f t="shared" si="47"/>
        <v>Nombre de portes</v>
      </c>
      <c r="AC226" t="str">
        <f t="shared" si="36"/>
        <v>(-)</v>
      </c>
      <c r="AD226" s="279" t="str">
        <f t="shared" si="37"/>
        <v>variable: nb_doors integer input description= "Nombre de portes" units= "(-)"</v>
      </c>
      <c r="AE226" s="7" t="str">
        <f t="shared" si="38"/>
        <v>Y03.Mission.payload</v>
      </c>
      <c r="AF226" s="7" t="str">
        <f t="shared" si="39"/>
        <v/>
      </c>
      <c r="AG226" s="7" t="str">
        <f t="shared" si="40"/>
        <v/>
      </c>
      <c r="AH226" s="7" t="str">
        <f t="shared" si="41"/>
        <v/>
      </c>
      <c r="AI226" s="7" t="str">
        <f t="shared" si="42"/>
        <v/>
      </c>
      <c r="AJ226" s="7" t="str">
        <f t="shared" si="43"/>
        <v/>
      </c>
    </row>
    <row r="227" spans="2:36">
      <c r="B227" s="359"/>
      <c r="C227" s="356" t="s">
        <v>352</v>
      </c>
      <c r="D227" s="109" t="s">
        <v>182</v>
      </c>
      <c r="E227" s="110" t="s">
        <v>185</v>
      </c>
      <c r="F227" s="111" t="s">
        <v>8</v>
      </c>
      <c r="G227" t="s">
        <v>1030</v>
      </c>
      <c r="H227" s="267" t="s">
        <v>354</v>
      </c>
      <c r="I227" s="112" t="s">
        <v>13</v>
      </c>
      <c r="J227" s="220" t="s">
        <v>51</v>
      </c>
      <c r="K227" s="219" t="s">
        <v>88</v>
      </c>
      <c r="L227" s="112" t="s">
        <v>591</v>
      </c>
      <c r="M227" s="112" t="s">
        <v>592</v>
      </c>
      <c r="N227" s="112"/>
      <c r="O227" s="112"/>
      <c r="P227" s="220"/>
      <c r="Q227" t="s">
        <v>997</v>
      </c>
      <c r="R227" s="174">
        <v>212</v>
      </c>
      <c r="S227" s="156" t="s">
        <v>665</v>
      </c>
      <c r="T227" s="113"/>
      <c r="U227" s="7"/>
      <c r="V227" s="239"/>
      <c r="Y227" t="str">
        <f t="shared" si="44"/>
        <v>engine_sizing_mach</v>
      </c>
      <c r="Z227" t="str">
        <f t="shared" si="45"/>
        <v>double</v>
      </c>
      <c r="AA227" t="str">
        <f t="shared" si="46"/>
        <v>scalaire</v>
      </c>
      <c r="AB227" t="str">
        <f t="shared" si="47"/>
        <v>Mach au point de dimensionnement de la propulsion</v>
      </c>
      <c r="AC227" t="str">
        <f t="shared" si="36"/>
        <v>(-)</v>
      </c>
      <c r="AD227" s="279" t="str">
        <f t="shared" si="37"/>
        <v>variable: engine_sizing_mach double input description= "Mach au point de dimensionnement de la propulsion" units= "(-)"</v>
      </c>
      <c r="AE227" s="7" t="str">
        <f t="shared" si="38"/>
        <v>X1.Mission.propulsion_flight_point</v>
      </c>
      <c r="AF227" s="7" t="str">
        <f t="shared" si="39"/>
        <v>X2.Mission.propulsion_flight_point</v>
      </c>
      <c r="AG227" s="7" t="str">
        <f t="shared" si="40"/>
        <v>X4.Mission.propulsion_flight_point</v>
      </c>
      <c r="AH227" s="7" t="str">
        <f t="shared" si="41"/>
        <v/>
      </c>
      <c r="AI227" s="7" t="str">
        <f t="shared" si="42"/>
        <v/>
      </c>
      <c r="AJ227" s="7" t="str">
        <f t="shared" si="43"/>
        <v/>
      </c>
    </row>
    <row r="228" spans="2:36">
      <c r="B228" s="359"/>
      <c r="C228" s="345"/>
      <c r="D228" s="109" t="s">
        <v>183</v>
      </c>
      <c r="E228" s="110" t="s">
        <v>186</v>
      </c>
      <c r="F228" s="111" t="s">
        <v>8</v>
      </c>
      <c r="G228" t="s">
        <v>1030</v>
      </c>
      <c r="H228" s="267" t="s">
        <v>354</v>
      </c>
      <c r="I228" s="112" t="s">
        <v>13</v>
      </c>
      <c r="J228" s="220" t="s">
        <v>12</v>
      </c>
      <c r="K228" s="219" t="s">
        <v>88</v>
      </c>
      <c r="L228" s="112" t="s">
        <v>591</v>
      </c>
      <c r="M228" s="112" t="s">
        <v>592</v>
      </c>
      <c r="N228" s="112"/>
      <c r="O228" s="112"/>
      <c r="P228" s="220"/>
      <c r="Q228" t="s">
        <v>998</v>
      </c>
      <c r="R228" s="174">
        <v>213</v>
      </c>
      <c r="S228" s="156" t="s">
        <v>665</v>
      </c>
      <c r="T228" s="113"/>
      <c r="U228" s="7"/>
      <c r="V228" s="239"/>
      <c r="Y228" t="str">
        <f t="shared" si="44"/>
        <v>engine_sizing_altitude</v>
      </c>
      <c r="Z228" t="str">
        <f t="shared" si="45"/>
        <v>double</v>
      </c>
      <c r="AA228" t="str">
        <f t="shared" si="46"/>
        <v>scalaire</v>
      </c>
      <c r="AB228" t="str">
        <f t="shared" si="47"/>
        <v>Altitude au point de dimensionnement de la propulsion</v>
      </c>
      <c r="AC228" t="str">
        <f t="shared" si="36"/>
        <v>m</v>
      </c>
      <c r="AD228" s="279" t="str">
        <f t="shared" si="37"/>
        <v>variable: engine_sizing_altitude double input description= "Altitude au point de dimensionnement de la propulsion" units= "m"</v>
      </c>
      <c r="AE228" s="7" t="str">
        <f t="shared" si="38"/>
        <v>X1.Mission.propulsion_flight_point</v>
      </c>
      <c r="AF228" s="7" t="str">
        <f t="shared" si="39"/>
        <v>X2.Mission.propulsion_flight_point</v>
      </c>
      <c r="AG228" s="7" t="str">
        <f t="shared" si="40"/>
        <v>X4.Mission.propulsion_flight_point</v>
      </c>
      <c r="AH228" s="7" t="str">
        <f t="shared" si="41"/>
        <v/>
      </c>
      <c r="AI228" s="7" t="str">
        <f t="shared" si="42"/>
        <v/>
      </c>
      <c r="AJ228" s="7" t="str">
        <f t="shared" si="43"/>
        <v/>
      </c>
    </row>
    <row r="229" spans="2:36">
      <c r="B229" s="359"/>
      <c r="C229" s="345"/>
      <c r="D229" s="109" t="s">
        <v>181</v>
      </c>
      <c r="E229" s="110" t="s">
        <v>184</v>
      </c>
      <c r="F229" s="111" t="s">
        <v>8</v>
      </c>
      <c r="G229" t="s">
        <v>1030</v>
      </c>
      <c r="H229" s="267" t="s">
        <v>354</v>
      </c>
      <c r="I229" s="112" t="s">
        <v>13</v>
      </c>
      <c r="J229" s="220" t="s">
        <v>118</v>
      </c>
      <c r="K229" s="219" t="s">
        <v>160</v>
      </c>
      <c r="L229" s="112"/>
      <c r="M229" s="112"/>
      <c r="N229" s="112"/>
      <c r="O229" s="112"/>
      <c r="P229" s="220"/>
      <c r="Q229" t="s">
        <v>999</v>
      </c>
      <c r="R229" s="174">
        <v>214</v>
      </c>
      <c r="S229" s="156" t="s">
        <v>665</v>
      </c>
      <c r="T229" s="113"/>
      <c r="U229" s="7"/>
      <c r="V229" s="239"/>
      <c r="Y229" t="str">
        <f t="shared" si="44"/>
        <v>engine_sizing_thrust</v>
      </c>
      <c r="Z229" t="str">
        <f t="shared" si="45"/>
        <v>double</v>
      </c>
      <c r="AA229" t="str">
        <f t="shared" si="46"/>
        <v>scalaire</v>
      </c>
      <c r="AB229" t="str">
        <f t="shared" si="47"/>
        <v>Traînée au point de dimensionnement de la propulsion</v>
      </c>
      <c r="AC229" t="str">
        <f t="shared" si="36"/>
        <v>N</v>
      </c>
      <c r="AD229" s="279" t="str">
        <f t="shared" si="37"/>
        <v>variable: engine_sizing_thrust double input description= "Traînée au point de dimensionnement de la propulsion" units= "N"</v>
      </c>
      <c r="AE229" s="7" t="str">
        <f t="shared" si="38"/>
        <v>Y21.Mission.propulsion_flight_point</v>
      </c>
      <c r="AF229" s="7" t="str">
        <f t="shared" si="39"/>
        <v/>
      </c>
      <c r="AG229" s="7" t="str">
        <f t="shared" si="40"/>
        <v/>
      </c>
      <c r="AH229" s="7" t="str">
        <f t="shared" si="41"/>
        <v/>
      </c>
      <c r="AI229" s="7" t="str">
        <f t="shared" si="42"/>
        <v/>
      </c>
      <c r="AJ229" s="7" t="str">
        <f t="shared" si="43"/>
        <v/>
      </c>
    </row>
    <row r="230" spans="2:36">
      <c r="B230" s="359"/>
      <c r="C230" s="346"/>
      <c r="D230" s="109" t="s">
        <v>196</v>
      </c>
      <c r="E230" s="110" t="s">
        <v>197</v>
      </c>
      <c r="F230" s="111" t="s">
        <v>8</v>
      </c>
      <c r="G230" t="s">
        <v>1030</v>
      </c>
      <c r="H230" s="267" t="s">
        <v>354</v>
      </c>
      <c r="I230" s="112" t="s">
        <v>13</v>
      </c>
      <c r="J230" s="220" t="s">
        <v>51</v>
      </c>
      <c r="K230" s="219" t="s">
        <v>198</v>
      </c>
      <c r="L230" s="112"/>
      <c r="M230" s="112"/>
      <c r="N230" s="112"/>
      <c r="O230" s="112"/>
      <c r="P230" s="220"/>
      <c r="Q230" t="s">
        <v>1000</v>
      </c>
      <c r="R230" s="174">
        <v>215</v>
      </c>
      <c r="S230" s="156" t="s">
        <v>665</v>
      </c>
      <c r="T230" s="113"/>
      <c r="U230" s="7"/>
      <c r="V230" s="239"/>
      <c r="Y230" t="str">
        <f t="shared" si="44"/>
        <v>engine_sizing_Cz</v>
      </c>
      <c r="Z230" t="str">
        <f t="shared" si="45"/>
        <v>double</v>
      </c>
      <c r="AA230" t="str">
        <f t="shared" si="46"/>
        <v>scalaire</v>
      </c>
      <c r="AB230" t="str">
        <f t="shared" si="47"/>
        <v>Cz au point de dimensionnement de la propulsion</v>
      </c>
      <c r="AC230" t="str">
        <f t="shared" si="36"/>
        <v>(-)</v>
      </c>
      <c r="AD230" s="279" t="str">
        <f t="shared" si="37"/>
        <v>variable: engine_sizing_Cz double input description= "Cz au point de dimensionnement de la propulsion" units= "(-)"</v>
      </c>
      <c r="AE230" s="7" t="str">
        <f t="shared" si="38"/>
        <v>Y42.Mission.propulsion_flight_point</v>
      </c>
      <c r="AF230" s="7" t="str">
        <f t="shared" si="39"/>
        <v/>
      </c>
      <c r="AG230" s="7" t="str">
        <f t="shared" si="40"/>
        <v/>
      </c>
      <c r="AH230" s="7" t="str">
        <f t="shared" si="41"/>
        <v/>
      </c>
      <c r="AI230" s="7" t="str">
        <f t="shared" si="42"/>
        <v/>
      </c>
      <c r="AJ230" s="7" t="str">
        <f t="shared" si="43"/>
        <v/>
      </c>
    </row>
    <row r="231" spans="2:36">
      <c r="B231" s="359"/>
      <c r="C231" s="345" t="s">
        <v>353</v>
      </c>
      <c r="D231" s="109" t="s">
        <v>465</v>
      </c>
      <c r="E231" s="110" t="s">
        <v>95</v>
      </c>
      <c r="F231" s="111" t="s">
        <v>8</v>
      </c>
      <c r="G231" t="s">
        <v>1031</v>
      </c>
      <c r="H231" s="267" t="s">
        <v>354</v>
      </c>
      <c r="I231" s="112" t="s">
        <v>13</v>
      </c>
      <c r="J231" s="220" t="s">
        <v>12</v>
      </c>
      <c r="K231" s="219" t="s">
        <v>73</v>
      </c>
      <c r="L231" s="112"/>
      <c r="M231" s="112"/>
      <c r="N231" s="112"/>
      <c r="O231" s="112"/>
      <c r="P231" s="220"/>
      <c r="Q231" t="s">
        <v>1001</v>
      </c>
      <c r="R231" s="174">
        <v>216</v>
      </c>
      <c r="S231" s="156" t="s">
        <v>665</v>
      </c>
      <c r="T231" s="113"/>
      <c r="U231" s="7"/>
      <c r="V231" s="239"/>
      <c r="Y231" t="str">
        <f t="shared" si="44"/>
        <v>structural_design_altitude</v>
      </c>
      <c r="Z231" t="str">
        <f t="shared" si="45"/>
        <v>double</v>
      </c>
      <c r="AA231" t="str">
        <f t="shared" si="46"/>
        <v>scalaire</v>
      </c>
      <c r="AB231" t="str">
        <f t="shared" si="47"/>
        <v>Structural design altitude</v>
      </c>
      <c r="AC231" t="str">
        <f t="shared" si="36"/>
        <v>m</v>
      </c>
      <c r="AD231" s="279" t="str">
        <f t="shared" si="37"/>
        <v>variable: structural_design_altitude double input description= "Structural design altitude" units= "m"</v>
      </c>
      <c r="AE231" s="7" t="str">
        <f t="shared" si="38"/>
        <v>X3.Mission.structure_flight_point</v>
      </c>
      <c r="AF231" s="7" t="str">
        <f t="shared" si="39"/>
        <v/>
      </c>
      <c r="AG231" s="7" t="str">
        <f t="shared" si="40"/>
        <v/>
      </c>
      <c r="AH231" s="7" t="str">
        <f t="shared" si="41"/>
        <v/>
      </c>
      <c r="AI231" s="7" t="str">
        <f t="shared" si="42"/>
        <v/>
      </c>
      <c r="AJ231" s="7" t="str">
        <f t="shared" si="43"/>
        <v/>
      </c>
    </row>
    <row r="232" spans="2:36">
      <c r="B232" s="359"/>
      <c r="C232" s="345"/>
      <c r="D232" s="109" t="s">
        <v>466</v>
      </c>
      <c r="E232" s="110" t="s">
        <v>467</v>
      </c>
      <c r="F232" s="111" t="s">
        <v>8</v>
      </c>
      <c r="G232" t="s">
        <v>1031</v>
      </c>
      <c r="H232" s="267" t="s">
        <v>354</v>
      </c>
      <c r="I232" s="112" t="s">
        <v>13</v>
      </c>
      <c r="J232" s="220" t="s">
        <v>51</v>
      </c>
      <c r="K232" s="219" t="s">
        <v>92</v>
      </c>
      <c r="L232" s="112"/>
      <c r="M232" s="112"/>
      <c r="N232" s="112"/>
      <c r="O232" s="112"/>
      <c r="P232" s="220"/>
      <c r="Q232" t="s">
        <v>1002</v>
      </c>
      <c r="R232" s="174">
        <v>217</v>
      </c>
      <c r="S232" s="156" t="s">
        <v>665</v>
      </c>
      <c r="T232" s="113"/>
      <c r="U232" s="7"/>
      <c r="V232" s="239"/>
      <c r="Y232" t="str">
        <f t="shared" si="44"/>
        <v>cruise_mach</v>
      </c>
      <c r="Z232" t="str">
        <f t="shared" si="45"/>
        <v>double</v>
      </c>
      <c r="AA232" t="str">
        <f t="shared" si="46"/>
        <v>scalaire</v>
      </c>
      <c r="AB232" t="str">
        <f t="shared" si="47"/>
        <v>Mach de croisière</v>
      </c>
      <c r="AC232" t="str">
        <f t="shared" si="36"/>
        <v>(-)</v>
      </c>
      <c r="AD232" s="279" t="str">
        <f t="shared" si="37"/>
        <v>variable: cruise_mach double input description= "Mach de croisière" units= "(-)"</v>
      </c>
      <c r="AE232" s="7" t="str">
        <f t="shared" si="38"/>
        <v>Y43.Mission.structure_flight_point</v>
      </c>
      <c r="AF232" s="7" t="str">
        <f t="shared" si="39"/>
        <v/>
      </c>
      <c r="AG232" s="7" t="str">
        <f t="shared" si="40"/>
        <v/>
      </c>
      <c r="AH232" s="7" t="str">
        <f t="shared" si="41"/>
        <v/>
      </c>
      <c r="AI232" s="7" t="str">
        <f t="shared" si="42"/>
        <v/>
      </c>
      <c r="AJ232" s="7" t="str">
        <f t="shared" si="43"/>
        <v/>
      </c>
    </row>
    <row r="233" spans="2:36">
      <c r="B233" s="359"/>
      <c r="C233" s="345"/>
      <c r="D233" s="109" t="s">
        <v>97</v>
      </c>
      <c r="E233" s="110" t="s">
        <v>99</v>
      </c>
      <c r="F233" s="111" t="s">
        <v>8</v>
      </c>
      <c r="G233" t="s">
        <v>1031</v>
      </c>
      <c r="H233" s="267" t="s">
        <v>354</v>
      </c>
      <c r="I233" s="112" t="s">
        <v>13</v>
      </c>
      <c r="J233" s="220" t="s">
        <v>12</v>
      </c>
      <c r="K233" s="219" t="s">
        <v>92</v>
      </c>
      <c r="L233" s="112"/>
      <c r="M233" s="112"/>
      <c r="N233" s="112"/>
      <c r="O233" s="112"/>
      <c r="P233" s="220"/>
      <c r="Q233" t="s">
        <v>1003</v>
      </c>
      <c r="R233" s="174">
        <v>218</v>
      </c>
      <c r="S233" s="156" t="s">
        <v>665</v>
      </c>
      <c r="T233" s="113"/>
      <c r="U233" s="7"/>
      <c r="V233" s="239"/>
      <c r="Y233" t="str">
        <f t="shared" si="44"/>
        <v>end_of_climb_altitude</v>
      </c>
      <c r="Z233" t="str">
        <f t="shared" si="45"/>
        <v>double</v>
      </c>
      <c r="AA233" t="str">
        <f t="shared" si="46"/>
        <v>scalaire</v>
      </c>
      <c r="AB233" t="str">
        <f t="shared" si="47"/>
        <v>Altitude de fin de montée</v>
      </c>
      <c r="AC233" t="str">
        <f t="shared" si="36"/>
        <v>m</v>
      </c>
      <c r="AD233" s="279" t="str">
        <f t="shared" si="37"/>
        <v>variable: end_of_climb_altitude double input description= "Altitude de fin de montée" units= "m"</v>
      </c>
      <c r="AE233" s="7" t="str">
        <f t="shared" si="38"/>
        <v>Y43.Mission.structure_flight_point</v>
      </c>
      <c r="AF233" s="7" t="str">
        <f t="shared" si="39"/>
        <v/>
      </c>
      <c r="AG233" s="7" t="str">
        <f t="shared" si="40"/>
        <v/>
      </c>
      <c r="AH233" s="7" t="str">
        <f t="shared" si="41"/>
        <v/>
      </c>
      <c r="AI233" s="7" t="str">
        <f t="shared" si="42"/>
        <v/>
      </c>
      <c r="AJ233" s="7" t="str">
        <f t="shared" si="43"/>
        <v/>
      </c>
    </row>
    <row r="234" spans="2:36">
      <c r="B234" s="359"/>
      <c r="C234" s="345"/>
      <c r="D234" s="109" t="s">
        <v>98</v>
      </c>
      <c r="E234" s="110" t="s">
        <v>100</v>
      </c>
      <c r="F234" s="111" t="s">
        <v>8</v>
      </c>
      <c r="G234" t="s">
        <v>1031</v>
      </c>
      <c r="H234" s="267" t="s">
        <v>354</v>
      </c>
      <c r="I234" s="112" t="s">
        <v>13</v>
      </c>
      <c r="J234" s="220" t="s">
        <v>12</v>
      </c>
      <c r="K234" s="219" t="s">
        <v>92</v>
      </c>
      <c r="L234" s="112"/>
      <c r="M234" s="112"/>
      <c r="N234" s="112"/>
      <c r="O234" s="112"/>
      <c r="P234" s="220"/>
      <c r="Q234" t="s">
        <v>1004</v>
      </c>
      <c r="R234" s="174">
        <v>219</v>
      </c>
      <c r="S234" s="156" t="s">
        <v>665</v>
      </c>
      <c r="T234" s="113"/>
      <c r="U234" s="7"/>
      <c r="V234" s="239"/>
      <c r="Y234" t="str">
        <f t="shared" si="44"/>
        <v>cruise_altitude</v>
      </c>
      <c r="Z234" t="str">
        <f t="shared" si="45"/>
        <v>double</v>
      </c>
      <c r="AA234" t="str">
        <f t="shared" si="46"/>
        <v>scalaire</v>
      </c>
      <c r="AB234" t="str">
        <f t="shared" si="47"/>
        <v>Altitude de croisière</v>
      </c>
      <c r="AC234" t="str">
        <f t="shared" si="36"/>
        <v>m</v>
      </c>
      <c r="AD234" s="279" t="str">
        <f t="shared" si="37"/>
        <v>variable: cruise_altitude double input description= "Altitude de croisière" units= "m"</v>
      </c>
      <c r="AE234" s="7" t="str">
        <f t="shared" si="38"/>
        <v>Y43.Mission.structure_flight_point</v>
      </c>
      <c r="AF234" s="7" t="str">
        <f t="shared" si="39"/>
        <v/>
      </c>
      <c r="AG234" s="7" t="str">
        <f t="shared" si="40"/>
        <v/>
      </c>
      <c r="AH234" s="7" t="str">
        <f t="shared" si="41"/>
        <v/>
      </c>
      <c r="AI234" s="7" t="str">
        <f t="shared" si="42"/>
        <v/>
      </c>
      <c r="AJ234" s="7" t="str">
        <f t="shared" si="43"/>
        <v/>
      </c>
    </row>
    <row r="235" spans="2:36">
      <c r="B235" s="359"/>
      <c r="C235" s="346"/>
      <c r="D235" s="109" t="s">
        <v>106</v>
      </c>
      <c r="E235" s="110" t="s">
        <v>111</v>
      </c>
      <c r="F235" s="111" t="s">
        <v>8</v>
      </c>
      <c r="G235" t="s">
        <v>1031</v>
      </c>
      <c r="H235" s="267" t="s">
        <v>72</v>
      </c>
      <c r="I235" s="112" t="s">
        <v>638</v>
      </c>
      <c r="J235" s="220" t="s">
        <v>51</v>
      </c>
      <c r="K235" s="219" t="s">
        <v>17</v>
      </c>
      <c r="L235" s="112"/>
      <c r="M235" s="112"/>
      <c r="N235" s="112"/>
      <c r="O235" s="112"/>
      <c r="P235" s="220"/>
      <c r="Q235" t="s">
        <v>1005</v>
      </c>
      <c r="R235" s="174">
        <v>220</v>
      </c>
      <c r="S235" s="156" t="s">
        <v>665</v>
      </c>
      <c r="T235" s="113"/>
      <c r="U235" s="7"/>
      <c r="V235" s="239"/>
      <c r="Y235" t="str">
        <f t="shared" si="44"/>
        <v>charge_factor_load_case</v>
      </c>
      <c r="Z235" t="str">
        <f t="shared" si="45"/>
        <v>double[]</v>
      </c>
      <c r="AA235" t="str">
        <f t="shared" si="46"/>
        <v>table</v>
      </c>
      <c r="AB235" t="str">
        <f t="shared" si="47"/>
        <v>Facteurs de charge nz calculés pour le dimensionnement de la structure</v>
      </c>
      <c r="AC235" t="str">
        <f t="shared" si="36"/>
        <v>(-)</v>
      </c>
      <c r="AD235" s="279" t="str">
        <f t="shared" si="37"/>
        <v>variable: charge_factor_load_case double[] input description= "Facteurs de charge nz calculés pour le dimensionnement de la structure" units= "(-)"</v>
      </c>
      <c r="AE235" s="7" t="str">
        <f t="shared" si="38"/>
        <v>Y3x.Mission.structure_flight_point</v>
      </c>
      <c r="AF235" s="7" t="str">
        <f t="shared" si="39"/>
        <v/>
      </c>
      <c r="AG235" s="7" t="str">
        <f t="shared" si="40"/>
        <v/>
      </c>
      <c r="AH235" s="7" t="str">
        <f t="shared" si="41"/>
        <v/>
      </c>
      <c r="AI235" s="7" t="str">
        <f t="shared" si="42"/>
        <v/>
      </c>
      <c r="AJ235" s="7" t="str">
        <f t="shared" si="43"/>
        <v/>
      </c>
    </row>
    <row r="236" spans="2:36">
      <c r="B236" s="359"/>
      <c r="C236" s="347" t="s">
        <v>112</v>
      </c>
      <c r="D236" s="109" t="s">
        <v>8</v>
      </c>
      <c r="E236" s="110" t="s">
        <v>209</v>
      </c>
      <c r="F236" s="111" t="s">
        <v>8</v>
      </c>
      <c r="G236"/>
      <c r="H236" s="267" t="s">
        <v>72</v>
      </c>
      <c r="I236" s="112" t="s">
        <v>638</v>
      </c>
      <c r="J236" s="220" t="s">
        <v>51</v>
      </c>
      <c r="K236" s="219" t="s">
        <v>114</v>
      </c>
      <c r="L236" s="112"/>
      <c r="M236" s="112"/>
      <c r="N236" s="112"/>
      <c r="O236" s="112"/>
      <c r="P236" s="220"/>
      <c r="Q236" t="s">
        <v>1006</v>
      </c>
      <c r="R236" s="174">
        <v>221</v>
      </c>
      <c r="S236" s="156" t="s">
        <v>665</v>
      </c>
      <c r="T236" s="113"/>
      <c r="U236" s="7"/>
      <c r="V236" s="239"/>
      <c r="Y236" t="str">
        <f t="shared" si="44"/>
        <v>mission</v>
      </c>
      <c r="Z236" t="str">
        <f t="shared" si="45"/>
        <v>double[]</v>
      </c>
      <c r="AA236" t="str">
        <f t="shared" si="46"/>
        <v>table</v>
      </c>
      <c r="AB236" t="str">
        <f t="shared" si="47"/>
        <v>Descriptif de la mission opérationnelle</v>
      </c>
      <c r="AC236" t="str">
        <f t="shared" si="36"/>
        <v>(-)</v>
      </c>
      <c r="AD236" s="279" t="str">
        <f t="shared" si="37"/>
        <v>variable: mission double[] input description= "Descriptif de la mission opérationnelle" units= "(-)"</v>
      </c>
      <c r="AE236" s="7" t="str">
        <f t="shared" si="38"/>
        <v>X4.Mission</v>
      </c>
      <c r="AF236" s="7" t="str">
        <f t="shared" si="39"/>
        <v/>
      </c>
      <c r="AG236" s="7" t="str">
        <f t="shared" si="40"/>
        <v/>
      </c>
      <c r="AH236" s="7" t="str">
        <f t="shared" si="41"/>
        <v/>
      </c>
      <c r="AI236" s="7" t="str">
        <f t="shared" si="42"/>
        <v/>
      </c>
      <c r="AJ236" s="7" t="str">
        <f t="shared" si="43"/>
        <v/>
      </c>
    </row>
    <row r="237" spans="2:36">
      <c r="B237" s="359"/>
      <c r="C237" s="337"/>
      <c r="D237" s="109" t="s">
        <v>113</v>
      </c>
      <c r="E237" s="110" t="s">
        <v>210</v>
      </c>
      <c r="F237" s="111" t="s">
        <v>8</v>
      </c>
      <c r="G237"/>
      <c r="H237" s="267" t="s">
        <v>72</v>
      </c>
      <c r="I237" s="112" t="s">
        <v>638</v>
      </c>
      <c r="J237" s="220" t="s">
        <v>51</v>
      </c>
      <c r="K237" s="219" t="s">
        <v>114</v>
      </c>
      <c r="L237" s="112"/>
      <c r="M237" s="112"/>
      <c r="N237" s="112"/>
      <c r="O237" s="112"/>
      <c r="P237" s="220"/>
      <c r="Q237" t="s">
        <v>1007</v>
      </c>
      <c r="R237" s="174">
        <v>222</v>
      </c>
      <c r="S237" s="156" t="s">
        <v>665</v>
      </c>
      <c r="T237" s="113"/>
      <c r="U237" s="7"/>
      <c r="V237" s="239"/>
      <c r="Y237" t="str">
        <f t="shared" si="44"/>
        <v>mission_at_max_action_radius</v>
      </c>
      <c r="Z237" t="str">
        <f t="shared" si="45"/>
        <v>double[]</v>
      </c>
      <c r="AA237" t="str">
        <f t="shared" si="46"/>
        <v>table</v>
      </c>
      <c r="AB237" t="str">
        <f t="shared" si="47"/>
        <v>Descriptif de la mission de dimensionnement effectuée au rayon d'action maximal</v>
      </c>
      <c r="AC237" t="str">
        <f t="shared" si="36"/>
        <v>(-)</v>
      </c>
      <c r="AD237" s="279" t="str">
        <f t="shared" si="37"/>
        <v>variable: mission_at_max_action_radius double[] input description= "Descriptif de la mission de dimensionnement effectuée au rayon d'action maximal" units= "(-)"</v>
      </c>
      <c r="AE237" s="7" t="str">
        <f t="shared" si="38"/>
        <v>X4.Mission</v>
      </c>
      <c r="AF237" s="7" t="str">
        <f t="shared" si="39"/>
        <v/>
      </c>
      <c r="AG237" s="7" t="str">
        <f t="shared" si="40"/>
        <v/>
      </c>
      <c r="AH237" s="7" t="str">
        <f t="shared" si="41"/>
        <v/>
      </c>
      <c r="AI237" s="7" t="str">
        <f t="shared" si="42"/>
        <v/>
      </c>
      <c r="AJ237" s="7" t="str">
        <f t="shared" si="43"/>
        <v/>
      </c>
    </row>
    <row r="238" spans="2:36" ht="13.5" thickBot="1">
      <c r="B238" s="360"/>
      <c r="C238" s="348"/>
      <c r="D238" s="141" t="s">
        <v>115</v>
      </c>
      <c r="E238" s="142" t="s">
        <v>211</v>
      </c>
      <c r="F238" s="275" t="s">
        <v>8</v>
      </c>
      <c r="G238" s="292"/>
      <c r="H238" s="268" t="s">
        <v>72</v>
      </c>
      <c r="I238" s="126" t="s">
        <v>638</v>
      </c>
      <c r="J238" s="222" t="s">
        <v>51</v>
      </c>
      <c r="K238" s="221" t="s">
        <v>116</v>
      </c>
      <c r="L238" s="126"/>
      <c r="M238" s="126"/>
      <c r="N238" s="126"/>
      <c r="O238" s="126"/>
      <c r="P238" s="222"/>
      <c r="Q238" s="290" t="s">
        <v>1008</v>
      </c>
      <c r="R238" s="175">
        <v>223</v>
      </c>
      <c r="S238" s="157" t="s">
        <v>665</v>
      </c>
      <c r="T238" s="127"/>
      <c r="U238" s="7"/>
      <c r="V238" s="239"/>
      <c r="Y238" t="str">
        <f t="shared" si="44"/>
        <v>mission_state</v>
      </c>
      <c r="Z238" t="str">
        <f t="shared" si="45"/>
        <v>double[]</v>
      </c>
      <c r="AA238" t="str">
        <f t="shared" si="46"/>
        <v>table</v>
      </c>
      <c r="AB238" t="str">
        <f t="shared" si="47"/>
        <v>Vecteur d'état de l'avion sur la trajectoire sur la mission opérationnelle</v>
      </c>
      <c r="AC238" t="str">
        <f t="shared" si="36"/>
        <v>(-)</v>
      </c>
      <c r="AD238" s="279" t="str">
        <f t="shared" si="37"/>
        <v>variable: mission_state double[] input description= "Vecteur d'état de l'avion sur la trajectoire sur la mission opérationnelle" units= "(-)"</v>
      </c>
      <c r="AE238" s="7" t="str">
        <f t="shared" si="38"/>
        <v>Y4x.Mission</v>
      </c>
      <c r="AF238" s="7" t="str">
        <f t="shared" si="39"/>
        <v/>
      </c>
      <c r="AG238" s="7" t="str">
        <f t="shared" si="40"/>
        <v/>
      </c>
      <c r="AH238" s="7" t="str">
        <f t="shared" si="41"/>
        <v/>
      </c>
      <c r="AI238" s="7" t="str">
        <f t="shared" si="42"/>
        <v/>
      </c>
      <c r="AJ238" s="7" t="str">
        <f t="shared" si="43"/>
        <v/>
      </c>
    </row>
    <row r="239" spans="2:36" ht="13.5" thickBot="1">
      <c r="B239" s="118" t="s">
        <v>7</v>
      </c>
      <c r="C239" s="119" t="s">
        <v>108</v>
      </c>
      <c r="D239" s="120" t="s">
        <v>109</v>
      </c>
      <c r="E239" s="121" t="s">
        <v>110</v>
      </c>
      <c r="F239" s="138" t="s">
        <v>7</v>
      </c>
      <c r="G239" s="293"/>
      <c r="H239" s="269" t="s">
        <v>355</v>
      </c>
      <c r="I239" s="139" t="s">
        <v>355</v>
      </c>
      <c r="J239" s="224" t="s">
        <v>51</v>
      </c>
      <c r="K239" s="223" t="s">
        <v>17</v>
      </c>
      <c r="L239" s="139"/>
      <c r="M239" s="139"/>
      <c r="N239" s="139"/>
      <c r="O239" s="139"/>
      <c r="P239" s="224"/>
      <c r="Q239" s="291" t="s">
        <v>109</v>
      </c>
      <c r="R239" s="176">
        <v>224</v>
      </c>
      <c r="S239" s="158" t="s">
        <v>666</v>
      </c>
      <c r="T239" s="140"/>
      <c r="U239" s="7"/>
      <c r="V239" s="239"/>
      <c r="Y239" t="str">
        <f t="shared" si="44"/>
        <v>Mesh</v>
      </c>
      <c r="Z239" t="str">
        <f t="shared" si="45"/>
        <v>?</v>
      </c>
      <c r="AA239" t="str">
        <f t="shared" si="46"/>
        <v>?</v>
      </c>
      <c r="AB239" t="str">
        <f t="shared" si="47"/>
        <v>Maillage de la structure</v>
      </c>
      <c r="AC239" t="str">
        <f t="shared" si="36"/>
        <v>(-)</v>
      </c>
      <c r="AD239" s="279" t="str">
        <f t="shared" si="37"/>
        <v>#variable: Mesh ? input description= "Maillage de la structure" units= "(-)"</v>
      </c>
      <c r="AE239" s="7" t="str">
        <f t="shared" si="38"/>
        <v>Y3x.Structure</v>
      </c>
      <c r="AF239" s="7" t="str">
        <f t="shared" si="39"/>
        <v/>
      </c>
      <c r="AG239" s="7" t="str">
        <f t="shared" si="40"/>
        <v/>
      </c>
      <c r="AH239" s="7" t="str">
        <f t="shared" si="41"/>
        <v/>
      </c>
      <c r="AI239" s="7" t="str">
        <f t="shared" si="42"/>
        <v/>
      </c>
      <c r="AJ239" s="7" t="str">
        <f t="shared" si="43"/>
        <v/>
      </c>
    </row>
    <row r="240" spans="2:36">
      <c r="B240" s="353" t="s">
        <v>165</v>
      </c>
      <c r="C240" s="128" t="s">
        <v>202</v>
      </c>
      <c r="D240" s="129" t="s">
        <v>203</v>
      </c>
      <c r="E240" s="130" t="s">
        <v>202</v>
      </c>
      <c r="F240" t="s">
        <v>1054</v>
      </c>
      <c r="G240" t="s">
        <v>1032</v>
      </c>
      <c r="H240" s="270" t="s">
        <v>72</v>
      </c>
      <c r="I240" s="131" t="s">
        <v>638</v>
      </c>
      <c r="J240" s="226" t="s">
        <v>51</v>
      </c>
      <c r="K240" s="225" t="s">
        <v>204</v>
      </c>
      <c r="L240" s="131"/>
      <c r="M240" s="131"/>
      <c r="N240" s="131"/>
      <c r="O240" s="131"/>
      <c r="P240" s="226"/>
      <c r="Q240" t="s">
        <v>1009</v>
      </c>
      <c r="R240" s="177">
        <v>225</v>
      </c>
      <c r="S240" s="159" t="s">
        <v>665</v>
      </c>
      <c r="T240" s="132"/>
      <c r="U240" s="7"/>
      <c r="V240" s="239"/>
      <c r="Y240" t="str">
        <f t="shared" si="44"/>
        <v>flight_qualities_point_table</v>
      </c>
      <c r="Z240" t="str">
        <f t="shared" si="45"/>
        <v>double[]</v>
      </c>
      <c r="AA240" t="str">
        <f t="shared" si="46"/>
        <v>table</v>
      </c>
      <c r="AB240" t="str">
        <f t="shared" si="47"/>
        <v>Points de vol pour l'analyse des QdV</v>
      </c>
      <c r="AC240" t="str">
        <f t="shared" si="36"/>
        <v>(-)</v>
      </c>
      <c r="AD240" s="279" t="str">
        <f t="shared" si="37"/>
        <v>variable: flight_qualities_point_table double[] input description= "Points de vol pour l'analyse des QdV" units= "(-)"</v>
      </c>
      <c r="AE240" s="7" t="str">
        <f t="shared" si="38"/>
        <v>X5.Control.flight_points</v>
      </c>
      <c r="AF240" s="7" t="str">
        <f t="shared" si="39"/>
        <v/>
      </c>
      <c r="AG240" s="7" t="str">
        <f t="shared" si="40"/>
        <v/>
      </c>
      <c r="AH240" s="7" t="str">
        <f t="shared" si="41"/>
        <v/>
      </c>
      <c r="AI240" s="7" t="str">
        <f t="shared" si="42"/>
        <v/>
      </c>
      <c r="AJ240" s="7" t="str">
        <f t="shared" si="43"/>
        <v/>
      </c>
    </row>
    <row r="241" spans="2:36">
      <c r="B241" s="354"/>
      <c r="C241" s="342" t="s">
        <v>307</v>
      </c>
      <c r="D241" s="114" t="s">
        <v>334</v>
      </c>
      <c r="E241" s="115" t="s">
        <v>308</v>
      </c>
      <c r="F241" t="s">
        <v>1054</v>
      </c>
      <c r="G241" t="s">
        <v>1020</v>
      </c>
      <c r="H241" s="271" t="s">
        <v>354</v>
      </c>
      <c r="I241" s="116" t="s">
        <v>625</v>
      </c>
      <c r="J241" s="228" t="s">
        <v>51</v>
      </c>
      <c r="K241" s="227" t="s">
        <v>133</v>
      </c>
      <c r="L241" s="116" t="s">
        <v>575</v>
      </c>
      <c r="M241" s="116" t="s">
        <v>576</v>
      </c>
      <c r="N241" s="116"/>
      <c r="O241" s="116"/>
      <c r="P241" s="228"/>
      <c r="Q241" t="s">
        <v>1013</v>
      </c>
      <c r="R241" s="178">
        <v>226</v>
      </c>
      <c r="S241" s="160" t="s">
        <v>665</v>
      </c>
      <c r="T241" s="117"/>
      <c r="U241" s="7"/>
      <c r="V241" s="239"/>
      <c r="Y241" t="str">
        <f t="shared" si="44"/>
        <v>nb_rctrl_surface</v>
      </c>
      <c r="Z241" t="str">
        <f t="shared" si="45"/>
        <v>integer</v>
      </c>
      <c r="AA241" t="str">
        <f t="shared" si="46"/>
        <v>scalaire</v>
      </c>
      <c r="AB241" t="str">
        <f t="shared" si="47"/>
        <v>Nombre de gouvernes</v>
      </c>
      <c r="AC241" t="str">
        <f t="shared" si="36"/>
        <v>(-)</v>
      </c>
      <c r="AD241" s="279" t="str">
        <f t="shared" si="37"/>
        <v>variable: nb_rctrl_surface integer input description= "Nombre de gouvernes" units= "(-)"</v>
      </c>
      <c r="AE241" s="7" t="str">
        <f t="shared" si="38"/>
        <v>X0.Control.ctrl_surfaces</v>
      </c>
      <c r="AF241" s="7" t="str">
        <f t="shared" si="39"/>
        <v>Y02.Control.ctrl_surfaces</v>
      </c>
      <c r="AG241" s="7" t="str">
        <f t="shared" si="40"/>
        <v>Y03.Control.ctrl_surfaces</v>
      </c>
      <c r="AH241" s="7" t="str">
        <f t="shared" si="41"/>
        <v/>
      </c>
      <c r="AI241" s="7" t="str">
        <f t="shared" si="42"/>
        <v/>
      </c>
      <c r="AJ241" s="7" t="str">
        <f t="shared" si="43"/>
        <v/>
      </c>
    </row>
    <row r="242" spans="2:36">
      <c r="B242" s="354"/>
      <c r="C242" s="343"/>
      <c r="D242" s="114" t="s">
        <v>344</v>
      </c>
      <c r="E242" s="115" t="s">
        <v>309</v>
      </c>
      <c r="F242" t="s">
        <v>1054</v>
      </c>
      <c r="G242" t="s">
        <v>1020</v>
      </c>
      <c r="H242" s="271" t="s">
        <v>72</v>
      </c>
      <c r="I242" s="116" t="s">
        <v>638</v>
      </c>
      <c r="J242" s="228" t="s">
        <v>12</v>
      </c>
      <c r="K242" s="227" t="s">
        <v>133</v>
      </c>
      <c r="L242" s="116" t="s">
        <v>575</v>
      </c>
      <c r="M242" s="116" t="s">
        <v>576</v>
      </c>
      <c r="N242" s="116"/>
      <c r="O242" s="116"/>
      <c r="P242" s="228"/>
      <c r="Q242" t="s">
        <v>1012</v>
      </c>
      <c r="R242" s="178">
        <v>227</v>
      </c>
      <c r="S242" s="160" t="s">
        <v>665</v>
      </c>
      <c r="T242" s="117"/>
      <c r="U242" s="7"/>
      <c r="V242" s="239"/>
      <c r="Y242" t="str">
        <f t="shared" si="44"/>
        <v>ctrl_surface_chord</v>
      </c>
      <c r="Z242" t="str">
        <f t="shared" si="45"/>
        <v>double[]</v>
      </c>
      <c r="AA242" t="str">
        <f t="shared" si="46"/>
        <v>table</v>
      </c>
      <c r="AB242" t="str">
        <f t="shared" si="47"/>
        <v>Corde des gouvernes</v>
      </c>
      <c r="AC242" t="str">
        <f t="shared" si="36"/>
        <v>m</v>
      </c>
      <c r="AD242" s="279" t="str">
        <f t="shared" si="37"/>
        <v>variable: ctrl_surface_chord double[] input description= "Corde des gouvernes" units= "m"</v>
      </c>
      <c r="AE242" s="7" t="str">
        <f t="shared" si="38"/>
        <v>X0.Control.ctrl_surfaces</v>
      </c>
      <c r="AF242" s="7" t="str">
        <f t="shared" si="39"/>
        <v>Y02.Control.ctrl_surfaces</v>
      </c>
      <c r="AG242" s="7" t="str">
        <f t="shared" si="40"/>
        <v>Y03.Control.ctrl_surfaces</v>
      </c>
      <c r="AH242" s="7" t="str">
        <f t="shared" si="41"/>
        <v/>
      </c>
      <c r="AI242" s="7" t="str">
        <f t="shared" si="42"/>
        <v/>
      </c>
      <c r="AJ242" s="7" t="str">
        <f t="shared" si="43"/>
        <v/>
      </c>
    </row>
    <row r="243" spans="2:36">
      <c r="B243" s="354"/>
      <c r="C243" s="343"/>
      <c r="D243" s="114" t="s">
        <v>345</v>
      </c>
      <c r="E243" s="115" t="s">
        <v>310</v>
      </c>
      <c r="F243" t="s">
        <v>1054</v>
      </c>
      <c r="G243" t="s">
        <v>1020</v>
      </c>
      <c r="H243" s="271" t="s">
        <v>72</v>
      </c>
      <c r="I243" s="116" t="s">
        <v>638</v>
      </c>
      <c r="J243" s="228" t="s">
        <v>12</v>
      </c>
      <c r="K243" s="227" t="s">
        <v>428</v>
      </c>
      <c r="L243" s="116" t="s">
        <v>576</v>
      </c>
      <c r="M243" s="116"/>
      <c r="N243" s="116"/>
      <c r="O243" s="116"/>
      <c r="P243" s="228"/>
      <c r="Q243" t="s">
        <v>1014</v>
      </c>
      <c r="R243" s="178">
        <v>228</v>
      </c>
      <c r="S243" s="160" t="s">
        <v>665</v>
      </c>
      <c r="T243" s="117"/>
      <c r="U243" s="7"/>
      <c r="V243" s="239"/>
      <c r="Y243" t="str">
        <f t="shared" si="44"/>
        <v>ctrl_surface_root_pos_y</v>
      </c>
      <c r="Z243" t="str">
        <f t="shared" si="45"/>
        <v>double[]</v>
      </c>
      <c r="AA243" t="str">
        <f t="shared" si="46"/>
        <v>table</v>
      </c>
      <c r="AB243" t="str">
        <f t="shared" si="47"/>
        <v>Position latérale de l'emplanture des gouvernes</v>
      </c>
      <c r="AC243" t="str">
        <f t="shared" si="36"/>
        <v>m</v>
      </c>
      <c r="AD243" s="279" t="str">
        <f t="shared" si="37"/>
        <v>variable: ctrl_surface_root_pos_y double[] input description= "Position latérale de l'emplanture des gouvernes" units= "m"</v>
      </c>
      <c r="AE243" s="7" t="str">
        <f t="shared" si="38"/>
        <v>Y02.Control.ctrl_surfaces</v>
      </c>
      <c r="AF243" s="7" t="str">
        <f t="shared" si="39"/>
        <v>Y03.Control.ctrl_surfaces</v>
      </c>
      <c r="AG243" s="7" t="str">
        <f t="shared" si="40"/>
        <v/>
      </c>
      <c r="AH243" s="7" t="str">
        <f t="shared" si="41"/>
        <v/>
      </c>
      <c r="AI243" s="7" t="str">
        <f t="shared" si="42"/>
        <v/>
      </c>
      <c r="AJ243" s="7" t="str">
        <f t="shared" si="43"/>
        <v/>
      </c>
    </row>
    <row r="244" spans="2:36">
      <c r="B244" s="354"/>
      <c r="C244" s="343"/>
      <c r="D244" s="114" t="s">
        <v>346</v>
      </c>
      <c r="E244" s="115" t="s">
        <v>311</v>
      </c>
      <c r="F244" t="s">
        <v>1054</v>
      </c>
      <c r="G244" t="s">
        <v>1020</v>
      </c>
      <c r="H244" s="271" t="s">
        <v>72</v>
      </c>
      <c r="I244" s="116" t="s">
        <v>638</v>
      </c>
      <c r="J244" s="228" t="s">
        <v>12</v>
      </c>
      <c r="K244" s="227" t="s">
        <v>428</v>
      </c>
      <c r="L244" s="116" t="s">
        <v>576</v>
      </c>
      <c r="M244" s="116"/>
      <c r="N244" s="116"/>
      <c r="O244" s="116"/>
      <c r="P244" s="228"/>
      <c r="Q244" t="s">
        <v>1015</v>
      </c>
      <c r="R244" s="178">
        <v>229</v>
      </c>
      <c r="S244" s="160" t="s">
        <v>665</v>
      </c>
      <c r="T244" s="117"/>
      <c r="U244" s="7"/>
      <c r="V244" s="239"/>
      <c r="Y244" t="str">
        <f t="shared" si="44"/>
        <v>ctrl_surface_tip_pos_y</v>
      </c>
      <c r="Z244" t="str">
        <f t="shared" si="45"/>
        <v>double[]</v>
      </c>
      <c r="AA244" t="str">
        <f t="shared" si="46"/>
        <v>table</v>
      </c>
      <c r="AB244" t="str">
        <f t="shared" si="47"/>
        <v>Position latérale du saumon des gouvernes</v>
      </c>
      <c r="AC244" t="str">
        <f t="shared" si="36"/>
        <v>m</v>
      </c>
      <c r="AD244" s="279" t="str">
        <f t="shared" si="37"/>
        <v>variable: ctrl_surface_tip_pos_y double[] input description= "Position latérale du saumon des gouvernes" units= "m"</v>
      </c>
      <c r="AE244" s="7" t="str">
        <f t="shared" si="38"/>
        <v>Y02.Control.ctrl_surfaces</v>
      </c>
      <c r="AF244" s="7" t="str">
        <f t="shared" si="39"/>
        <v>Y03.Control.ctrl_surfaces</v>
      </c>
      <c r="AG244" s="7" t="str">
        <f t="shared" si="40"/>
        <v/>
      </c>
      <c r="AH244" s="7" t="str">
        <f t="shared" si="41"/>
        <v/>
      </c>
      <c r="AI244" s="7" t="str">
        <f t="shared" si="42"/>
        <v/>
      </c>
      <c r="AJ244" s="7" t="str">
        <f t="shared" si="43"/>
        <v/>
      </c>
    </row>
    <row r="245" spans="2:36">
      <c r="B245" s="354"/>
      <c r="C245" s="344"/>
      <c r="D245" s="114" t="s">
        <v>347</v>
      </c>
      <c r="E245" s="115" t="s">
        <v>312</v>
      </c>
      <c r="F245" t="s">
        <v>1054</v>
      </c>
      <c r="G245" t="s">
        <v>1020</v>
      </c>
      <c r="H245" s="271" t="s">
        <v>355</v>
      </c>
      <c r="I245" s="116" t="s">
        <v>355</v>
      </c>
      <c r="J245" s="228" t="s">
        <v>51</v>
      </c>
      <c r="K245" s="227" t="s">
        <v>204</v>
      </c>
      <c r="L245" s="116"/>
      <c r="M245" s="116"/>
      <c r="N245" s="116"/>
      <c r="O245" s="116"/>
      <c r="P245" s="228"/>
      <c r="Q245" t="s">
        <v>1016</v>
      </c>
      <c r="R245" s="178">
        <v>230</v>
      </c>
      <c r="S245" s="160" t="s">
        <v>666</v>
      </c>
      <c r="T245" s="117"/>
      <c r="U245" s="7"/>
      <c r="V245" s="239"/>
      <c r="Y245" t="str">
        <f t="shared" si="44"/>
        <v>ctrl_surface_role</v>
      </c>
      <c r="Z245" t="str">
        <f t="shared" si="45"/>
        <v>?</v>
      </c>
      <c r="AA245" t="str">
        <f t="shared" si="46"/>
        <v>?</v>
      </c>
      <c r="AB245" t="str">
        <f t="shared" si="47"/>
        <v>Affectation du rôle des gouvernes</v>
      </c>
      <c r="AC245" t="str">
        <f t="shared" si="36"/>
        <v>(-)</v>
      </c>
      <c r="AD245" s="279" t="str">
        <f t="shared" si="37"/>
        <v>#variable: ctrl_surface_role ? input description= "Affectation du rôle des gouvernes" units= "(-)"</v>
      </c>
      <c r="AE245" s="7" t="str">
        <f t="shared" si="38"/>
        <v>X5.Control.ctrl_surfaces</v>
      </c>
      <c r="AF245" s="7" t="str">
        <f t="shared" si="39"/>
        <v/>
      </c>
      <c r="AG245" s="7" t="str">
        <f t="shared" si="40"/>
        <v/>
      </c>
      <c r="AH245" s="7" t="str">
        <f t="shared" si="41"/>
        <v/>
      </c>
      <c r="AI245" s="7" t="str">
        <f t="shared" si="42"/>
        <v/>
      </c>
      <c r="AJ245" s="7" t="str">
        <f t="shared" si="43"/>
        <v/>
      </c>
    </row>
    <row r="246" spans="2:36">
      <c r="B246" s="354"/>
      <c r="C246" s="342" t="s">
        <v>315</v>
      </c>
      <c r="D246" s="114" t="s">
        <v>313</v>
      </c>
      <c r="E246" s="115" t="s">
        <v>316</v>
      </c>
      <c r="F246" t="s">
        <v>1054</v>
      </c>
      <c r="G246" t="s">
        <v>1019</v>
      </c>
      <c r="H246" s="271" t="s">
        <v>354</v>
      </c>
      <c r="I246" s="116" t="s">
        <v>13</v>
      </c>
      <c r="J246" s="228" t="s">
        <v>12</v>
      </c>
      <c r="K246" s="227" t="s">
        <v>133</v>
      </c>
      <c r="L246" s="116" t="s">
        <v>575</v>
      </c>
      <c r="M246" s="116" t="s">
        <v>576</v>
      </c>
      <c r="N246" s="116"/>
      <c r="O246" s="116"/>
      <c r="P246" s="228"/>
      <c r="Q246" t="s">
        <v>1010</v>
      </c>
      <c r="R246" s="178">
        <v>231</v>
      </c>
      <c r="S246" s="160" t="s">
        <v>665</v>
      </c>
      <c r="T246" s="117"/>
      <c r="U246" s="7"/>
      <c r="V246" s="239"/>
      <c r="Y246" t="str">
        <f t="shared" si="44"/>
        <v>rudder_chord</v>
      </c>
      <c r="Z246" t="str">
        <f t="shared" si="45"/>
        <v>double</v>
      </c>
      <c r="AA246" t="str">
        <f t="shared" si="46"/>
        <v>scalaire</v>
      </c>
      <c r="AB246" t="str">
        <f t="shared" si="47"/>
        <v>Corde de la gouverne de la surface verticale</v>
      </c>
      <c r="AC246" t="str">
        <f t="shared" si="36"/>
        <v>m</v>
      </c>
      <c r="AD246" s="279" t="str">
        <f t="shared" si="37"/>
        <v>variable: rudder_chord double input description= "Corde de la gouverne de la surface verticale" units= "m"</v>
      </c>
      <c r="AE246" s="7" t="str">
        <f t="shared" si="38"/>
        <v>X0.Control.rudder</v>
      </c>
      <c r="AF246" s="7" t="str">
        <f t="shared" si="39"/>
        <v>Y02.Control.rudder</v>
      </c>
      <c r="AG246" s="7" t="str">
        <f t="shared" si="40"/>
        <v>Y03.Control.rudder</v>
      </c>
      <c r="AH246" s="7" t="str">
        <f t="shared" si="41"/>
        <v/>
      </c>
      <c r="AI246" s="7" t="str">
        <f t="shared" si="42"/>
        <v/>
      </c>
      <c r="AJ246" s="7" t="str">
        <f t="shared" si="43"/>
        <v/>
      </c>
    </row>
    <row r="247" spans="2:36">
      <c r="B247" s="354"/>
      <c r="C247" s="344"/>
      <c r="D247" s="114" t="s">
        <v>314</v>
      </c>
      <c r="E247" s="115" t="s">
        <v>317</v>
      </c>
      <c r="F247" t="s">
        <v>1054</v>
      </c>
      <c r="G247" t="s">
        <v>1019</v>
      </c>
      <c r="H247" s="271" t="s">
        <v>355</v>
      </c>
      <c r="I247" s="116" t="s">
        <v>355</v>
      </c>
      <c r="J247" s="228" t="s">
        <v>51</v>
      </c>
      <c r="K247" s="227" t="s">
        <v>204</v>
      </c>
      <c r="L247" s="116"/>
      <c r="M247" s="116"/>
      <c r="N247" s="116"/>
      <c r="O247" s="116"/>
      <c r="P247" s="228"/>
      <c r="Q247" t="s">
        <v>1011</v>
      </c>
      <c r="R247" s="178">
        <v>232</v>
      </c>
      <c r="S247" s="160" t="s">
        <v>666</v>
      </c>
      <c r="T247" s="117"/>
      <c r="U247" s="7"/>
      <c r="V247" s="239"/>
      <c r="Y247" t="str">
        <f t="shared" si="44"/>
        <v>rudder_role</v>
      </c>
      <c r="Z247" t="str">
        <f t="shared" si="45"/>
        <v>?</v>
      </c>
      <c r="AA247" t="str">
        <f t="shared" si="46"/>
        <v>?</v>
      </c>
      <c r="AB247" t="str">
        <f t="shared" si="47"/>
        <v>Affectation du rôle de la gouverne de la surface verticale</v>
      </c>
      <c r="AC247" t="str">
        <f t="shared" si="36"/>
        <v>(-)</v>
      </c>
      <c r="AD247" s="279" t="str">
        <f t="shared" si="37"/>
        <v>#variable: rudder_role ? input description= "Affectation du rôle de la gouverne de la surface verticale" units= "(-)"</v>
      </c>
      <c r="AE247" s="7" t="str">
        <f t="shared" si="38"/>
        <v>X5.Control.rudder</v>
      </c>
      <c r="AF247" s="7" t="str">
        <f t="shared" si="39"/>
        <v/>
      </c>
      <c r="AG247" s="7" t="str">
        <f t="shared" si="40"/>
        <v/>
      </c>
      <c r="AH247" s="7" t="str">
        <f t="shared" si="41"/>
        <v/>
      </c>
      <c r="AI247" s="7" t="str">
        <f t="shared" si="42"/>
        <v/>
      </c>
      <c r="AJ247" s="7" t="str">
        <f t="shared" si="43"/>
        <v/>
      </c>
    </row>
    <row r="248" spans="2:36" ht="13.5" thickBot="1">
      <c r="B248" s="355"/>
      <c r="C248" s="133" t="s">
        <v>238</v>
      </c>
      <c r="D248" s="134" t="s">
        <v>239</v>
      </c>
      <c r="E248" s="135" t="s">
        <v>236</v>
      </c>
      <c r="F248" s="294" t="s">
        <v>1054</v>
      </c>
      <c r="G248" s="292" t="s">
        <v>1025</v>
      </c>
      <c r="H248" s="272" t="s">
        <v>72</v>
      </c>
      <c r="I248" s="136" t="s">
        <v>638</v>
      </c>
      <c r="J248" s="229" t="s">
        <v>51</v>
      </c>
      <c r="K248" s="238" t="s">
        <v>237</v>
      </c>
      <c r="L248" s="136"/>
      <c r="M248" s="136"/>
      <c r="N248" s="136"/>
      <c r="O248" s="136"/>
      <c r="P248" s="229"/>
      <c r="Q248" s="290" t="s">
        <v>1017</v>
      </c>
      <c r="R248" s="179">
        <v>233</v>
      </c>
      <c r="S248" s="161" t="s">
        <v>665</v>
      </c>
      <c r="T248" s="137"/>
      <c r="U248" s="7"/>
      <c r="V248" s="239"/>
      <c r="Y248" t="str">
        <f t="shared" si="44"/>
        <v>lambda_table</v>
      </c>
      <c r="Z248" t="str">
        <f t="shared" si="45"/>
        <v>double[]</v>
      </c>
      <c r="AA248" t="str">
        <f t="shared" si="46"/>
        <v>table</v>
      </c>
      <c r="AB248" t="str">
        <f t="shared" si="47"/>
        <v>Valeurs propres des modes avion</v>
      </c>
      <c r="AC248" t="str">
        <f t="shared" si="36"/>
        <v>(-)</v>
      </c>
      <c r="AD248" s="279" t="str">
        <f t="shared" si="37"/>
        <v>variable: lambda_table double[] input description= "Valeurs propres des modes avion" units= "(-)"</v>
      </c>
      <c r="AE248" s="7" t="str">
        <f t="shared" si="38"/>
        <v>Y5x.Control.modes</v>
      </c>
      <c r="AF248" s="7" t="str">
        <f t="shared" si="39"/>
        <v/>
      </c>
      <c r="AG248" s="7" t="str">
        <f t="shared" si="40"/>
        <v/>
      </c>
      <c r="AH248" s="7" t="str">
        <f t="shared" si="41"/>
        <v/>
      </c>
      <c r="AI248" s="7" t="str">
        <f t="shared" si="42"/>
        <v/>
      </c>
      <c r="AJ248" s="7" t="str">
        <f t="shared" si="43"/>
        <v/>
      </c>
    </row>
    <row r="254" spans="2:36" ht="15">
      <c r="B254" s="242"/>
      <c r="C254" s="77" t="s">
        <v>459</v>
      </c>
      <c r="D254" s="78" t="s">
        <v>459</v>
      </c>
      <c r="E254" s="79" t="s">
        <v>460</v>
      </c>
      <c r="F254" s="65" t="s">
        <v>573</v>
      </c>
      <c r="G254" s="180"/>
      <c r="H254" s="205" t="s">
        <v>72</v>
      </c>
      <c r="I254" s="81" t="s">
        <v>638</v>
      </c>
      <c r="J254" s="206" t="s">
        <v>51</v>
      </c>
      <c r="K254" s="205" t="s">
        <v>166</v>
      </c>
      <c r="L254" s="80"/>
      <c r="M254" s="80"/>
      <c r="N254" s="80"/>
      <c r="O254" s="80"/>
      <c r="P254" s="206"/>
      <c r="Q254" s="168" t="s">
        <v>459</v>
      </c>
      <c r="R254" s="282"/>
      <c r="S254" s="150"/>
      <c r="T254" s="68"/>
      <c r="U254" s="7"/>
      <c r="V254" s="239"/>
      <c r="AD254" s="241" t="str">
        <f>CONCATENATE("variable: ",Q254," ",I254," input","description=""",E254,""" units=""",J254,"""")</f>
        <v>variable: Cz double[] inputdescription="Cz aux points Tableaero" units="(-)"</v>
      </c>
    </row>
  </sheetData>
  <autoFilter ref="B15:S248"/>
  <dataConsolidate/>
  <mergeCells count="39">
    <mergeCell ref="B240:B248"/>
    <mergeCell ref="C227:C230"/>
    <mergeCell ref="C207:C208"/>
    <mergeCell ref="C246:C247"/>
    <mergeCell ref="B198:B214"/>
    <mergeCell ref="B215:B238"/>
    <mergeCell ref="C241:C245"/>
    <mergeCell ref="C231:C235"/>
    <mergeCell ref="C236:C238"/>
    <mergeCell ref="C212:C214"/>
    <mergeCell ref="C202:C203"/>
    <mergeCell ref="C205:C206"/>
    <mergeCell ref="C143:C159"/>
    <mergeCell ref="C16:C69"/>
    <mergeCell ref="C135:C139"/>
    <mergeCell ref="C160:C179"/>
    <mergeCell ref="C215:C226"/>
    <mergeCell ref="C198:C201"/>
    <mergeCell ref="C189:C191"/>
    <mergeCell ref="B6:C7"/>
    <mergeCell ref="C87:C99"/>
    <mergeCell ref="C100:C108"/>
    <mergeCell ref="B193:B197"/>
    <mergeCell ref="B16:B120"/>
    <mergeCell ref="C109:C114"/>
    <mergeCell ref="C115:C120"/>
    <mergeCell ref="C70:C83"/>
    <mergeCell ref="C84:C86"/>
    <mergeCell ref="C140:C142"/>
    <mergeCell ref="C130:C134"/>
    <mergeCell ref="C126:C129"/>
    <mergeCell ref="C180:C183"/>
    <mergeCell ref="V3:V32"/>
    <mergeCell ref="B160:B192"/>
    <mergeCell ref="B2:T2"/>
    <mergeCell ref="B3:T3"/>
    <mergeCell ref="E8:E12"/>
    <mergeCell ref="E6:E7"/>
    <mergeCell ref="B121:B159"/>
  </mergeCells>
  <phoneticPr fontId="0" type="noConversion"/>
  <dataValidations count="1">
    <dataValidation type="list" allowBlank="1" showInputMessage="1" showErrorMessage="1" sqref="G16:G248">
      <formula1>sousGroupesDisponibles</formula1>
    </dataValidation>
  </dataValidations>
  <pageMargins left="0.78740157480314965" right="0.78740157480314965" top="0.98425196850393704" bottom="0.98425196850393704" header="0.51181102362204722" footer="0.51181102362204722"/>
  <pageSetup scale="16" fitToHeight="4"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sheetPr codeName="Feuil3"/>
  <dimension ref="A1:E138"/>
  <sheetViews>
    <sheetView topLeftCell="A136" workbookViewId="0">
      <selection activeCell="F152" sqref="F152"/>
    </sheetView>
  </sheetViews>
  <sheetFormatPr defaultColWidth="11.42578125" defaultRowHeight="12.75"/>
  <cols>
    <col min="1" max="1" width="36.42578125" bestFit="1" customWidth="1"/>
    <col min="2" max="2" width="7.5703125" bestFit="1" customWidth="1"/>
    <col min="3" max="3" width="10.85546875" bestFit="1" customWidth="1"/>
    <col min="4" max="4" width="76.7109375" bestFit="1" customWidth="1"/>
  </cols>
  <sheetData>
    <row r="1" spans="1:5" ht="19.5" customHeight="1">
      <c r="A1" s="361" t="s">
        <v>685</v>
      </c>
      <c r="B1" s="361"/>
      <c r="C1" s="361"/>
      <c r="D1" s="361"/>
      <c r="E1" s="361"/>
    </row>
    <row r="2" spans="1:5">
      <c r="A2" s="361"/>
      <c r="B2" s="361"/>
      <c r="C2" s="361"/>
      <c r="D2" s="361"/>
      <c r="E2" s="361"/>
    </row>
    <row r="3" spans="1:5" ht="13.5" thickBot="1">
      <c r="A3" s="362"/>
      <c r="B3" s="362"/>
      <c r="C3" s="362"/>
      <c r="D3" s="362"/>
      <c r="E3" s="362"/>
    </row>
    <row r="4" spans="1:5" ht="13.5" thickTop="1">
      <c r="A4" s="285" t="s">
        <v>786</v>
      </c>
      <c r="B4" s="285" t="s">
        <v>700</v>
      </c>
      <c r="C4" s="285" t="s">
        <v>789</v>
      </c>
      <c r="D4" s="285" t="s">
        <v>699</v>
      </c>
      <c r="E4" t="s">
        <v>787</v>
      </c>
    </row>
    <row r="10" spans="1:5" ht="18" thickBot="1">
      <c r="A10" s="286" t="s">
        <v>702</v>
      </c>
      <c r="B10" s="286"/>
      <c r="C10" s="286"/>
      <c r="D10" s="286"/>
      <c r="E10" s="286"/>
    </row>
    <row r="11" spans="1:5" ht="13.5" thickTop="1">
      <c r="A11" t="s">
        <v>163</v>
      </c>
      <c r="B11" t="s">
        <v>13</v>
      </c>
      <c r="C11" t="s">
        <v>354</v>
      </c>
      <c r="D11" t="s">
        <v>164</v>
      </c>
      <c r="E11" t="s">
        <v>12</v>
      </c>
    </row>
    <row r="12" spans="1:5">
      <c r="A12" t="s">
        <v>134</v>
      </c>
      <c r="B12" t="s">
        <v>13</v>
      </c>
      <c r="C12" t="s">
        <v>354</v>
      </c>
      <c r="D12" t="s">
        <v>135</v>
      </c>
      <c r="E12" t="s">
        <v>51</v>
      </c>
    </row>
    <row r="13" spans="1:5">
      <c r="A13" t="s">
        <v>136</v>
      </c>
      <c r="B13" t="s">
        <v>13</v>
      </c>
      <c r="C13" t="s">
        <v>354</v>
      </c>
      <c r="D13" t="s">
        <v>137</v>
      </c>
      <c r="E13" t="s">
        <v>51</v>
      </c>
    </row>
    <row r="14" spans="1:5">
      <c r="A14" t="s">
        <v>138</v>
      </c>
      <c r="B14" t="s">
        <v>13</v>
      </c>
      <c r="C14" t="s">
        <v>354</v>
      </c>
      <c r="D14" t="s">
        <v>139</v>
      </c>
      <c r="E14" t="s">
        <v>42</v>
      </c>
    </row>
    <row r="15" spans="1:5">
      <c r="A15" t="s">
        <v>599</v>
      </c>
      <c r="B15" t="s">
        <v>13</v>
      </c>
      <c r="C15" t="s">
        <v>354</v>
      </c>
      <c r="D15" t="s">
        <v>554</v>
      </c>
      <c r="E15" t="s">
        <v>42</v>
      </c>
    </row>
    <row r="16" spans="1:5">
      <c r="A16" t="s">
        <v>140</v>
      </c>
      <c r="B16" t="s">
        <v>13</v>
      </c>
      <c r="C16" t="s">
        <v>354</v>
      </c>
      <c r="D16" t="s">
        <v>141</v>
      </c>
      <c r="E16" t="s">
        <v>42</v>
      </c>
    </row>
    <row r="17" spans="1:5">
      <c r="A17" t="s">
        <v>142</v>
      </c>
      <c r="B17" t="s">
        <v>13</v>
      </c>
      <c r="C17" t="s">
        <v>354</v>
      </c>
      <c r="D17" t="s">
        <v>143</v>
      </c>
      <c r="E17" t="s">
        <v>42</v>
      </c>
    </row>
    <row r="18" spans="1:5">
      <c r="A18" t="s">
        <v>600</v>
      </c>
      <c r="B18" t="s">
        <v>13</v>
      </c>
      <c r="C18" t="s">
        <v>354</v>
      </c>
      <c r="D18" t="s">
        <v>555</v>
      </c>
      <c r="E18" t="s">
        <v>42</v>
      </c>
    </row>
    <row r="19" spans="1:5">
      <c r="A19" t="s">
        <v>144</v>
      </c>
      <c r="B19" t="s">
        <v>13</v>
      </c>
      <c r="C19" t="s">
        <v>354</v>
      </c>
      <c r="D19" t="s">
        <v>78</v>
      </c>
      <c r="E19" t="s">
        <v>51</v>
      </c>
    </row>
    <row r="20" spans="1:5">
      <c r="A20" t="s">
        <v>603</v>
      </c>
      <c r="B20" t="s">
        <v>13</v>
      </c>
      <c r="C20" t="s">
        <v>354</v>
      </c>
      <c r="D20" t="s">
        <v>558</v>
      </c>
      <c r="E20" t="s">
        <v>51</v>
      </c>
    </row>
    <row r="21" spans="1:5">
      <c r="A21" t="s">
        <v>145</v>
      </c>
      <c r="B21" t="s">
        <v>13</v>
      </c>
      <c r="C21" t="s">
        <v>354</v>
      </c>
      <c r="D21" t="s">
        <v>79</v>
      </c>
      <c r="E21" t="s">
        <v>51</v>
      </c>
    </row>
    <row r="22" spans="1:5">
      <c r="A22" t="s">
        <v>146</v>
      </c>
      <c r="B22" t="s">
        <v>13</v>
      </c>
      <c r="C22" t="s">
        <v>354</v>
      </c>
      <c r="D22" t="s">
        <v>148</v>
      </c>
      <c r="E22" t="s">
        <v>51</v>
      </c>
    </row>
    <row r="23" spans="1:5">
      <c r="A23" t="s">
        <v>604</v>
      </c>
      <c r="B23" t="s">
        <v>13</v>
      </c>
      <c r="C23" t="s">
        <v>354</v>
      </c>
      <c r="D23" t="s">
        <v>559</v>
      </c>
      <c r="E23" t="s">
        <v>51</v>
      </c>
    </row>
    <row r="24" spans="1:5">
      <c r="A24" t="s">
        <v>147</v>
      </c>
      <c r="B24" t="s">
        <v>13</v>
      </c>
      <c r="C24" t="s">
        <v>354</v>
      </c>
      <c r="D24" t="s">
        <v>149</v>
      </c>
      <c r="E24" t="s">
        <v>51</v>
      </c>
    </row>
    <row r="25" spans="1:5">
      <c r="A25" t="s">
        <v>650</v>
      </c>
      <c r="B25" t="s">
        <v>13</v>
      </c>
      <c r="C25" t="s">
        <v>354</v>
      </c>
      <c r="D25" t="s">
        <v>363</v>
      </c>
      <c r="E25" t="s">
        <v>51</v>
      </c>
    </row>
    <row r="26" spans="1:5">
      <c r="A26" t="s">
        <v>651</v>
      </c>
      <c r="B26" t="s">
        <v>13</v>
      </c>
      <c r="C26" t="s">
        <v>354</v>
      </c>
      <c r="D26" t="s">
        <v>365</v>
      </c>
      <c r="E26" t="s">
        <v>51</v>
      </c>
    </row>
    <row r="27" spans="1:5">
      <c r="A27" t="s">
        <v>10</v>
      </c>
      <c r="B27" t="s">
        <v>13</v>
      </c>
      <c r="C27" t="s">
        <v>354</v>
      </c>
      <c r="D27" t="s">
        <v>376</v>
      </c>
      <c r="E27" t="s">
        <v>12</v>
      </c>
    </row>
    <row r="28" spans="1:5">
      <c r="A28" t="s">
        <v>608</v>
      </c>
      <c r="B28" t="s">
        <v>13</v>
      </c>
      <c r="C28" t="s">
        <v>354</v>
      </c>
      <c r="D28" t="s">
        <v>563</v>
      </c>
      <c r="E28" t="s">
        <v>12</v>
      </c>
    </row>
    <row r="29" spans="1:5">
      <c r="A29" t="s">
        <v>497</v>
      </c>
      <c r="B29" t="s">
        <v>13</v>
      </c>
      <c r="C29" t="s">
        <v>354</v>
      </c>
      <c r="D29" t="s">
        <v>510</v>
      </c>
      <c r="E29" t="s">
        <v>12</v>
      </c>
    </row>
    <row r="30" spans="1:5">
      <c r="A30" t="s">
        <v>498</v>
      </c>
      <c r="B30" t="s">
        <v>13</v>
      </c>
      <c r="C30" t="s">
        <v>354</v>
      </c>
      <c r="D30" t="s">
        <v>509</v>
      </c>
      <c r="E30" t="s">
        <v>12</v>
      </c>
    </row>
    <row r="31" spans="1:5">
      <c r="A31" t="s">
        <v>150</v>
      </c>
      <c r="B31" t="s">
        <v>13</v>
      </c>
      <c r="C31" t="s">
        <v>354</v>
      </c>
      <c r="D31" t="s">
        <v>151</v>
      </c>
      <c r="E31" t="s">
        <v>42</v>
      </c>
    </row>
    <row r="32" spans="1:5">
      <c r="A32" t="s">
        <v>152</v>
      </c>
      <c r="B32" t="s">
        <v>13</v>
      </c>
      <c r="C32" t="s">
        <v>354</v>
      </c>
      <c r="D32" t="s">
        <v>153</v>
      </c>
      <c r="E32" t="s">
        <v>12</v>
      </c>
    </row>
    <row r="33" spans="1:5">
      <c r="A33" t="s">
        <v>613</v>
      </c>
      <c r="B33" t="s">
        <v>13</v>
      </c>
      <c r="C33" t="s">
        <v>354</v>
      </c>
      <c r="D33" t="s">
        <v>567</v>
      </c>
      <c r="E33" t="s">
        <v>12</v>
      </c>
    </row>
    <row r="34" spans="1:5">
      <c r="A34" t="s">
        <v>154</v>
      </c>
      <c r="B34" t="s">
        <v>13</v>
      </c>
      <c r="C34" t="s">
        <v>354</v>
      </c>
      <c r="D34" t="s">
        <v>155</v>
      </c>
      <c r="E34" t="s">
        <v>12</v>
      </c>
    </row>
    <row r="35" spans="1:5">
      <c r="A35" t="s">
        <v>156</v>
      </c>
      <c r="B35" t="s">
        <v>13</v>
      </c>
      <c r="C35" t="s">
        <v>354</v>
      </c>
      <c r="D35" t="s">
        <v>157</v>
      </c>
      <c r="E35" t="s">
        <v>12</v>
      </c>
    </row>
    <row r="36" spans="1:5">
      <c r="A36" t="s">
        <v>161</v>
      </c>
      <c r="B36" t="s">
        <v>13</v>
      </c>
      <c r="C36" t="s">
        <v>354</v>
      </c>
      <c r="D36" t="s">
        <v>82</v>
      </c>
      <c r="E36" t="s">
        <v>12</v>
      </c>
    </row>
    <row r="38" spans="1:5" ht="18" thickBot="1">
      <c r="A38" s="286" t="s">
        <v>703</v>
      </c>
      <c r="B38" s="286"/>
      <c r="C38" s="286"/>
      <c r="D38" s="286"/>
      <c r="E38" s="286"/>
    </row>
    <row r="39" spans="1:5" ht="13.5" thickTop="1">
      <c r="A39" t="s">
        <v>366</v>
      </c>
      <c r="B39" t="s">
        <v>13</v>
      </c>
      <c r="C39" t="s">
        <v>354</v>
      </c>
      <c r="D39" t="s">
        <v>367</v>
      </c>
      <c r="E39" t="s">
        <v>12</v>
      </c>
    </row>
    <row r="40" spans="1:5">
      <c r="A40" t="s">
        <v>368</v>
      </c>
      <c r="B40" t="s">
        <v>13</v>
      </c>
      <c r="C40" t="s">
        <v>354</v>
      </c>
      <c r="D40" t="s">
        <v>369</v>
      </c>
      <c r="E40" t="s">
        <v>12</v>
      </c>
    </row>
    <row r="41" spans="1:5">
      <c r="A41" t="s">
        <v>605</v>
      </c>
      <c r="B41" t="s">
        <v>13</v>
      </c>
      <c r="C41" t="s">
        <v>354</v>
      </c>
      <c r="D41" t="s">
        <v>560</v>
      </c>
      <c r="E41" t="s">
        <v>12</v>
      </c>
    </row>
    <row r="42" spans="1:5">
      <c r="A42" t="s">
        <v>606</v>
      </c>
      <c r="B42" t="s">
        <v>13</v>
      </c>
      <c r="C42" t="s">
        <v>354</v>
      </c>
      <c r="D42" t="s">
        <v>561</v>
      </c>
      <c r="E42" t="s">
        <v>12</v>
      </c>
    </row>
    <row r="43" spans="1:5">
      <c r="A43" t="s">
        <v>370</v>
      </c>
      <c r="B43" t="s">
        <v>13</v>
      </c>
      <c r="C43" t="s">
        <v>354</v>
      </c>
      <c r="D43" t="s">
        <v>371</v>
      </c>
      <c r="E43" t="s">
        <v>12</v>
      </c>
    </row>
    <row r="44" spans="1:5">
      <c r="A44" t="s">
        <v>372</v>
      </c>
      <c r="B44" t="s">
        <v>13</v>
      </c>
      <c r="C44" t="s">
        <v>354</v>
      </c>
      <c r="D44" t="s">
        <v>373</v>
      </c>
      <c r="E44" t="s">
        <v>12</v>
      </c>
    </row>
    <row r="45" spans="1:5">
      <c r="A45" t="s">
        <v>15</v>
      </c>
      <c r="B45" t="s">
        <v>13</v>
      </c>
      <c r="C45" t="s">
        <v>354</v>
      </c>
      <c r="D45" t="s">
        <v>374</v>
      </c>
      <c r="E45" t="s">
        <v>12</v>
      </c>
    </row>
    <row r="46" spans="1:5">
      <c r="A46" t="s">
        <v>607</v>
      </c>
      <c r="B46" t="s">
        <v>13</v>
      </c>
      <c r="C46" t="s">
        <v>354</v>
      </c>
      <c r="D46" t="s">
        <v>562</v>
      </c>
      <c r="E46" t="s">
        <v>12</v>
      </c>
    </row>
    <row r="47" spans="1:5">
      <c r="A47" t="s">
        <v>16</v>
      </c>
      <c r="B47" t="s">
        <v>13</v>
      </c>
      <c r="C47" t="s">
        <v>354</v>
      </c>
      <c r="D47" t="s">
        <v>375</v>
      </c>
      <c r="E47" t="s">
        <v>12</v>
      </c>
    </row>
    <row r="49" spans="1:5" ht="18" thickBot="1">
      <c r="A49" s="286" t="s">
        <v>704</v>
      </c>
      <c r="B49" s="286"/>
      <c r="C49" s="286"/>
      <c r="D49" s="286"/>
      <c r="E49" s="286"/>
    </row>
    <row r="50" spans="1:5" ht="13.5" thickTop="1">
      <c r="A50" t="s">
        <v>85</v>
      </c>
      <c r="B50" t="s">
        <v>13</v>
      </c>
      <c r="C50" t="s">
        <v>354</v>
      </c>
      <c r="D50" t="s">
        <v>86</v>
      </c>
      <c r="E50" t="s">
        <v>12</v>
      </c>
    </row>
    <row r="51" spans="1:5">
      <c r="A51" t="s">
        <v>178</v>
      </c>
      <c r="B51" t="s">
        <v>13</v>
      </c>
      <c r="C51" t="s">
        <v>354</v>
      </c>
      <c r="D51" t="s">
        <v>87</v>
      </c>
      <c r="E51" t="s">
        <v>42</v>
      </c>
    </row>
    <row r="53" spans="1:5" ht="18" thickBot="1">
      <c r="A53" s="286" t="s">
        <v>705</v>
      </c>
      <c r="B53" s="286"/>
      <c r="C53" s="286"/>
      <c r="D53" s="286"/>
      <c r="E53" s="286"/>
    </row>
    <row r="54" spans="1:5" ht="13.5" thickTop="1">
      <c r="A54" t="s">
        <v>214</v>
      </c>
      <c r="B54" t="s">
        <v>13</v>
      </c>
      <c r="C54" t="s">
        <v>354</v>
      </c>
      <c r="D54" t="s">
        <v>213</v>
      </c>
      <c r="E54" t="s">
        <v>473</v>
      </c>
    </row>
    <row r="55" spans="1:5">
      <c r="A55" t="s">
        <v>215</v>
      </c>
      <c r="B55" t="s">
        <v>13</v>
      </c>
      <c r="C55" t="s">
        <v>354</v>
      </c>
      <c r="D55" t="s">
        <v>219</v>
      </c>
      <c r="E55" t="s">
        <v>51</v>
      </c>
    </row>
    <row r="56" spans="1:5">
      <c r="A56" t="s">
        <v>391</v>
      </c>
      <c r="B56" t="s">
        <v>13</v>
      </c>
      <c r="C56" t="s">
        <v>354</v>
      </c>
      <c r="D56" t="s">
        <v>216</v>
      </c>
      <c r="E56" t="s">
        <v>51</v>
      </c>
    </row>
    <row r="57" spans="1:5">
      <c r="A57" t="s">
        <v>217</v>
      </c>
      <c r="B57" t="s">
        <v>13</v>
      </c>
      <c r="C57" t="s">
        <v>354</v>
      </c>
      <c r="D57" t="s">
        <v>220</v>
      </c>
      <c r="E57" t="s">
        <v>42</v>
      </c>
    </row>
    <row r="58" spans="1:5">
      <c r="A58" t="s">
        <v>218</v>
      </c>
      <c r="B58" t="s">
        <v>13</v>
      </c>
      <c r="C58" t="s">
        <v>354</v>
      </c>
      <c r="D58" t="s">
        <v>221</v>
      </c>
      <c r="E58" t="s">
        <v>51</v>
      </c>
    </row>
    <row r="59" spans="1:5">
      <c r="A59" t="s">
        <v>225</v>
      </c>
      <c r="B59" t="s">
        <v>13</v>
      </c>
      <c r="C59" t="s">
        <v>354</v>
      </c>
      <c r="D59" t="s">
        <v>222</v>
      </c>
      <c r="E59" t="s">
        <v>12</v>
      </c>
    </row>
    <row r="60" spans="1:5">
      <c r="A60" t="s">
        <v>226</v>
      </c>
      <c r="B60" t="s">
        <v>13</v>
      </c>
      <c r="C60" t="s">
        <v>354</v>
      </c>
      <c r="D60" t="s">
        <v>223</v>
      </c>
      <c r="E60" t="s">
        <v>12</v>
      </c>
    </row>
    <row r="61" spans="1:5">
      <c r="A61" t="s">
        <v>227</v>
      </c>
      <c r="B61" t="s">
        <v>13</v>
      </c>
      <c r="C61" t="s">
        <v>354</v>
      </c>
      <c r="D61" t="s">
        <v>224</v>
      </c>
      <c r="E61" t="s">
        <v>12</v>
      </c>
    </row>
    <row r="62" spans="1:5">
      <c r="A62" t="s">
        <v>231</v>
      </c>
      <c r="B62" t="s">
        <v>13</v>
      </c>
      <c r="C62" t="s">
        <v>354</v>
      </c>
      <c r="D62" t="s">
        <v>230</v>
      </c>
      <c r="E62" t="s">
        <v>12</v>
      </c>
    </row>
    <row r="63" spans="1:5">
      <c r="A63" t="s">
        <v>228</v>
      </c>
      <c r="B63" t="s">
        <v>13</v>
      </c>
      <c r="C63" t="s">
        <v>354</v>
      </c>
      <c r="D63" t="s">
        <v>229</v>
      </c>
      <c r="E63" t="s">
        <v>42</v>
      </c>
    </row>
    <row r="65" spans="1:5" ht="18" thickBot="1">
      <c r="A65" s="286" t="s">
        <v>706</v>
      </c>
      <c r="B65" s="286"/>
      <c r="C65" s="286"/>
      <c r="D65" s="286"/>
      <c r="E65" s="286"/>
    </row>
    <row r="66" spans="1:5" ht="13.5" thickTop="1">
      <c r="A66" t="s">
        <v>52</v>
      </c>
      <c r="B66" t="s">
        <v>13</v>
      </c>
      <c r="C66" t="s">
        <v>354</v>
      </c>
      <c r="D66" t="s">
        <v>377</v>
      </c>
      <c r="E66" t="s">
        <v>12</v>
      </c>
    </row>
    <row r="67" spans="1:5">
      <c r="A67" t="s">
        <v>53</v>
      </c>
      <c r="B67" t="s">
        <v>13</v>
      </c>
      <c r="C67" t="s">
        <v>354</v>
      </c>
      <c r="D67" t="s">
        <v>378</v>
      </c>
      <c r="E67" t="s">
        <v>12</v>
      </c>
    </row>
    <row r="68" spans="1:5">
      <c r="A68" t="s">
        <v>379</v>
      </c>
      <c r="B68" t="s">
        <v>13</v>
      </c>
      <c r="C68" t="s">
        <v>354</v>
      </c>
      <c r="D68" t="s">
        <v>380</v>
      </c>
      <c r="E68" t="s">
        <v>12</v>
      </c>
    </row>
    <row r="69" spans="1:5">
      <c r="A69" t="s">
        <v>381</v>
      </c>
      <c r="B69" t="s">
        <v>13</v>
      </c>
      <c r="C69" t="s">
        <v>354</v>
      </c>
      <c r="D69" t="s">
        <v>382</v>
      </c>
      <c r="E69" t="s">
        <v>12</v>
      </c>
    </row>
    <row r="70" spans="1:5">
      <c r="A70" t="s">
        <v>383</v>
      </c>
      <c r="B70" t="s">
        <v>13</v>
      </c>
      <c r="C70" t="s">
        <v>354</v>
      </c>
      <c r="D70" t="s">
        <v>384</v>
      </c>
      <c r="E70" t="s">
        <v>12</v>
      </c>
    </row>
    <row r="71" spans="1:5">
      <c r="A71" t="s">
        <v>385</v>
      </c>
      <c r="B71" t="s">
        <v>13</v>
      </c>
      <c r="C71" t="s">
        <v>354</v>
      </c>
      <c r="D71" t="s">
        <v>386</v>
      </c>
      <c r="E71" t="s">
        <v>12</v>
      </c>
    </row>
    <row r="72" spans="1:5">
      <c r="A72" t="s">
        <v>652</v>
      </c>
      <c r="B72" t="s">
        <v>13</v>
      </c>
      <c r="C72" t="s">
        <v>354</v>
      </c>
      <c r="D72" t="s">
        <v>388</v>
      </c>
      <c r="E72" t="s">
        <v>12</v>
      </c>
    </row>
    <row r="73" spans="1:5">
      <c r="A73" t="s">
        <v>653</v>
      </c>
      <c r="B73" t="s">
        <v>13</v>
      </c>
      <c r="C73" t="s">
        <v>354</v>
      </c>
      <c r="D73" t="s">
        <v>390</v>
      </c>
      <c r="E73" t="s">
        <v>12</v>
      </c>
    </row>
    <row r="75" spans="1:5" ht="18" thickBot="1">
      <c r="A75" s="286" t="s">
        <v>707</v>
      </c>
      <c r="B75" s="286"/>
      <c r="C75" s="286"/>
      <c r="D75" s="286"/>
      <c r="E75" s="286"/>
    </row>
    <row r="76" spans="1:5" ht="13.5" thickTop="1">
      <c r="A76" t="s">
        <v>259</v>
      </c>
      <c r="B76" t="s">
        <v>13</v>
      </c>
      <c r="C76" t="s">
        <v>354</v>
      </c>
      <c r="D76" t="s">
        <v>254</v>
      </c>
      <c r="E76" t="s">
        <v>42</v>
      </c>
    </row>
    <row r="78" spans="1:5" ht="18" thickBot="1">
      <c r="A78" s="286" t="s">
        <v>708</v>
      </c>
      <c r="B78" s="286"/>
      <c r="C78" s="286"/>
      <c r="D78" s="286"/>
      <c r="E78" s="286"/>
    </row>
    <row r="79" spans="1:5" ht="13.5" thickTop="1">
      <c r="A79" t="s">
        <v>392</v>
      </c>
      <c r="B79" t="s">
        <v>13</v>
      </c>
      <c r="C79" t="s">
        <v>354</v>
      </c>
      <c r="D79" t="s">
        <v>393</v>
      </c>
      <c r="E79" t="s">
        <v>12</v>
      </c>
    </row>
    <row r="80" spans="1:5">
      <c r="A80" t="s">
        <v>394</v>
      </c>
      <c r="B80" t="s">
        <v>13</v>
      </c>
      <c r="C80" t="s">
        <v>354</v>
      </c>
      <c r="D80" t="s">
        <v>395</v>
      </c>
      <c r="E80" t="s">
        <v>12</v>
      </c>
    </row>
    <row r="81" spans="1:5">
      <c r="A81" t="s">
        <v>61</v>
      </c>
      <c r="B81" t="s">
        <v>13</v>
      </c>
      <c r="C81" t="s">
        <v>354</v>
      </c>
      <c r="D81" t="s">
        <v>396</v>
      </c>
      <c r="E81" t="s">
        <v>12</v>
      </c>
    </row>
    <row r="82" spans="1:5">
      <c r="A82" t="s">
        <v>401</v>
      </c>
      <c r="B82" t="s">
        <v>13</v>
      </c>
      <c r="C82" t="s">
        <v>354</v>
      </c>
      <c r="D82" t="s">
        <v>402</v>
      </c>
      <c r="E82" t="s">
        <v>12</v>
      </c>
    </row>
    <row r="83" spans="1:5">
      <c r="A83" t="s">
        <v>403</v>
      </c>
      <c r="B83" t="s">
        <v>13</v>
      </c>
      <c r="C83" t="s">
        <v>354</v>
      </c>
      <c r="D83" t="s">
        <v>404</v>
      </c>
      <c r="E83" t="s">
        <v>12</v>
      </c>
    </row>
    <row r="84" spans="1:5">
      <c r="A84" t="s">
        <v>247</v>
      </c>
      <c r="B84" t="s">
        <v>13</v>
      </c>
      <c r="C84" t="s">
        <v>354</v>
      </c>
      <c r="D84" t="s">
        <v>405</v>
      </c>
      <c r="E84" t="s">
        <v>12</v>
      </c>
    </row>
    <row r="86" spans="1:5" ht="18" thickBot="1">
      <c r="A86" s="286" t="s">
        <v>709</v>
      </c>
      <c r="B86" s="286"/>
      <c r="C86" s="286"/>
      <c r="D86" s="286"/>
      <c r="E86" s="286"/>
    </row>
    <row r="87" spans="1:5" ht="13.5" thickTop="1">
      <c r="A87" t="s">
        <v>70</v>
      </c>
      <c r="B87" t="s">
        <v>13</v>
      </c>
      <c r="C87" t="s">
        <v>354</v>
      </c>
      <c r="D87" t="s">
        <v>406</v>
      </c>
      <c r="E87" t="s">
        <v>12</v>
      </c>
    </row>
    <row r="88" spans="1:5">
      <c r="A88" t="s">
        <v>407</v>
      </c>
      <c r="B88" t="s">
        <v>13</v>
      </c>
      <c r="C88" t="s">
        <v>354</v>
      </c>
      <c r="D88" t="s">
        <v>408</v>
      </c>
      <c r="E88" t="s">
        <v>12</v>
      </c>
    </row>
    <row r="89" spans="1:5">
      <c r="A89" t="s">
        <v>409</v>
      </c>
      <c r="B89" t="s">
        <v>13</v>
      </c>
      <c r="C89" t="s">
        <v>354</v>
      </c>
      <c r="D89" t="s">
        <v>410</v>
      </c>
      <c r="E89" t="s">
        <v>12</v>
      </c>
    </row>
    <row r="91" spans="1:5" ht="18" thickBot="1">
      <c r="A91" s="286" t="s">
        <v>710</v>
      </c>
      <c r="B91" s="286"/>
      <c r="C91" s="286"/>
      <c r="D91" s="286"/>
      <c r="E91" s="286"/>
    </row>
    <row r="92" spans="1:5" ht="13.5" thickTop="1">
      <c r="A92" t="s">
        <v>49</v>
      </c>
      <c r="B92" t="s">
        <v>625</v>
      </c>
      <c r="C92" t="s">
        <v>354</v>
      </c>
      <c r="D92" t="s">
        <v>50</v>
      </c>
      <c r="E92" t="s">
        <v>51</v>
      </c>
    </row>
    <row r="94" spans="1:5" ht="18" thickBot="1">
      <c r="A94" s="286" t="s">
        <v>711</v>
      </c>
      <c r="B94" s="286"/>
      <c r="C94" s="286"/>
      <c r="D94" s="286"/>
      <c r="E94" s="286"/>
    </row>
    <row r="95" spans="1:5" ht="13.5" thickTop="1">
      <c r="A95" t="s">
        <v>264</v>
      </c>
      <c r="B95" t="s">
        <v>638</v>
      </c>
      <c r="C95" t="s">
        <v>72</v>
      </c>
      <c r="D95" t="s">
        <v>263</v>
      </c>
      <c r="E95" t="s">
        <v>51</v>
      </c>
    </row>
    <row r="96" spans="1:5">
      <c r="A96" t="s">
        <v>265</v>
      </c>
      <c r="B96" t="s">
        <v>638</v>
      </c>
      <c r="C96" t="s">
        <v>72</v>
      </c>
      <c r="D96" t="s">
        <v>274</v>
      </c>
      <c r="E96" t="s">
        <v>51</v>
      </c>
    </row>
    <row r="97" spans="1:5">
      <c r="A97" t="s">
        <v>616</v>
      </c>
      <c r="B97" t="s">
        <v>638</v>
      </c>
      <c r="C97" t="s">
        <v>72</v>
      </c>
      <c r="D97" t="s">
        <v>543</v>
      </c>
      <c r="E97" t="s">
        <v>51</v>
      </c>
    </row>
    <row r="98" spans="1:5">
      <c r="A98" t="s">
        <v>617</v>
      </c>
      <c r="B98" t="s">
        <v>638</v>
      </c>
      <c r="C98" t="s">
        <v>72</v>
      </c>
      <c r="D98" t="s">
        <v>544</v>
      </c>
      <c r="E98" t="s">
        <v>51</v>
      </c>
    </row>
    <row r="99" spans="1:5">
      <c r="A99" t="s">
        <v>266</v>
      </c>
      <c r="B99" t="s">
        <v>638</v>
      </c>
      <c r="C99" t="s">
        <v>72</v>
      </c>
      <c r="D99" t="s">
        <v>275</v>
      </c>
      <c r="E99" t="s">
        <v>51</v>
      </c>
    </row>
    <row r="100" spans="1:5">
      <c r="A100" t="s">
        <v>267</v>
      </c>
      <c r="B100" t="s">
        <v>638</v>
      </c>
      <c r="C100" t="s">
        <v>72</v>
      </c>
      <c r="D100" t="s">
        <v>276</v>
      </c>
      <c r="E100" t="s">
        <v>51</v>
      </c>
    </row>
    <row r="101" spans="1:5">
      <c r="A101" t="s">
        <v>268</v>
      </c>
      <c r="B101" t="s">
        <v>638</v>
      </c>
      <c r="C101" t="s">
        <v>72</v>
      </c>
      <c r="D101" t="s">
        <v>277</v>
      </c>
      <c r="E101" t="s">
        <v>51</v>
      </c>
    </row>
    <row r="102" spans="1:5">
      <c r="A102" t="s">
        <v>269</v>
      </c>
      <c r="B102" t="s">
        <v>638</v>
      </c>
      <c r="C102" t="s">
        <v>72</v>
      </c>
      <c r="D102" t="s">
        <v>278</v>
      </c>
      <c r="E102" t="s">
        <v>51</v>
      </c>
    </row>
    <row r="103" spans="1:5">
      <c r="A103" t="s">
        <v>618</v>
      </c>
      <c r="B103" t="s">
        <v>638</v>
      </c>
      <c r="C103" t="s">
        <v>72</v>
      </c>
      <c r="D103" t="s">
        <v>504</v>
      </c>
      <c r="E103" t="s">
        <v>51</v>
      </c>
    </row>
    <row r="104" spans="1:5">
      <c r="A104" t="s">
        <v>619</v>
      </c>
      <c r="B104" t="s">
        <v>638</v>
      </c>
      <c r="C104" t="s">
        <v>72</v>
      </c>
      <c r="D104" t="s">
        <v>505</v>
      </c>
      <c r="E104" t="s">
        <v>51</v>
      </c>
    </row>
    <row r="105" spans="1:5">
      <c r="A105" t="s">
        <v>270</v>
      </c>
      <c r="B105" t="s">
        <v>638</v>
      </c>
      <c r="C105" t="s">
        <v>72</v>
      </c>
      <c r="D105" t="s">
        <v>279</v>
      </c>
      <c r="E105" t="s">
        <v>51</v>
      </c>
    </row>
    <row r="106" spans="1:5">
      <c r="A106" t="s">
        <v>271</v>
      </c>
      <c r="B106" t="s">
        <v>638</v>
      </c>
      <c r="C106" t="s">
        <v>72</v>
      </c>
      <c r="D106" t="s">
        <v>280</v>
      </c>
      <c r="E106" t="s">
        <v>51</v>
      </c>
    </row>
    <row r="107" spans="1:5">
      <c r="A107" t="s">
        <v>411</v>
      </c>
      <c r="B107" t="s">
        <v>638</v>
      </c>
      <c r="C107" t="s">
        <v>72</v>
      </c>
      <c r="D107" t="s">
        <v>412</v>
      </c>
      <c r="E107" t="s">
        <v>51</v>
      </c>
    </row>
    <row r="108" spans="1:5">
      <c r="A108" t="s">
        <v>413</v>
      </c>
      <c r="B108" t="s">
        <v>638</v>
      </c>
      <c r="C108" t="s">
        <v>72</v>
      </c>
      <c r="D108" t="s">
        <v>414</v>
      </c>
      <c r="E108" t="s">
        <v>51</v>
      </c>
    </row>
    <row r="109" spans="1:5">
      <c r="A109" t="s">
        <v>415</v>
      </c>
      <c r="B109" t="s">
        <v>638</v>
      </c>
      <c r="C109" t="s">
        <v>72</v>
      </c>
      <c r="D109" t="s">
        <v>416</v>
      </c>
      <c r="E109" t="s">
        <v>51</v>
      </c>
    </row>
    <row r="110" spans="1:5">
      <c r="A110" t="s">
        <v>417</v>
      </c>
      <c r="B110" t="s">
        <v>638</v>
      </c>
      <c r="C110" t="s">
        <v>72</v>
      </c>
      <c r="D110" t="s">
        <v>418</v>
      </c>
      <c r="E110" t="s">
        <v>51</v>
      </c>
    </row>
    <row r="111" spans="1:5">
      <c r="A111" t="s">
        <v>272</v>
      </c>
      <c r="B111" t="s">
        <v>638</v>
      </c>
      <c r="C111" t="s">
        <v>72</v>
      </c>
      <c r="D111" t="s">
        <v>281</v>
      </c>
      <c r="E111" t="s">
        <v>51</v>
      </c>
    </row>
    <row r="112" spans="1:5">
      <c r="A112" t="s">
        <v>273</v>
      </c>
      <c r="B112" t="s">
        <v>638</v>
      </c>
      <c r="C112" t="s">
        <v>72</v>
      </c>
      <c r="D112" t="s">
        <v>282</v>
      </c>
      <c r="E112" t="s">
        <v>51</v>
      </c>
    </row>
    <row r="114" spans="1:5" ht="18" thickBot="1">
      <c r="A114" s="286" t="s">
        <v>712</v>
      </c>
      <c r="B114" s="286"/>
      <c r="C114" s="286"/>
      <c r="D114" s="286"/>
      <c r="E114" s="286"/>
    </row>
    <row r="115" spans="1:5" ht="13.5" thickTop="1">
      <c r="A115" t="s">
        <v>299</v>
      </c>
      <c r="B115" t="s">
        <v>638</v>
      </c>
      <c r="C115" t="s">
        <v>72</v>
      </c>
      <c r="D115" t="s">
        <v>300</v>
      </c>
      <c r="E115" t="s">
        <v>12</v>
      </c>
    </row>
    <row r="117" spans="1:5" ht="18" thickBot="1">
      <c r="A117" s="286" t="s">
        <v>713</v>
      </c>
      <c r="B117" s="286"/>
      <c r="C117" s="286"/>
      <c r="D117" s="286"/>
      <c r="E117" s="286"/>
    </row>
    <row r="118" spans="1:5" ht="13.5" thickTop="1">
      <c r="A118" t="s">
        <v>397</v>
      </c>
      <c r="B118" t="s">
        <v>638</v>
      </c>
      <c r="C118" t="s">
        <v>72</v>
      </c>
      <c r="D118" t="s">
        <v>398</v>
      </c>
      <c r="E118" t="s">
        <v>12</v>
      </c>
    </row>
    <row r="119" spans="1:5">
      <c r="A119" t="s">
        <v>399</v>
      </c>
      <c r="B119" t="s">
        <v>638</v>
      </c>
      <c r="C119" t="s">
        <v>72</v>
      </c>
      <c r="D119" t="s">
        <v>400</v>
      </c>
      <c r="E119" t="s">
        <v>12</v>
      </c>
    </row>
    <row r="121" spans="1:5" ht="18" thickBot="1">
      <c r="A121" s="286" t="s">
        <v>714</v>
      </c>
      <c r="B121" s="286"/>
      <c r="C121" s="286"/>
      <c r="D121" s="286"/>
      <c r="E121" s="286"/>
    </row>
    <row r="122" spans="1:5" ht="13.5" thickTop="1">
      <c r="A122" t="s">
        <v>356</v>
      </c>
      <c r="B122" t="s">
        <v>638</v>
      </c>
      <c r="C122" t="s">
        <v>72</v>
      </c>
      <c r="D122" t="s">
        <v>359</v>
      </c>
      <c r="E122" t="s">
        <v>12</v>
      </c>
    </row>
    <row r="123" spans="1:5">
      <c r="A123" t="s">
        <v>357</v>
      </c>
      <c r="B123" t="s">
        <v>638</v>
      </c>
      <c r="C123" t="s">
        <v>72</v>
      </c>
      <c r="D123" t="s">
        <v>360</v>
      </c>
      <c r="E123" t="s">
        <v>12</v>
      </c>
    </row>
    <row r="125" spans="1:5" ht="18" thickBot="1">
      <c r="A125" s="286" t="s">
        <v>715</v>
      </c>
      <c r="B125" s="286"/>
      <c r="C125" s="286"/>
      <c r="D125" s="286"/>
      <c r="E125" s="286"/>
    </row>
    <row r="126" spans="1:5" ht="13.5" thickTop="1">
      <c r="A126" t="s">
        <v>168</v>
      </c>
      <c r="B126" t="s">
        <v>625</v>
      </c>
      <c r="C126" t="s">
        <v>354</v>
      </c>
      <c r="D126" t="s">
        <v>172</v>
      </c>
      <c r="E126" t="s">
        <v>51</v>
      </c>
    </row>
    <row r="127" spans="1:5">
      <c r="A127" t="s">
        <v>329</v>
      </c>
      <c r="B127" t="s">
        <v>625</v>
      </c>
      <c r="C127" t="s">
        <v>354</v>
      </c>
      <c r="D127" t="s">
        <v>173</v>
      </c>
      <c r="E127" t="s">
        <v>51</v>
      </c>
    </row>
    <row r="128" spans="1:5">
      <c r="A128" t="s">
        <v>169</v>
      </c>
      <c r="B128" t="s">
        <v>13</v>
      </c>
      <c r="C128" t="s">
        <v>354</v>
      </c>
      <c r="D128" t="s">
        <v>174</v>
      </c>
      <c r="E128" t="s">
        <v>474</v>
      </c>
    </row>
    <row r="129" spans="1:5">
      <c r="A129" t="s">
        <v>171</v>
      </c>
      <c r="B129" t="s">
        <v>13</v>
      </c>
      <c r="C129" t="s">
        <v>354</v>
      </c>
      <c r="D129" t="s">
        <v>177</v>
      </c>
      <c r="E129" t="s">
        <v>474</v>
      </c>
    </row>
    <row r="130" spans="1:5">
      <c r="A130" t="s">
        <v>170</v>
      </c>
      <c r="B130" t="s">
        <v>625</v>
      </c>
      <c r="C130" t="s">
        <v>354</v>
      </c>
      <c r="D130" t="s">
        <v>175</v>
      </c>
      <c r="E130" t="s">
        <v>51</v>
      </c>
    </row>
    <row r="131" spans="1:5">
      <c r="A131" t="s">
        <v>330</v>
      </c>
      <c r="B131" t="s">
        <v>625</v>
      </c>
      <c r="C131" t="s">
        <v>354</v>
      </c>
      <c r="D131" t="s">
        <v>176</v>
      </c>
      <c r="E131" t="s">
        <v>51</v>
      </c>
    </row>
    <row r="133" spans="1:5" ht="18" thickBot="1">
      <c r="A133" s="286" t="s">
        <v>716</v>
      </c>
      <c r="B133" s="286"/>
      <c r="C133" s="286"/>
      <c r="D133" s="286"/>
      <c r="E133" s="286"/>
    </row>
    <row r="134" spans="1:5" ht="13.5" thickTop="1">
      <c r="A134" t="s">
        <v>334</v>
      </c>
      <c r="B134" t="s">
        <v>625</v>
      </c>
      <c r="C134" t="s">
        <v>354</v>
      </c>
      <c r="D134" t="s">
        <v>308</v>
      </c>
      <c r="E134" t="s">
        <v>51</v>
      </c>
    </row>
    <row r="135" spans="1:5">
      <c r="A135" t="s">
        <v>344</v>
      </c>
      <c r="B135" t="s">
        <v>638</v>
      </c>
      <c r="C135" t="s">
        <v>72</v>
      </c>
      <c r="D135" t="s">
        <v>309</v>
      </c>
      <c r="E135" t="s">
        <v>12</v>
      </c>
    </row>
    <row r="137" spans="1:5" ht="18" thickBot="1">
      <c r="A137" s="286" t="s">
        <v>717</v>
      </c>
      <c r="B137" s="286"/>
      <c r="C137" s="286"/>
      <c r="D137" s="286"/>
      <c r="E137" s="286"/>
    </row>
    <row r="138" spans="1:5" ht="13.5" thickTop="1">
      <c r="A138" t="s">
        <v>313</v>
      </c>
      <c r="B138" t="s">
        <v>13</v>
      </c>
      <c r="C138" t="s">
        <v>354</v>
      </c>
      <c r="D138" t="s">
        <v>316</v>
      </c>
      <c r="E138" t="s">
        <v>12</v>
      </c>
    </row>
  </sheetData>
  <mergeCells count="1">
    <mergeCell ref="A1:E3"/>
  </mergeCells>
  <phoneticPr fontId="0"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Feuil9"/>
  <dimension ref="A1:E188"/>
  <sheetViews>
    <sheetView workbookViewId="0">
      <selection activeCell="C26" sqref="C26"/>
    </sheetView>
  </sheetViews>
  <sheetFormatPr defaultColWidth="11.42578125" defaultRowHeight="12.75"/>
  <cols>
    <col min="1" max="1" width="37.85546875" bestFit="1" customWidth="1"/>
    <col min="2" max="2" width="7.5703125" bestFit="1" customWidth="1"/>
    <col min="3" max="3" width="10.85546875" bestFit="1" customWidth="1"/>
    <col min="4" max="4" width="68.28515625" bestFit="1" customWidth="1"/>
  </cols>
  <sheetData>
    <row r="1" spans="1:5" ht="19.5" customHeight="1">
      <c r="A1" s="361" t="s">
        <v>691</v>
      </c>
      <c r="B1" s="361"/>
      <c r="C1" s="361"/>
      <c r="D1" s="361"/>
      <c r="E1" s="361"/>
    </row>
    <row r="2" spans="1:5">
      <c r="A2" s="361"/>
      <c r="B2" s="361"/>
      <c r="C2" s="361"/>
      <c r="D2" s="361"/>
      <c r="E2" s="361"/>
    </row>
    <row r="3" spans="1:5" ht="13.5" thickBot="1">
      <c r="A3" s="362"/>
      <c r="B3" s="362"/>
      <c r="C3" s="362"/>
      <c r="D3" s="362"/>
      <c r="E3" s="362"/>
    </row>
    <row r="4" spans="1:5" ht="13.5" thickTop="1">
      <c r="A4" s="285" t="s">
        <v>786</v>
      </c>
      <c r="B4" s="285" t="s">
        <v>700</v>
      </c>
      <c r="C4" s="285" t="s">
        <v>789</v>
      </c>
      <c r="D4" s="285" t="s">
        <v>699</v>
      </c>
      <c r="E4" t="s">
        <v>787</v>
      </c>
    </row>
    <row r="10" spans="1:5" ht="18" thickBot="1">
      <c r="A10" s="286" t="s">
        <v>724</v>
      </c>
      <c r="B10" s="286"/>
      <c r="C10" s="286"/>
      <c r="D10" s="286"/>
      <c r="E10" s="286"/>
    </row>
    <row r="11" spans="1:5" ht="13.5" thickTop="1">
      <c r="A11" t="s">
        <v>138</v>
      </c>
      <c r="B11" t="s">
        <v>13</v>
      </c>
      <c r="C11" t="s">
        <v>354</v>
      </c>
      <c r="D11" t="s">
        <v>139</v>
      </c>
      <c r="E11" t="s">
        <v>42</v>
      </c>
    </row>
    <row r="12" spans="1:5">
      <c r="A12" t="s">
        <v>599</v>
      </c>
      <c r="B12" t="s">
        <v>13</v>
      </c>
      <c r="C12" t="s">
        <v>354</v>
      </c>
      <c r="D12" t="s">
        <v>554</v>
      </c>
      <c r="E12" t="s">
        <v>42</v>
      </c>
    </row>
    <row r="13" spans="1:5">
      <c r="A13" t="s">
        <v>140</v>
      </c>
      <c r="B13" t="s">
        <v>13</v>
      </c>
      <c r="C13" t="s">
        <v>354</v>
      </c>
      <c r="D13" t="s">
        <v>141</v>
      </c>
      <c r="E13" t="s">
        <v>42</v>
      </c>
    </row>
    <row r="14" spans="1:5">
      <c r="A14" t="s">
        <v>142</v>
      </c>
      <c r="B14" t="s">
        <v>13</v>
      </c>
      <c r="C14" t="s">
        <v>354</v>
      </c>
      <c r="D14" t="s">
        <v>143</v>
      </c>
      <c r="E14" t="s">
        <v>42</v>
      </c>
    </row>
    <row r="15" spans="1:5">
      <c r="A15" t="s">
        <v>600</v>
      </c>
      <c r="B15" t="s">
        <v>13</v>
      </c>
      <c r="C15" t="s">
        <v>354</v>
      </c>
      <c r="D15" t="s">
        <v>555</v>
      </c>
      <c r="E15" t="s">
        <v>42</v>
      </c>
    </row>
    <row r="16" spans="1:5">
      <c r="A16" t="s">
        <v>144</v>
      </c>
      <c r="B16" t="s">
        <v>13</v>
      </c>
      <c r="C16" t="s">
        <v>354</v>
      </c>
      <c r="D16" t="s">
        <v>78</v>
      </c>
      <c r="E16" t="s">
        <v>51</v>
      </c>
    </row>
    <row r="17" spans="1:5">
      <c r="A17" t="s">
        <v>603</v>
      </c>
      <c r="B17" t="s">
        <v>13</v>
      </c>
      <c r="C17" t="s">
        <v>354</v>
      </c>
      <c r="D17" t="s">
        <v>558</v>
      </c>
      <c r="E17" t="s">
        <v>51</v>
      </c>
    </row>
    <row r="18" spans="1:5">
      <c r="A18" t="s">
        <v>145</v>
      </c>
      <c r="B18" t="s">
        <v>13</v>
      </c>
      <c r="C18" t="s">
        <v>354</v>
      </c>
      <c r="D18" t="s">
        <v>79</v>
      </c>
      <c r="E18" t="s">
        <v>51</v>
      </c>
    </row>
    <row r="19" spans="1:5">
      <c r="A19" t="s">
        <v>146</v>
      </c>
      <c r="B19" t="s">
        <v>13</v>
      </c>
      <c r="C19" t="s">
        <v>354</v>
      </c>
      <c r="D19" t="s">
        <v>148</v>
      </c>
      <c r="E19" t="s">
        <v>51</v>
      </c>
    </row>
    <row r="20" spans="1:5">
      <c r="A20" t="s">
        <v>604</v>
      </c>
      <c r="B20" t="s">
        <v>13</v>
      </c>
      <c r="C20" t="s">
        <v>354</v>
      </c>
      <c r="D20" t="s">
        <v>559</v>
      </c>
      <c r="E20" t="s">
        <v>51</v>
      </c>
    </row>
    <row r="21" spans="1:5">
      <c r="A21" t="s">
        <v>147</v>
      </c>
      <c r="B21" t="s">
        <v>13</v>
      </c>
      <c r="C21" t="s">
        <v>354</v>
      </c>
      <c r="D21" t="s">
        <v>149</v>
      </c>
      <c r="E21" t="s">
        <v>51</v>
      </c>
    </row>
    <row r="22" spans="1:5">
      <c r="A22" t="s">
        <v>650</v>
      </c>
      <c r="B22" t="s">
        <v>13</v>
      </c>
      <c r="C22" t="s">
        <v>354</v>
      </c>
      <c r="D22" t="s">
        <v>363</v>
      </c>
      <c r="E22" t="s">
        <v>51</v>
      </c>
    </row>
    <row r="23" spans="1:5">
      <c r="A23" t="s">
        <v>651</v>
      </c>
      <c r="B23" t="s">
        <v>13</v>
      </c>
      <c r="C23" t="s">
        <v>354</v>
      </c>
      <c r="D23" t="s">
        <v>365</v>
      </c>
      <c r="E23" t="s">
        <v>51</v>
      </c>
    </row>
    <row r="24" spans="1:5">
      <c r="A24" t="s">
        <v>10</v>
      </c>
      <c r="B24" t="s">
        <v>13</v>
      </c>
      <c r="C24" t="s">
        <v>354</v>
      </c>
      <c r="D24" t="s">
        <v>376</v>
      </c>
      <c r="E24" t="s">
        <v>12</v>
      </c>
    </row>
    <row r="25" spans="1:5">
      <c r="A25" t="s">
        <v>608</v>
      </c>
      <c r="B25" t="s">
        <v>13</v>
      </c>
      <c r="C25" t="s">
        <v>354</v>
      </c>
      <c r="D25" t="s">
        <v>563</v>
      </c>
      <c r="E25" t="s">
        <v>12</v>
      </c>
    </row>
    <row r="26" spans="1:5">
      <c r="A26" t="s">
        <v>11</v>
      </c>
      <c r="B26" t="s">
        <v>13</v>
      </c>
      <c r="C26" t="s">
        <v>354</v>
      </c>
      <c r="D26" t="s">
        <v>419</v>
      </c>
      <c r="E26" t="s">
        <v>12</v>
      </c>
    </row>
    <row r="27" spans="1:5">
      <c r="A27" t="s">
        <v>609</v>
      </c>
      <c r="B27" t="s">
        <v>13</v>
      </c>
      <c r="C27" t="s">
        <v>354</v>
      </c>
      <c r="D27" t="s">
        <v>569</v>
      </c>
      <c r="E27" t="s">
        <v>12</v>
      </c>
    </row>
    <row r="28" spans="1:5">
      <c r="A28" t="s">
        <v>55</v>
      </c>
      <c r="B28" t="s">
        <v>13</v>
      </c>
      <c r="C28" t="s">
        <v>354</v>
      </c>
      <c r="D28" t="s">
        <v>420</v>
      </c>
      <c r="E28" t="s">
        <v>12</v>
      </c>
    </row>
    <row r="29" spans="1:5">
      <c r="A29" t="s">
        <v>56</v>
      </c>
      <c r="B29" t="s">
        <v>13</v>
      </c>
      <c r="C29" t="s">
        <v>354</v>
      </c>
      <c r="D29" t="s">
        <v>421</v>
      </c>
      <c r="E29" t="s">
        <v>12</v>
      </c>
    </row>
    <row r="30" spans="1:5">
      <c r="A30" t="s">
        <v>610</v>
      </c>
      <c r="B30" t="s">
        <v>13</v>
      </c>
      <c r="C30" t="s">
        <v>354</v>
      </c>
      <c r="D30" t="s">
        <v>564</v>
      </c>
      <c r="E30" t="s">
        <v>12</v>
      </c>
    </row>
    <row r="31" spans="1:5">
      <c r="A31" t="s">
        <v>57</v>
      </c>
      <c r="B31" t="s">
        <v>13</v>
      </c>
      <c r="C31" t="s">
        <v>354</v>
      </c>
      <c r="D31" t="s">
        <v>571</v>
      </c>
      <c r="E31" t="s">
        <v>12</v>
      </c>
    </row>
    <row r="32" spans="1:5">
      <c r="A32" t="s">
        <v>611</v>
      </c>
      <c r="B32" t="s">
        <v>13</v>
      </c>
      <c r="C32" t="s">
        <v>354</v>
      </c>
      <c r="D32" t="s">
        <v>565</v>
      </c>
      <c r="E32" t="s">
        <v>12</v>
      </c>
    </row>
    <row r="33" spans="1:5">
      <c r="A33" t="s">
        <v>58</v>
      </c>
      <c r="B33" t="s">
        <v>13</v>
      </c>
      <c r="C33" t="s">
        <v>354</v>
      </c>
      <c r="D33" t="s">
        <v>75</v>
      </c>
      <c r="E33" t="s">
        <v>12</v>
      </c>
    </row>
    <row r="34" spans="1:5">
      <c r="A34" t="s">
        <v>59</v>
      </c>
      <c r="B34" t="s">
        <v>13</v>
      </c>
      <c r="C34" t="s">
        <v>354</v>
      </c>
      <c r="D34" t="s">
        <v>76</v>
      </c>
      <c r="E34" t="s">
        <v>12</v>
      </c>
    </row>
    <row r="35" spans="1:5">
      <c r="A35" t="s">
        <v>612</v>
      </c>
      <c r="B35" t="s">
        <v>13</v>
      </c>
      <c r="C35" t="s">
        <v>354</v>
      </c>
      <c r="D35" t="s">
        <v>566</v>
      </c>
      <c r="E35" t="s">
        <v>12</v>
      </c>
    </row>
    <row r="36" spans="1:5">
      <c r="A36" t="s">
        <v>60</v>
      </c>
      <c r="B36" t="s">
        <v>13</v>
      </c>
      <c r="C36" t="s">
        <v>354</v>
      </c>
      <c r="D36" t="s">
        <v>77</v>
      </c>
      <c r="E36" t="s">
        <v>12</v>
      </c>
    </row>
    <row r="37" spans="1:5">
      <c r="A37" t="s">
        <v>150</v>
      </c>
      <c r="B37" t="s">
        <v>13</v>
      </c>
      <c r="C37" t="s">
        <v>354</v>
      </c>
      <c r="D37" t="s">
        <v>151</v>
      </c>
      <c r="E37" t="s">
        <v>42</v>
      </c>
    </row>
    <row r="38" spans="1:5">
      <c r="A38" t="s">
        <v>152</v>
      </c>
      <c r="B38" t="s">
        <v>13</v>
      </c>
      <c r="C38" t="s">
        <v>354</v>
      </c>
      <c r="D38" t="s">
        <v>153</v>
      </c>
      <c r="E38" t="s">
        <v>12</v>
      </c>
    </row>
    <row r="39" spans="1:5">
      <c r="A39" t="s">
        <v>613</v>
      </c>
      <c r="B39" t="s">
        <v>13</v>
      </c>
      <c r="C39" t="s">
        <v>354</v>
      </c>
      <c r="D39" t="s">
        <v>567</v>
      </c>
      <c r="E39" t="s">
        <v>12</v>
      </c>
    </row>
    <row r="40" spans="1:5">
      <c r="A40" t="s">
        <v>154</v>
      </c>
      <c r="B40" t="s">
        <v>13</v>
      </c>
      <c r="C40" t="s">
        <v>354</v>
      </c>
      <c r="D40" t="s">
        <v>155</v>
      </c>
      <c r="E40" t="s">
        <v>12</v>
      </c>
    </row>
    <row r="41" spans="1:5">
      <c r="A41" t="s">
        <v>156</v>
      </c>
      <c r="B41" t="s">
        <v>13</v>
      </c>
      <c r="C41" t="s">
        <v>354</v>
      </c>
      <c r="D41" t="s">
        <v>157</v>
      </c>
      <c r="E41" t="s">
        <v>12</v>
      </c>
    </row>
    <row r="42" spans="1:5">
      <c r="A42" t="s">
        <v>614</v>
      </c>
      <c r="B42" t="s">
        <v>13</v>
      </c>
      <c r="C42" t="s">
        <v>354</v>
      </c>
      <c r="D42" t="s">
        <v>568</v>
      </c>
      <c r="E42" t="s">
        <v>12</v>
      </c>
    </row>
    <row r="43" spans="1:5">
      <c r="A43" t="s">
        <v>158</v>
      </c>
      <c r="B43" t="s">
        <v>13</v>
      </c>
      <c r="C43" t="s">
        <v>354</v>
      </c>
      <c r="D43" t="s">
        <v>159</v>
      </c>
      <c r="E43" t="s">
        <v>12</v>
      </c>
    </row>
    <row r="44" spans="1:5">
      <c r="A44" t="s">
        <v>161</v>
      </c>
      <c r="B44" t="s">
        <v>13</v>
      </c>
      <c r="C44" t="s">
        <v>354</v>
      </c>
      <c r="D44" t="s">
        <v>82</v>
      </c>
      <c r="E44" t="s">
        <v>12</v>
      </c>
    </row>
    <row r="46" spans="1:5" ht="18" thickBot="1">
      <c r="A46" s="286" t="s">
        <v>739</v>
      </c>
      <c r="B46" s="286"/>
      <c r="C46" s="286"/>
      <c r="D46" s="286"/>
      <c r="E46" s="286"/>
    </row>
    <row r="47" spans="1:5" ht="13.5" thickTop="1">
      <c r="A47" t="s">
        <v>138</v>
      </c>
      <c r="B47" t="s">
        <v>13</v>
      </c>
      <c r="C47" t="s">
        <v>354</v>
      </c>
      <c r="D47" t="s">
        <v>139</v>
      </c>
      <c r="E47" t="s">
        <v>42</v>
      </c>
    </row>
    <row r="48" spans="1:5">
      <c r="A48" t="s">
        <v>599</v>
      </c>
      <c r="B48" t="s">
        <v>13</v>
      </c>
      <c r="C48" t="s">
        <v>354</v>
      </c>
      <c r="D48" t="s">
        <v>554</v>
      </c>
      <c r="E48" t="s">
        <v>42</v>
      </c>
    </row>
    <row r="49" spans="1:5">
      <c r="A49" t="s">
        <v>140</v>
      </c>
      <c r="B49" t="s">
        <v>13</v>
      </c>
      <c r="C49" t="s">
        <v>354</v>
      </c>
      <c r="D49" t="s">
        <v>141</v>
      </c>
      <c r="E49" t="s">
        <v>42</v>
      </c>
    </row>
    <row r="50" spans="1:5">
      <c r="A50" t="s">
        <v>142</v>
      </c>
      <c r="B50" t="s">
        <v>13</v>
      </c>
      <c r="C50" t="s">
        <v>354</v>
      </c>
      <c r="D50" t="s">
        <v>143</v>
      </c>
      <c r="E50" t="s">
        <v>42</v>
      </c>
    </row>
    <row r="51" spans="1:5">
      <c r="A51" t="s">
        <v>600</v>
      </c>
      <c r="B51" t="s">
        <v>13</v>
      </c>
      <c r="C51" t="s">
        <v>354</v>
      </c>
      <c r="D51" t="s">
        <v>555</v>
      </c>
      <c r="E51" t="s">
        <v>42</v>
      </c>
    </row>
    <row r="52" spans="1:5">
      <c r="A52" t="s">
        <v>144</v>
      </c>
      <c r="B52" t="s">
        <v>13</v>
      </c>
      <c r="C52" t="s">
        <v>354</v>
      </c>
      <c r="D52" t="s">
        <v>78</v>
      </c>
      <c r="E52" t="s">
        <v>51</v>
      </c>
    </row>
    <row r="53" spans="1:5">
      <c r="A53" t="s">
        <v>603</v>
      </c>
      <c r="B53" t="s">
        <v>13</v>
      </c>
      <c r="C53" t="s">
        <v>354</v>
      </c>
      <c r="D53" t="s">
        <v>558</v>
      </c>
      <c r="E53" t="s">
        <v>51</v>
      </c>
    </row>
    <row r="54" spans="1:5">
      <c r="A54" t="s">
        <v>145</v>
      </c>
      <c r="B54" t="s">
        <v>13</v>
      </c>
      <c r="C54" t="s">
        <v>354</v>
      </c>
      <c r="D54" t="s">
        <v>79</v>
      </c>
      <c r="E54" t="s">
        <v>51</v>
      </c>
    </row>
    <row r="55" spans="1:5">
      <c r="A55" t="s">
        <v>650</v>
      </c>
      <c r="B55" t="s">
        <v>13</v>
      </c>
      <c r="C55" t="s">
        <v>354</v>
      </c>
      <c r="D55" t="s">
        <v>363</v>
      </c>
      <c r="E55" t="s">
        <v>51</v>
      </c>
    </row>
    <row r="56" spans="1:5">
      <c r="A56" t="s">
        <v>651</v>
      </c>
      <c r="B56" t="s">
        <v>13</v>
      </c>
      <c r="C56" t="s">
        <v>354</v>
      </c>
      <c r="D56" t="s">
        <v>365</v>
      </c>
      <c r="E56" t="s">
        <v>51</v>
      </c>
    </row>
    <row r="57" spans="1:5">
      <c r="A57" t="s">
        <v>10</v>
      </c>
      <c r="B57" t="s">
        <v>13</v>
      </c>
      <c r="C57" t="s">
        <v>354</v>
      </c>
      <c r="D57" t="s">
        <v>376</v>
      </c>
      <c r="E57" t="s">
        <v>12</v>
      </c>
    </row>
    <row r="58" spans="1:5">
      <c r="A58" t="s">
        <v>608</v>
      </c>
      <c r="B58" t="s">
        <v>13</v>
      </c>
      <c r="C58" t="s">
        <v>354</v>
      </c>
      <c r="D58" t="s">
        <v>563</v>
      </c>
      <c r="E58" t="s">
        <v>12</v>
      </c>
    </row>
    <row r="59" spans="1:5">
      <c r="A59" t="s">
        <v>11</v>
      </c>
      <c r="B59" t="s">
        <v>13</v>
      </c>
      <c r="C59" t="s">
        <v>354</v>
      </c>
      <c r="D59" t="s">
        <v>419</v>
      </c>
      <c r="E59" t="s">
        <v>12</v>
      </c>
    </row>
    <row r="60" spans="1:5">
      <c r="A60" t="s">
        <v>609</v>
      </c>
      <c r="B60" t="s">
        <v>13</v>
      </c>
      <c r="C60" t="s">
        <v>354</v>
      </c>
      <c r="D60" t="s">
        <v>569</v>
      </c>
      <c r="E60" t="s">
        <v>12</v>
      </c>
    </row>
    <row r="61" spans="1:5">
      <c r="A61" t="s">
        <v>55</v>
      </c>
      <c r="B61" t="s">
        <v>13</v>
      </c>
      <c r="C61" t="s">
        <v>354</v>
      </c>
      <c r="D61" t="s">
        <v>420</v>
      </c>
      <c r="E61" t="s">
        <v>12</v>
      </c>
    </row>
    <row r="62" spans="1:5">
      <c r="A62" t="s">
        <v>56</v>
      </c>
      <c r="B62" t="s">
        <v>13</v>
      </c>
      <c r="C62" t="s">
        <v>354</v>
      </c>
      <c r="D62" t="s">
        <v>421</v>
      </c>
      <c r="E62" t="s">
        <v>12</v>
      </c>
    </row>
    <row r="63" spans="1:5">
      <c r="A63" t="s">
        <v>610</v>
      </c>
      <c r="B63" t="s">
        <v>13</v>
      </c>
      <c r="C63" t="s">
        <v>354</v>
      </c>
      <c r="D63" t="s">
        <v>564</v>
      </c>
      <c r="E63" t="s">
        <v>12</v>
      </c>
    </row>
    <row r="64" spans="1:5">
      <c r="A64" t="s">
        <v>57</v>
      </c>
      <c r="B64" t="s">
        <v>13</v>
      </c>
      <c r="C64" t="s">
        <v>354</v>
      </c>
      <c r="D64" t="s">
        <v>571</v>
      </c>
      <c r="E64" t="s">
        <v>12</v>
      </c>
    </row>
    <row r="65" spans="1:5">
      <c r="A65" t="s">
        <v>611</v>
      </c>
      <c r="B65" t="s">
        <v>13</v>
      </c>
      <c r="C65" t="s">
        <v>354</v>
      </c>
      <c r="D65" t="s">
        <v>565</v>
      </c>
      <c r="E65" t="s">
        <v>12</v>
      </c>
    </row>
    <row r="66" spans="1:5">
      <c r="A66" t="s">
        <v>58</v>
      </c>
      <c r="B66" t="s">
        <v>13</v>
      </c>
      <c r="C66" t="s">
        <v>354</v>
      </c>
      <c r="D66" t="s">
        <v>75</v>
      </c>
      <c r="E66" t="s">
        <v>12</v>
      </c>
    </row>
    <row r="67" spans="1:5">
      <c r="A67" t="s">
        <v>59</v>
      </c>
      <c r="B67" t="s">
        <v>13</v>
      </c>
      <c r="C67" t="s">
        <v>354</v>
      </c>
      <c r="D67" t="s">
        <v>76</v>
      </c>
      <c r="E67" t="s">
        <v>12</v>
      </c>
    </row>
    <row r="68" spans="1:5">
      <c r="A68" t="s">
        <v>612</v>
      </c>
      <c r="B68" t="s">
        <v>13</v>
      </c>
      <c r="C68" t="s">
        <v>354</v>
      </c>
      <c r="D68" t="s">
        <v>566</v>
      </c>
      <c r="E68" t="s">
        <v>12</v>
      </c>
    </row>
    <row r="69" spans="1:5">
      <c r="A69" t="s">
        <v>60</v>
      </c>
      <c r="B69" t="s">
        <v>13</v>
      </c>
      <c r="C69" t="s">
        <v>354</v>
      </c>
      <c r="D69" t="s">
        <v>77</v>
      </c>
      <c r="E69" t="s">
        <v>12</v>
      </c>
    </row>
    <row r="70" spans="1:5">
      <c r="A70" t="s">
        <v>150</v>
      </c>
      <c r="B70" t="s">
        <v>13</v>
      </c>
      <c r="C70" t="s">
        <v>354</v>
      </c>
      <c r="D70" t="s">
        <v>151</v>
      </c>
      <c r="E70" t="s">
        <v>42</v>
      </c>
    </row>
    <row r="71" spans="1:5">
      <c r="A71" t="s">
        <v>152</v>
      </c>
      <c r="B71" t="s">
        <v>13</v>
      </c>
      <c r="C71" t="s">
        <v>354</v>
      </c>
      <c r="D71" t="s">
        <v>153</v>
      </c>
      <c r="E71" t="s">
        <v>12</v>
      </c>
    </row>
    <row r="72" spans="1:5">
      <c r="A72" t="s">
        <v>613</v>
      </c>
      <c r="B72" t="s">
        <v>13</v>
      </c>
      <c r="C72" t="s">
        <v>354</v>
      </c>
      <c r="D72" t="s">
        <v>567</v>
      </c>
      <c r="E72" t="s">
        <v>12</v>
      </c>
    </row>
    <row r="73" spans="1:5">
      <c r="A73" t="s">
        <v>154</v>
      </c>
      <c r="B73" t="s">
        <v>13</v>
      </c>
      <c r="C73" t="s">
        <v>354</v>
      </c>
      <c r="D73" t="s">
        <v>155</v>
      </c>
      <c r="E73" t="s">
        <v>12</v>
      </c>
    </row>
    <row r="74" spans="1:5">
      <c r="A74" t="s">
        <v>156</v>
      </c>
      <c r="B74" t="s">
        <v>13</v>
      </c>
      <c r="C74" t="s">
        <v>354</v>
      </c>
      <c r="D74" t="s">
        <v>157</v>
      </c>
      <c r="E74" t="s">
        <v>12</v>
      </c>
    </row>
    <row r="75" spans="1:5">
      <c r="A75" t="s">
        <v>614</v>
      </c>
      <c r="B75" t="s">
        <v>13</v>
      </c>
      <c r="C75" t="s">
        <v>354</v>
      </c>
      <c r="D75" t="s">
        <v>568</v>
      </c>
      <c r="E75" t="s">
        <v>12</v>
      </c>
    </row>
    <row r="76" spans="1:5">
      <c r="A76" t="s">
        <v>158</v>
      </c>
      <c r="B76" t="s">
        <v>13</v>
      </c>
      <c r="C76" t="s">
        <v>354</v>
      </c>
      <c r="D76" t="s">
        <v>159</v>
      </c>
      <c r="E76" t="s">
        <v>12</v>
      </c>
    </row>
    <row r="77" spans="1:5">
      <c r="A77" t="s">
        <v>161</v>
      </c>
      <c r="B77" t="s">
        <v>13</v>
      </c>
      <c r="C77" t="s">
        <v>354</v>
      </c>
      <c r="D77" t="s">
        <v>82</v>
      </c>
      <c r="E77" t="s">
        <v>12</v>
      </c>
    </row>
    <row r="79" spans="1:5" ht="18" thickBot="1">
      <c r="A79" s="286" t="s">
        <v>775</v>
      </c>
      <c r="B79" s="286"/>
      <c r="C79" s="286"/>
      <c r="D79" s="286"/>
      <c r="E79" s="286"/>
    </row>
    <row r="80" spans="1:5" ht="13.5" thickTop="1">
      <c r="A80" t="s">
        <v>492</v>
      </c>
      <c r="B80" t="s">
        <v>13</v>
      </c>
      <c r="C80" t="s">
        <v>354</v>
      </c>
      <c r="D80" t="s">
        <v>506</v>
      </c>
      <c r="E80" t="s">
        <v>42</v>
      </c>
    </row>
    <row r="81" spans="1:5">
      <c r="A81" t="s">
        <v>601</v>
      </c>
      <c r="B81" t="s">
        <v>13</v>
      </c>
      <c r="C81" t="s">
        <v>354</v>
      </c>
      <c r="D81" t="s">
        <v>556</v>
      </c>
      <c r="E81" t="s">
        <v>42</v>
      </c>
    </row>
    <row r="82" spans="1:5">
      <c r="A82" t="s">
        <v>494</v>
      </c>
      <c r="B82" t="s">
        <v>13</v>
      </c>
      <c r="C82" t="s">
        <v>354</v>
      </c>
      <c r="D82" t="s">
        <v>507</v>
      </c>
      <c r="E82" t="s">
        <v>42</v>
      </c>
    </row>
    <row r="83" spans="1:5">
      <c r="A83" t="s">
        <v>495</v>
      </c>
      <c r="B83" t="s">
        <v>13</v>
      </c>
      <c r="C83" t="s">
        <v>354</v>
      </c>
      <c r="D83" t="s">
        <v>508</v>
      </c>
      <c r="E83" t="s">
        <v>42</v>
      </c>
    </row>
    <row r="84" spans="1:5">
      <c r="A84" t="s">
        <v>602</v>
      </c>
      <c r="B84" t="s">
        <v>13</v>
      </c>
      <c r="C84" t="s">
        <v>354</v>
      </c>
      <c r="D84" t="s">
        <v>557</v>
      </c>
      <c r="E84" t="s">
        <v>42</v>
      </c>
    </row>
    <row r="86" spans="1:5" ht="18" thickBot="1">
      <c r="A86" s="286" t="s">
        <v>740</v>
      </c>
      <c r="B86" s="286"/>
      <c r="C86" s="286"/>
      <c r="D86" s="286"/>
      <c r="E86" s="286"/>
    </row>
    <row r="87" spans="1:5" ht="13.5" thickTop="1">
      <c r="A87" t="s">
        <v>22</v>
      </c>
      <c r="B87" t="s">
        <v>13</v>
      </c>
      <c r="C87" t="s">
        <v>354</v>
      </c>
      <c r="D87" t="s">
        <v>23</v>
      </c>
      <c r="E87" t="s">
        <v>12</v>
      </c>
    </row>
    <row r="88" spans="1:5">
      <c r="A88" t="s">
        <v>26</v>
      </c>
      <c r="B88" t="s">
        <v>13</v>
      </c>
      <c r="C88" t="s">
        <v>354</v>
      </c>
      <c r="D88" t="s">
        <v>28</v>
      </c>
      <c r="E88" t="s">
        <v>12</v>
      </c>
    </row>
    <row r="89" spans="1:5">
      <c r="A89" t="s">
        <v>25</v>
      </c>
      <c r="B89" t="s">
        <v>13</v>
      </c>
      <c r="C89" t="s">
        <v>354</v>
      </c>
      <c r="D89" t="s">
        <v>27</v>
      </c>
      <c r="E89" t="s">
        <v>12</v>
      </c>
    </row>
    <row r="90" spans="1:5">
      <c r="A90" t="s">
        <v>537</v>
      </c>
      <c r="B90" t="s">
        <v>13</v>
      </c>
      <c r="C90" t="s">
        <v>354</v>
      </c>
      <c r="D90" t="s">
        <v>538</v>
      </c>
      <c r="E90" t="s">
        <v>12</v>
      </c>
    </row>
    <row r="91" spans="1:5">
      <c r="A91" t="s">
        <v>615</v>
      </c>
      <c r="B91" t="s">
        <v>13</v>
      </c>
      <c r="C91" t="s">
        <v>354</v>
      </c>
      <c r="D91" t="s">
        <v>512</v>
      </c>
      <c r="E91" t="s">
        <v>12</v>
      </c>
    </row>
    <row r="92" spans="1:5">
      <c r="A92" t="s">
        <v>45</v>
      </c>
      <c r="B92" t="s">
        <v>13</v>
      </c>
      <c r="C92" t="s">
        <v>354</v>
      </c>
      <c r="D92" t="s">
        <v>46</v>
      </c>
      <c r="E92" t="s">
        <v>12</v>
      </c>
    </row>
    <row r="93" spans="1:5">
      <c r="A93" t="s">
        <v>43</v>
      </c>
      <c r="B93" t="s">
        <v>13</v>
      </c>
      <c r="C93" t="s">
        <v>354</v>
      </c>
      <c r="D93" t="s">
        <v>44</v>
      </c>
      <c r="E93" t="s">
        <v>12</v>
      </c>
    </row>
    <row r="94" spans="1:5">
      <c r="A94" t="s">
        <v>29</v>
      </c>
      <c r="B94" t="s">
        <v>13</v>
      </c>
      <c r="C94" t="s">
        <v>354</v>
      </c>
      <c r="D94" t="s">
        <v>30</v>
      </c>
      <c r="E94" t="s">
        <v>12</v>
      </c>
    </row>
    <row r="95" spans="1:5">
      <c r="A95" t="s">
        <v>31</v>
      </c>
      <c r="B95" t="s">
        <v>13</v>
      </c>
      <c r="C95" t="s">
        <v>354</v>
      </c>
      <c r="D95" t="s">
        <v>39</v>
      </c>
      <c r="E95" t="s">
        <v>12</v>
      </c>
    </row>
    <row r="96" spans="1:5">
      <c r="A96" t="s">
        <v>84</v>
      </c>
      <c r="B96" t="s">
        <v>13</v>
      </c>
      <c r="C96" t="s">
        <v>354</v>
      </c>
      <c r="D96" t="s">
        <v>24</v>
      </c>
      <c r="E96" t="s">
        <v>12</v>
      </c>
    </row>
    <row r="97" spans="1:5">
      <c r="A97" t="s">
        <v>32</v>
      </c>
      <c r="B97" t="s">
        <v>13</v>
      </c>
      <c r="C97" t="s">
        <v>354</v>
      </c>
      <c r="D97" t="s">
        <v>33</v>
      </c>
      <c r="E97" t="s">
        <v>12</v>
      </c>
    </row>
    <row r="98" spans="1:5">
      <c r="A98" t="s">
        <v>40</v>
      </c>
      <c r="B98" t="s">
        <v>13</v>
      </c>
      <c r="C98" t="s">
        <v>354</v>
      </c>
      <c r="D98" t="s">
        <v>41</v>
      </c>
      <c r="E98" t="s">
        <v>12</v>
      </c>
    </row>
    <row r="100" spans="1:5" ht="18" thickBot="1">
      <c r="A100" s="286" t="s">
        <v>741</v>
      </c>
      <c r="B100" s="286"/>
      <c r="C100" s="286"/>
      <c r="D100" s="286"/>
      <c r="E100" s="286"/>
    </row>
    <row r="101" spans="1:5" ht="13.5" thickTop="1">
      <c r="A101" t="s">
        <v>35</v>
      </c>
      <c r="B101" t="s">
        <v>13</v>
      </c>
      <c r="C101" t="s">
        <v>354</v>
      </c>
      <c r="D101" t="s">
        <v>36</v>
      </c>
      <c r="E101" t="s">
        <v>12</v>
      </c>
    </row>
    <row r="102" spans="1:5">
      <c r="A102" t="s">
        <v>499</v>
      </c>
      <c r="B102" t="s">
        <v>13</v>
      </c>
      <c r="C102" t="s">
        <v>354</v>
      </c>
      <c r="D102" t="s">
        <v>536</v>
      </c>
      <c r="E102" t="s">
        <v>12</v>
      </c>
    </row>
    <row r="103" spans="1:5">
      <c r="A103" t="s">
        <v>37</v>
      </c>
      <c r="B103" t="s">
        <v>13</v>
      </c>
      <c r="C103" t="s">
        <v>354</v>
      </c>
      <c r="D103" t="s">
        <v>38</v>
      </c>
      <c r="E103" t="s">
        <v>12</v>
      </c>
    </row>
    <row r="105" spans="1:5" ht="18" thickBot="1">
      <c r="A105" s="286" t="s">
        <v>726</v>
      </c>
      <c r="B105" s="286"/>
      <c r="C105" s="286"/>
      <c r="D105" s="286"/>
      <c r="E105" s="286"/>
    </row>
    <row r="106" spans="1:5" ht="13.5" thickTop="1">
      <c r="A106" t="s">
        <v>391</v>
      </c>
      <c r="B106" t="s">
        <v>13</v>
      </c>
      <c r="C106" t="s">
        <v>354</v>
      </c>
      <c r="D106" t="s">
        <v>216</v>
      </c>
      <c r="E106" t="s">
        <v>51</v>
      </c>
    </row>
    <row r="107" spans="1:5">
      <c r="A107" t="s">
        <v>217</v>
      </c>
      <c r="B107" t="s">
        <v>13</v>
      </c>
      <c r="C107" t="s">
        <v>354</v>
      </c>
      <c r="D107" t="s">
        <v>220</v>
      </c>
      <c r="E107" t="s">
        <v>42</v>
      </c>
    </row>
    <row r="108" spans="1:5">
      <c r="A108" t="s">
        <v>218</v>
      </c>
      <c r="B108" t="s">
        <v>13</v>
      </c>
      <c r="C108" t="s">
        <v>354</v>
      </c>
      <c r="D108" t="s">
        <v>221</v>
      </c>
      <c r="E108" t="s">
        <v>51</v>
      </c>
    </row>
    <row r="109" spans="1:5">
      <c r="A109" t="s">
        <v>426</v>
      </c>
      <c r="B109" t="s">
        <v>13</v>
      </c>
      <c r="C109" t="s">
        <v>354</v>
      </c>
      <c r="D109" t="s">
        <v>427</v>
      </c>
      <c r="E109" t="s">
        <v>12</v>
      </c>
    </row>
    <row r="110" spans="1:5">
      <c r="A110" t="s">
        <v>225</v>
      </c>
      <c r="B110" t="s">
        <v>13</v>
      </c>
      <c r="C110" t="s">
        <v>354</v>
      </c>
      <c r="D110" t="s">
        <v>222</v>
      </c>
      <c r="E110" t="s">
        <v>12</v>
      </c>
    </row>
    <row r="111" spans="1:5">
      <c r="A111" t="s">
        <v>226</v>
      </c>
      <c r="B111" t="s">
        <v>13</v>
      </c>
      <c r="C111" t="s">
        <v>354</v>
      </c>
      <c r="D111" t="s">
        <v>223</v>
      </c>
      <c r="E111" t="s">
        <v>12</v>
      </c>
    </row>
    <row r="112" spans="1:5">
      <c r="A112" t="s">
        <v>234</v>
      </c>
      <c r="B112" t="s">
        <v>13</v>
      </c>
      <c r="C112" t="s">
        <v>354</v>
      </c>
      <c r="D112" t="s">
        <v>235</v>
      </c>
      <c r="E112" t="s">
        <v>12</v>
      </c>
    </row>
    <row r="113" spans="1:5">
      <c r="A113" t="s">
        <v>227</v>
      </c>
      <c r="B113" t="s">
        <v>13</v>
      </c>
      <c r="C113" t="s">
        <v>354</v>
      </c>
      <c r="D113" t="s">
        <v>224</v>
      </c>
      <c r="E113" t="s">
        <v>12</v>
      </c>
    </row>
    <row r="114" spans="1:5">
      <c r="A114" t="s">
        <v>231</v>
      </c>
      <c r="B114" t="s">
        <v>13</v>
      </c>
      <c r="C114" t="s">
        <v>354</v>
      </c>
      <c r="D114" t="s">
        <v>230</v>
      </c>
      <c r="E114" t="s">
        <v>12</v>
      </c>
    </row>
    <row r="115" spans="1:5">
      <c r="A115" t="s">
        <v>232</v>
      </c>
      <c r="B115" t="s">
        <v>13</v>
      </c>
      <c r="C115" t="s">
        <v>354</v>
      </c>
      <c r="D115" t="s">
        <v>233</v>
      </c>
      <c r="E115" t="s">
        <v>12</v>
      </c>
    </row>
    <row r="116" spans="1:5">
      <c r="A116" t="s">
        <v>228</v>
      </c>
      <c r="B116" t="s">
        <v>13</v>
      </c>
      <c r="C116" t="s">
        <v>354</v>
      </c>
      <c r="D116" t="s">
        <v>229</v>
      </c>
      <c r="E116" t="s">
        <v>42</v>
      </c>
    </row>
    <row r="118" spans="1:5" ht="18" thickBot="1">
      <c r="A118" s="286" t="s">
        <v>742</v>
      </c>
      <c r="B118" s="286"/>
      <c r="C118" s="286"/>
      <c r="D118" s="286"/>
      <c r="E118" s="286"/>
    </row>
    <row r="119" spans="1:5" ht="13.5" thickTop="1">
      <c r="A119" t="s">
        <v>225</v>
      </c>
      <c r="B119" t="s">
        <v>13</v>
      </c>
      <c r="C119" t="s">
        <v>354</v>
      </c>
      <c r="D119" t="s">
        <v>222</v>
      </c>
      <c r="E119" t="s">
        <v>12</v>
      </c>
    </row>
    <row r="120" spans="1:5">
      <c r="A120" t="s">
        <v>226</v>
      </c>
      <c r="B120" t="s">
        <v>13</v>
      </c>
      <c r="C120" t="s">
        <v>354</v>
      </c>
      <c r="D120" t="s">
        <v>223</v>
      </c>
      <c r="E120" t="s">
        <v>12</v>
      </c>
    </row>
    <row r="121" spans="1:5">
      <c r="A121" t="s">
        <v>234</v>
      </c>
      <c r="B121" t="s">
        <v>13</v>
      </c>
      <c r="C121" t="s">
        <v>354</v>
      </c>
      <c r="D121" t="s">
        <v>235</v>
      </c>
      <c r="E121" t="s">
        <v>12</v>
      </c>
    </row>
    <row r="122" spans="1:5">
      <c r="A122" t="s">
        <v>227</v>
      </c>
      <c r="B122" t="s">
        <v>13</v>
      </c>
      <c r="C122" t="s">
        <v>354</v>
      </c>
      <c r="D122" t="s">
        <v>224</v>
      </c>
      <c r="E122" t="s">
        <v>12</v>
      </c>
    </row>
    <row r="123" spans="1:5">
      <c r="A123" t="s">
        <v>231</v>
      </c>
      <c r="B123" t="s">
        <v>13</v>
      </c>
      <c r="C123" t="s">
        <v>354</v>
      </c>
      <c r="D123" t="s">
        <v>230</v>
      </c>
      <c r="E123" t="s">
        <v>12</v>
      </c>
    </row>
    <row r="124" spans="1:5">
      <c r="A124" t="s">
        <v>232</v>
      </c>
      <c r="B124" t="s">
        <v>13</v>
      </c>
      <c r="C124" t="s">
        <v>354</v>
      </c>
      <c r="D124" t="s">
        <v>233</v>
      </c>
      <c r="E124" t="s">
        <v>12</v>
      </c>
    </row>
    <row r="125" spans="1:5">
      <c r="A125" t="s">
        <v>228</v>
      </c>
      <c r="B125" t="s">
        <v>13</v>
      </c>
      <c r="C125" t="s">
        <v>354</v>
      </c>
      <c r="D125" t="s">
        <v>229</v>
      </c>
      <c r="E125" t="s">
        <v>42</v>
      </c>
    </row>
    <row r="127" spans="1:5" ht="18" thickBot="1">
      <c r="A127" s="286" t="s">
        <v>718</v>
      </c>
      <c r="B127" s="286"/>
      <c r="C127" s="286"/>
      <c r="D127" s="286"/>
      <c r="E127" s="286"/>
    </row>
    <row r="128" spans="1:5" ht="13.5" thickTop="1">
      <c r="A128" t="s">
        <v>259</v>
      </c>
      <c r="B128" t="s">
        <v>13</v>
      </c>
      <c r="C128" t="s">
        <v>354</v>
      </c>
      <c r="D128" t="s">
        <v>254</v>
      </c>
      <c r="E128" t="s">
        <v>42</v>
      </c>
    </row>
    <row r="130" spans="1:5" ht="18" thickBot="1">
      <c r="A130" s="286" t="s">
        <v>719</v>
      </c>
      <c r="B130" s="286"/>
      <c r="C130" s="286"/>
      <c r="D130" s="286"/>
      <c r="E130" s="286"/>
    </row>
    <row r="131" spans="1:5" ht="13.5" thickTop="1">
      <c r="A131" t="s">
        <v>49</v>
      </c>
      <c r="B131" t="s">
        <v>625</v>
      </c>
      <c r="C131" t="s">
        <v>354</v>
      </c>
      <c r="D131" t="s">
        <v>50</v>
      </c>
      <c r="E131" t="s">
        <v>51</v>
      </c>
    </row>
    <row r="133" spans="1:5" ht="18" thickBot="1">
      <c r="A133" s="286" t="s">
        <v>728</v>
      </c>
      <c r="B133" s="286"/>
      <c r="C133" s="286"/>
      <c r="D133" s="286"/>
      <c r="E133" s="286"/>
    </row>
    <row r="134" spans="1:5" ht="13.5" thickTop="1">
      <c r="A134" t="s">
        <v>49</v>
      </c>
      <c r="B134" t="s">
        <v>625</v>
      </c>
      <c r="C134" t="s">
        <v>354</v>
      </c>
      <c r="D134" t="s">
        <v>50</v>
      </c>
      <c r="E134" t="s">
        <v>51</v>
      </c>
    </row>
    <row r="136" spans="1:5" ht="18" thickBot="1">
      <c r="A136" s="286" t="s">
        <v>744</v>
      </c>
      <c r="B136" s="286"/>
      <c r="C136" s="286"/>
      <c r="D136" s="286"/>
      <c r="E136" s="286"/>
    </row>
    <row r="137" spans="1:5" ht="13.5" thickTop="1">
      <c r="A137" t="s">
        <v>49</v>
      </c>
      <c r="B137" t="s">
        <v>625</v>
      </c>
      <c r="C137" t="s">
        <v>354</v>
      </c>
      <c r="D137" t="s">
        <v>50</v>
      </c>
      <c r="E137" t="s">
        <v>51</v>
      </c>
    </row>
    <row r="139" spans="1:5" ht="18" thickBot="1">
      <c r="A139" s="286" t="s">
        <v>759</v>
      </c>
      <c r="B139" s="286"/>
      <c r="C139" s="286"/>
      <c r="D139" s="286"/>
      <c r="E139" s="286"/>
    </row>
    <row r="140" spans="1:5" ht="13.5" thickTop="1">
      <c r="A140" t="s">
        <v>49</v>
      </c>
      <c r="B140" t="s">
        <v>625</v>
      </c>
      <c r="C140" t="s">
        <v>354</v>
      </c>
      <c r="D140" t="s">
        <v>50</v>
      </c>
      <c r="E140" t="s">
        <v>51</v>
      </c>
    </row>
    <row r="142" spans="1:5" ht="18" thickBot="1">
      <c r="A142" s="286" t="s">
        <v>766</v>
      </c>
      <c r="B142" s="286"/>
      <c r="C142" s="286"/>
      <c r="D142" s="286"/>
      <c r="E142" s="286"/>
    </row>
    <row r="143" spans="1:5" ht="13.5" thickTop="1">
      <c r="A143" t="s">
        <v>49</v>
      </c>
      <c r="B143" t="s">
        <v>625</v>
      </c>
      <c r="C143" t="s">
        <v>354</v>
      </c>
      <c r="D143" t="s">
        <v>50</v>
      </c>
      <c r="E143" t="s">
        <v>51</v>
      </c>
    </row>
    <row r="145" spans="1:5" ht="18" thickBot="1">
      <c r="A145" s="286" t="s">
        <v>750</v>
      </c>
      <c r="B145" s="286"/>
      <c r="C145" s="286"/>
      <c r="D145" s="286"/>
      <c r="E145" s="286"/>
    </row>
    <row r="146" spans="1:5" ht="13.5" thickTop="1">
      <c r="A146" t="s">
        <v>621</v>
      </c>
      <c r="B146" t="s">
        <v>638</v>
      </c>
      <c r="C146" t="s">
        <v>72</v>
      </c>
      <c r="D146" t="s">
        <v>295</v>
      </c>
      <c r="E146" t="s">
        <v>12</v>
      </c>
    </row>
    <row r="147" spans="1:5">
      <c r="A147" t="s">
        <v>294</v>
      </c>
      <c r="B147" t="s">
        <v>638</v>
      </c>
      <c r="C147" t="s">
        <v>72</v>
      </c>
      <c r="D147" t="s">
        <v>296</v>
      </c>
      <c r="E147" t="s">
        <v>12</v>
      </c>
    </row>
    <row r="148" spans="1:5">
      <c r="A148" t="s">
        <v>342</v>
      </c>
      <c r="B148" t="s">
        <v>638</v>
      </c>
      <c r="C148" t="s">
        <v>72</v>
      </c>
      <c r="D148" t="s">
        <v>297</v>
      </c>
      <c r="E148" t="s">
        <v>12</v>
      </c>
    </row>
    <row r="149" spans="1:5">
      <c r="A149" t="s">
        <v>343</v>
      </c>
      <c r="B149" t="s">
        <v>638</v>
      </c>
      <c r="C149" t="s">
        <v>72</v>
      </c>
      <c r="D149" t="s">
        <v>298</v>
      </c>
      <c r="E149" t="s">
        <v>12</v>
      </c>
    </row>
    <row r="151" spans="1:5" ht="18" thickBot="1">
      <c r="A151" s="286" t="s">
        <v>751</v>
      </c>
      <c r="B151" s="286"/>
      <c r="C151" s="286"/>
      <c r="D151" s="286"/>
      <c r="E151" s="286"/>
    </row>
    <row r="152" spans="1:5" ht="13.5" thickTop="1">
      <c r="A152" t="s">
        <v>422</v>
      </c>
      <c r="B152" t="s">
        <v>638</v>
      </c>
      <c r="C152" t="s">
        <v>72</v>
      </c>
      <c r="D152" t="s">
        <v>423</v>
      </c>
      <c r="E152" t="s">
        <v>12</v>
      </c>
    </row>
    <row r="153" spans="1:5">
      <c r="A153" t="s">
        <v>424</v>
      </c>
      <c r="B153" t="s">
        <v>638</v>
      </c>
      <c r="C153" t="s">
        <v>72</v>
      </c>
      <c r="D153" t="s">
        <v>425</v>
      </c>
      <c r="E153" t="s">
        <v>12</v>
      </c>
    </row>
    <row r="155" spans="1:5" ht="18" thickBot="1">
      <c r="A155" s="286" t="s">
        <v>734</v>
      </c>
      <c r="B155" s="286"/>
      <c r="C155" s="286"/>
      <c r="D155" s="286"/>
      <c r="E155" s="286"/>
    </row>
    <row r="156" spans="1:5" ht="13.5" thickTop="1">
      <c r="A156" t="s">
        <v>299</v>
      </c>
      <c r="B156" t="s">
        <v>638</v>
      </c>
      <c r="C156" t="s">
        <v>72</v>
      </c>
      <c r="D156" t="s">
        <v>300</v>
      </c>
      <c r="E156" t="s">
        <v>12</v>
      </c>
    </row>
    <row r="158" spans="1:5" ht="18" thickBot="1">
      <c r="A158" s="286" t="s">
        <v>752</v>
      </c>
      <c r="B158" s="286"/>
      <c r="C158" s="286"/>
      <c r="D158" s="286"/>
      <c r="E158" s="286"/>
    </row>
    <row r="159" spans="1:5" ht="13.5" thickTop="1">
      <c r="A159" t="s">
        <v>299</v>
      </c>
      <c r="B159" t="s">
        <v>638</v>
      </c>
      <c r="C159" t="s">
        <v>72</v>
      </c>
      <c r="D159" t="s">
        <v>300</v>
      </c>
      <c r="E159" t="s">
        <v>12</v>
      </c>
    </row>
    <row r="161" spans="1:5" ht="18" thickBot="1">
      <c r="A161" s="286" t="s">
        <v>753</v>
      </c>
      <c r="B161" s="286"/>
      <c r="C161" s="286"/>
      <c r="D161" s="286"/>
      <c r="E161" s="286"/>
    </row>
    <row r="162" spans="1:5" ht="13.5" thickTop="1">
      <c r="A162" t="s">
        <v>287</v>
      </c>
      <c r="B162" t="s">
        <v>625</v>
      </c>
      <c r="C162" t="s">
        <v>354</v>
      </c>
      <c r="D162" t="s">
        <v>339</v>
      </c>
      <c r="E162" t="s">
        <v>51</v>
      </c>
    </row>
    <row r="163" spans="1:5">
      <c r="A163" t="s">
        <v>288</v>
      </c>
      <c r="B163" t="s">
        <v>625</v>
      </c>
      <c r="C163" t="s">
        <v>354</v>
      </c>
      <c r="D163" t="s">
        <v>340</v>
      </c>
      <c r="E163" t="s">
        <v>51</v>
      </c>
    </row>
    <row r="164" spans="1:5">
      <c r="A164" t="s">
        <v>329</v>
      </c>
      <c r="B164" t="s">
        <v>625</v>
      </c>
      <c r="C164" t="s">
        <v>354</v>
      </c>
      <c r="D164" t="s">
        <v>173</v>
      </c>
      <c r="E164" t="s">
        <v>51</v>
      </c>
    </row>
    <row r="165" spans="1:5">
      <c r="A165" t="s">
        <v>170</v>
      </c>
      <c r="B165" t="s">
        <v>625</v>
      </c>
      <c r="C165" t="s">
        <v>354</v>
      </c>
      <c r="D165" t="s">
        <v>175</v>
      </c>
      <c r="E165" t="s">
        <v>51</v>
      </c>
    </row>
    <row r="166" spans="1:5">
      <c r="A166" t="s">
        <v>330</v>
      </c>
      <c r="B166" t="s">
        <v>625</v>
      </c>
      <c r="C166" t="s">
        <v>354</v>
      </c>
      <c r="D166" t="s">
        <v>176</v>
      </c>
      <c r="E166" t="s">
        <v>51</v>
      </c>
    </row>
    <row r="167" spans="1:5">
      <c r="A167" t="s">
        <v>664</v>
      </c>
      <c r="B167" t="s">
        <v>625</v>
      </c>
      <c r="C167" t="s">
        <v>354</v>
      </c>
      <c r="D167" t="s">
        <v>290</v>
      </c>
      <c r="E167" t="s">
        <v>51</v>
      </c>
    </row>
    <row r="168" spans="1:5">
      <c r="A168" t="s">
        <v>289</v>
      </c>
      <c r="B168" t="s">
        <v>625</v>
      </c>
      <c r="C168" t="s">
        <v>354</v>
      </c>
      <c r="D168" t="s">
        <v>291</v>
      </c>
      <c r="E168" t="s">
        <v>51</v>
      </c>
    </row>
    <row r="169" spans="1:5">
      <c r="A169" t="s">
        <v>332</v>
      </c>
      <c r="B169" t="s">
        <v>625</v>
      </c>
      <c r="C169" t="s">
        <v>354</v>
      </c>
      <c r="D169" t="s">
        <v>292</v>
      </c>
      <c r="E169" t="s">
        <v>51</v>
      </c>
    </row>
    <row r="170" spans="1:5">
      <c r="A170" t="s">
        <v>333</v>
      </c>
      <c r="B170" t="s">
        <v>625</v>
      </c>
      <c r="C170" t="s">
        <v>354</v>
      </c>
      <c r="D170" t="s">
        <v>293</v>
      </c>
      <c r="E170" t="s">
        <v>51</v>
      </c>
    </row>
    <row r="172" spans="1:5" ht="18" thickBot="1">
      <c r="A172" s="286" t="s">
        <v>737</v>
      </c>
      <c r="B172" s="286"/>
      <c r="C172" s="286"/>
      <c r="D172" s="286"/>
      <c r="E172" s="286"/>
    </row>
    <row r="173" spans="1:5" ht="13.5" thickTop="1">
      <c r="A173" t="s">
        <v>334</v>
      </c>
      <c r="B173" t="s">
        <v>625</v>
      </c>
      <c r="C173" t="s">
        <v>354</v>
      </c>
      <c r="D173" t="s">
        <v>308</v>
      </c>
      <c r="E173" t="s">
        <v>51</v>
      </c>
    </row>
    <row r="174" spans="1:5">
      <c r="A174" t="s">
        <v>344</v>
      </c>
      <c r="B174" t="s">
        <v>638</v>
      </c>
      <c r="C174" t="s">
        <v>72</v>
      </c>
      <c r="D174" t="s">
        <v>309</v>
      </c>
      <c r="E174" t="s">
        <v>12</v>
      </c>
    </row>
    <row r="175" spans="1:5">
      <c r="A175" t="s">
        <v>345</v>
      </c>
      <c r="B175" t="s">
        <v>638</v>
      </c>
      <c r="C175" t="s">
        <v>72</v>
      </c>
      <c r="D175" t="s">
        <v>310</v>
      </c>
      <c r="E175" t="s">
        <v>12</v>
      </c>
    </row>
    <row r="176" spans="1:5">
      <c r="A176" t="s">
        <v>346</v>
      </c>
      <c r="B176" t="s">
        <v>638</v>
      </c>
      <c r="C176" t="s">
        <v>72</v>
      </c>
      <c r="D176" t="s">
        <v>311</v>
      </c>
      <c r="E176" t="s">
        <v>12</v>
      </c>
    </row>
    <row r="178" spans="1:5" ht="18" thickBot="1">
      <c r="A178" s="286" t="s">
        <v>756</v>
      </c>
      <c r="B178" s="286"/>
      <c r="C178" s="286"/>
      <c r="D178" s="286"/>
      <c r="E178" s="286"/>
    </row>
    <row r="179" spans="1:5" ht="13.5" thickTop="1">
      <c r="A179" t="s">
        <v>334</v>
      </c>
      <c r="B179" t="s">
        <v>625</v>
      </c>
      <c r="C179" t="s">
        <v>354</v>
      </c>
      <c r="D179" t="s">
        <v>308</v>
      </c>
      <c r="E179" t="s">
        <v>51</v>
      </c>
    </row>
    <row r="180" spans="1:5">
      <c r="A180" t="s">
        <v>344</v>
      </c>
      <c r="B180" t="s">
        <v>638</v>
      </c>
      <c r="C180" t="s">
        <v>72</v>
      </c>
      <c r="D180" t="s">
        <v>309</v>
      </c>
      <c r="E180" t="s">
        <v>12</v>
      </c>
    </row>
    <row r="181" spans="1:5">
      <c r="A181" t="s">
        <v>345</v>
      </c>
      <c r="B181" t="s">
        <v>638</v>
      </c>
      <c r="C181" t="s">
        <v>72</v>
      </c>
      <c r="D181" t="s">
        <v>310</v>
      </c>
      <c r="E181" t="s">
        <v>12</v>
      </c>
    </row>
    <row r="182" spans="1:5">
      <c r="A182" t="s">
        <v>346</v>
      </c>
      <c r="B182" t="s">
        <v>638</v>
      </c>
      <c r="C182" t="s">
        <v>72</v>
      </c>
      <c r="D182" t="s">
        <v>311</v>
      </c>
      <c r="E182" t="s">
        <v>12</v>
      </c>
    </row>
    <row r="184" spans="1:5" ht="18" thickBot="1">
      <c r="A184" s="286" t="s">
        <v>738</v>
      </c>
      <c r="B184" s="286"/>
      <c r="C184" s="286"/>
      <c r="D184" s="286"/>
      <c r="E184" s="286"/>
    </row>
    <row r="185" spans="1:5" ht="13.5" thickTop="1">
      <c r="A185" t="s">
        <v>313</v>
      </c>
      <c r="B185" t="s">
        <v>13</v>
      </c>
      <c r="C185" t="s">
        <v>354</v>
      </c>
      <c r="D185" t="s">
        <v>316</v>
      </c>
      <c r="E185" t="s">
        <v>12</v>
      </c>
    </row>
    <row r="187" spans="1:5" ht="18" thickBot="1">
      <c r="A187" s="286" t="s">
        <v>757</v>
      </c>
      <c r="B187" s="286"/>
      <c r="C187" s="286"/>
      <c r="D187" s="286"/>
      <c r="E187" s="286"/>
    </row>
    <row r="188" spans="1:5" ht="13.5" thickTop="1">
      <c r="A188" t="s">
        <v>313</v>
      </c>
      <c r="B188" t="s">
        <v>13</v>
      </c>
      <c r="C188" t="s">
        <v>354</v>
      </c>
      <c r="D188" t="s">
        <v>316</v>
      </c>
      <c r="E188" t="s">
        <v>12</v>
      </c>
    </row>
  </sheetData>
  <mergeCells count="1">
    <mergeCell ref="A1:E3"/>
  </mergeCells>
  <phoneticPr fontId="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Feuil4"/>
  <dimension ref="A1:E30"/>
  <sheetViews>
    <sheetView workbookViewId="0">
      <selection activeCell="A4" sqref="A4:D4"/>
    </sheetView>
  </sheetViews>
  <sheetFormatPr defaultColWidth="11.42578125" defaultRowHeight="12.75"/>
  <cols>
    <col min="1" max="1" width="34" bestFit="1" customWidth="1"/>
    <col min="2" max="2" width="7.5703125" bestFit="1" customWidth="1"/>
    <col min="3" max="3" width="10.85546875" bestFit="1" customWidth="1"/>
    <col min="4" max="4" width="76.42578125" bestFit="1" customWidth="1"/>
  </cols>
  <sheetData>
    <row r="1" spans="1:5" ht="19.5" customHeight="1">
      <c r="A1" s="361" t="s">
        <v>687</v>
      </c>
      <c r="B1" s="361"/>
      <c r="C1" s="361"/>
      <c r="D1" s="361"/>
      <c r="E1" s="361"/>
    </row>
    <row r="2" spans="1:5">
      <c r="A2" s="361"/>
      <c r="B2" s="361"/>
      <c r="C2" s="361"/>
      <c r="D2" s="361"/>
      <c r="E2" s="361"/>
    </row>
    <row r="3" spans="1:5" ht="13.5" thickBot="1">
      <c r="A3" s="362"/>
      <c r="B3" s="362"/>
      <c r="C3" s="362"/>
      <c r="D3" s="362"/>
      <c r="E3" s="362"/>
    </row>
    <row r="4" spans="1:5" ht="13.5" thickTop="1">
      <c r="A4" s="285" t="s">
        <v>786</v>
      </c>
      <c r="B4" s="285" t="s">
        <v>700</v>
      </c>
      <c r="C4" s="285" t="s">
        <v>789</v>
      </c>
      <c r="D4" s="285" t="s">
        <v>699</v>
      </c>
      <c r="E4" t="s">
        <v>787</v>
      </c>
    </row>
    <row r="10" spans="1:5" ht="18" thickBot="1">
      <c r="A10" s="286" t="s">
        <v>718</v>
      </c>
      <c r="B10" s="286"/>
      <c r="C10" s="286"/>
      <c r="D10" s="286"/>
      <c r="E10" s="286"/>
    </row>
    <row r="11" spans="1:5" ht="13.5" thickTop="1">
      <c r="A11" t="s">
        <v>259</v>
      </c>
      <c r="B11" t="s">
        <v>13</v>
      </c>
      <c r="C11" t="s">
        <v>354</v>
      </c>
      <c r="D11" t="s">
        <v>254</v>
      </c>
      <c r="E11" t="s">
        <v>42</v>
      </c>
    </row>
    <row r="13" spans="1:5" ht="18" thickBot="1">
      <c r="A13" s="286" t="s">
        <v>719</v>
      </c>
      <c r="B13" s="286"/>
      <c r="C13" s="286"/>
      <c r="D13" s="286"/>
      <c r="E13" s="286"/>
    </row>
    <row r="14" spans="1:5" ht="13.5" thickTop="1">
      <c r="A14" t="s">
        <v>49</v>
      </c>
      <c r="B14" t="s">
        <v>625</v>
      </c>
      <c r="C14" t="s">
        <v>354</v>
      </c>
      <c r="D14" t="s">
        <v>50</v>
      </c>
      <c r="E14" t="s">
        <v>51</v>
      </c>
    </row>
    <row r="16" spans="1:5" ht="18" thickBot="1">
      <c r="A16" s="286" t="s">
        <v>720</v>
      </c>
      <c r="B16" s="286"/>
      <c r="C16" s="286"/>
      <c r="D16" s="286"/>
      <c r="E16" s="286"/>
    </row>
    <row r="17" spans="1:5" ht="13.5" thickTop="1">
      <c r="A17" t="s">
        <v>255</v>
      </c>
      <c r="B17" t="s">
        <v>638</v>
      </c>
      <c r="C17" t="s">
        <v>72</v>
      </c>
      <c r="D17" t="s">
        <v>256</v>
      </c>
      <c r="E17" t="s">
        <v>51</v>
      </c>
    </row>
    <row r="19" spans="1:5" ht="18" thickBot="1">
      <c r="A19" s="286" t="s">
        <v>721</v>
      </c>
      <c r="B19" s="286"/>
      <c r="C19" s="286"/>
      <c r="D19" s="286"/>
      <c r="E19" s="286"/>
    </row>
    <row r="20" spans="1:5" ht="13.5" thickTop="1">
      <c r="A20" t="s">
        <v>539</v>
      </c>
      <c r="B20" t="s">
        <v>638</v>
      </c>
      <c r="C20" t="s">
        <v>72</v>
      </c>
      <c r="D20" t="s">
        <v>522</v>
      </c>
      <c r="E20" t="s">
        <v>51</v>
      </c>
    </row>
    <row r="21" spans="1:5">
      <c r="A21" t="s">
        <v>540</v>
      </c>
      <c r="B21" t="s">
        <v>638</v>
      </c>
      <c r="C21" t="s">
        <v>72</v>
      </c>
      <c r="D21" t="s">
        <v>527</v>
      </c>
      <c r="E21" t="s">
        <v>51</v>
      </c>
    </row>
    <row r="22" spans="1:5">
      <c r="A22" t="s">
        <v>541</v>
      </c>
      <c r="B22" t="s">
        <v>638</v>
      </c>
      <c r="C22" t="s">
        <v>72</v>
      </c>
      <c r="D22" t="s">
        <v>528</v>
      </c>
      <c r="E22" t="s">
        <v>51</v>
      </c>
    </row>
    <row r="23" spans="1:5">
      <c r="A23" t="s">
        <v>542</v>
      </c>
      <c r="B23" t="s">
        <v>638</v>
      </c>
      <c r="C23" t="s">
        <v>72</v>
      </c>
      <c r="D23" t="s">
        <v>529</v>
      </c>
      <c r="E23" t="s">
        <v>51</v>
      </c>
    </row>
    <row r="25" spans="1:5" ht="18" thickBot="1">
      <c r="A25" s="286" t="s">
        <v>722</v>
      </c>
      <c r="B25" s="286"/>
      <c r="C25" s="286"/>
      <c r="D25" s="286"/>
      <c r="E25" s="286"/>
    </row>
    <row r="26" spans="1:5" ht="13.5" thickTop="1">
      <c r="A26" t="s">
        <v>182</v>
      </c>
      <c r="B26" t="s">
        <v>13</v>
      </c>
      <c r="C26" t="s">
        <v>354</v>
      </c>
      <c r="D26" t="s">
        <v>185</v>
      </c>
      <c r="E26" t="s">
        <v>51</v>
      </c>
    </row>
    <row r="27" spans="1:5">
      <c r="A27" t="s">
        <v>183</v>
      </c>
      <c r="B27" t="s">
        <v>13</v>
      </c>
      <c r="C27" t="s">
        <v>354</v>
      </c>
      <c r="D27" t="s">
        <v>186</v>
      </c>
      <c r="E27" t="s">
        <v>12</v>
      </c>
    </row>
    <row r="29" spans="1:5" ht="18" thickBot="1">
      <c r="A29" s="286" t="s">
        <v>723</v>
      </c>
      <c r="B29" s="286"/>
      <c r="C29" s="286"/>
      <c r="D29" s="286"/>
      <c r="E29" s="286"/>
    </row>
    <row r="30" spans="1:5" ht="13.5" thickTop="1">
      <c r="A30" t="s">
        <v>181</v>
      </c>
      <c r="B30" t="s">
        <v>13</v>
      </c>
      <c r="C30" t="s">
        <v>354</v>
      </c>
      <c r="D30" t="s">
        <v>184</v>
      </c>
      <c r="E30" t="s">
        <v>118</v>
      </c>
    </row>
  </sheetData>
  <mergeCells count="1">
    <mergeCell ref="A1:E3"/>
  </mergeCells>
  <phoneticPr fontId="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Feuil10"/>
  <dimension ref="A1:E81"/>
  <sheetViews>
    <sheetView workbookViewId="0">
      <selection activeCell="A4" sqref="A4:D4"/>
    </sheetView>
  </sheetViews>
  <sheetFormatPr defaultColWidth="11.42578125" defaultRowHeight="12.75"/>
  <cols>
    <col min="1" max="1" width="26.85546875" bestFit="1" customWidth="1"/>
    <col min="2" max="2" width="7.5703125" bestFit="1" customWidth="1"/>
    <col min="3" max="3" width="10.85546875" bestFit="1" customWidth="1"/>
    <col min="4" max="4" width="66.5703125" bestFit="1" customWidth="1"/>
  </cols>
  <sheetData>
    <row r="1" spans="1:5" ht="19.5" customHeight="1">
      <c r="A1" s="361" t="s">
        <v>692</v>
      </c>
      <c r="B1" s="361"/>
      <c r="C1" s="361"/>
      <c r="D1" s="361"/>
      <c r="E1" s="361"/>
    </row>
    <row r="2" spans="1:5">
      <c r="A2" s="361"/>
      <c r="B2" s="361"/>
      <c r="C2" s="361"/>
      <c r="D2" s="361"/>
      <c r="E2" s="361"/>
    </row>
    <row r="3" spans="1:5" ht="13.5" thickBot="1">
      <c r="A3" s="362"/>
      <c r="B3" s="362"/>
      <c r="C3" s="362"/>
      <c r="D3" s="362"/>
      <c r="E3" s="362"/>
    </row>
    <row r="4" spans="1:5" ht="13.5" thickTop="1">
      <c r="A4" s="285" t="s">
        <v>786</v>
      </c>
      <c r="B4" s="285" t="s">
        <v>700</v>
      </c>
      <c r="C4" s="285" t="s">
        <v>789</v>
      </c>
      <c r="D4" s="285" t="s">
        <v>699</v>
      </c>
      <c r="E4" t="s">
        <v>787</v>
      </c>
    </row>
    <row r="10" spans="1:5" ht="18" thickBot="1">
      <c r="A10" s="286" t="s">
        <v>706</v>
      </c>
      <c r="B10" s="286"/>
      <c r="C10" s="286"/>
      <c r="D10" s="286"/>
      <c r="E10" s="286"/>
    </row>
    <row r="11" spans="1:5" ht="13.5" thickTop="1">
      <c r="A11" t="s">
        <v>52</v>
      </c>
      <c r="B11" t="s">
        <v>13</v>
      </c>
      <c r="C11" t="s">
        <v>354</v>
      </c>
      <c r="D11" t="s">
        <v>377</v>
      </c>
      <c r="E11" t="s">
        <v>12</v>
      </c>
    </row>
    <row r="12" spans="1:5">
      <c r="A12" t="s">
        <v>53</v>
      </c>
      <c r="B12" t="s">
        <v>13</v>
      </c>
      <c r="C12" t="s">
        <v>354</v>
      </c>
      <c r="D12" t="s">
        <v>378</v>
      </c>
      <c r="E12" t="s">
        <v>12</v>
      </c>
    </row>
    <row r="13" spans="1:5">
      <c r="A13" t="s">
        <v>379</v>
      </c>
      <c r="B13" t="s">
        <v>13</v>
      </c>
      <c r="C13" t="s">
        <v>354</v>
      </c>
      <c r="D13" t="s">
        <v>380</v>
      </c>
      <c r="E13" t="s">
        <v>12</v>
      </c>
    </row>
    <row r="14" spans="1:5">
      <c r="A14" t="s">
        <v>381</v>
      </c>
      <c r="B14" t="s">
        <v>13</v>
      </c>
      <c r="C14" t="s">
        <v>354</v>
      </c>
      <c r="D14" t="s">
        <v>382</v>
      </c>
      <c r="E14" t="s">
        <v>12</v>
      </c>
    </row>
    <row r="15" spans="1:5">
      <c r="A15" t="s">
        <v>383</v>
      </c>
      <c r="B15" t="s">
        <v>13</v>
      </c>
      <c r="C15" t="s">
        <v>354</v>
      </c>
      <c r="D15" t="s">
        <v>384</v>
      </c>
      <c r="E15" t="s">
        <v>12</v>
      </c>
    </row>
    <row r="16" spans="1:5">
      <c r="A16" t="s">
        <v>385</v>
      </c>
      <c r="B16" t="s">
        <v>13</v>
      </c>
      <c r="C16" t="s">
        <v>354</v>
      </c>
      <c r="D16" t="s">
        <v>386</v>
      </c>
      <c r="E16" t="s">
        <v>12</v>
      </c>
    </row>
    <row r="17" spans="1:5">
      <c r="A17" t="s">
        <v>652</v>
      </c>
      <c r="B17" t="s">
        <v>13</v>
      </c>
      <c r="C17" t="s">
        <v>354</v>
      </c>
      <c r="D17" t="s">
        <v>388</v>
      </c>
      <c r="E17" t="s">
        <v>12</v>
      </c>
    </row>
    <row r="18" spans="1:5">
      <c r="A18" t="s">
        <v>653</v>
      </c>
      <c r="B18" t="s">
        <v>13</v>
      </c>
      <c r="C18" t="s">
        <v>354</v>
      </c>
      <c r="D18" t="s">
        <v>390</v>
      </c>
      <c r="E18" t="s">
        <v>12</v>
      </c>
    </row>
    <row r="20" spans="1:5" ht="18" thickBot="1">
      <c r="A20" s="286" t="s">
        <v>743</v>
      </c>
      <c r="B20" s="286"/>
      <c r="C20" s="286"/>
      <c r="D20" s="286"/>
      <c r="E20" s="286"/>
    </row>
    <row r="21" spans="1:5" ht="13.5" thickTop="1">
      <c r="A21" t="s">
        <v>52</v>
      </c>
      <c r="B21" t="s">
        <v>13</v>
      </c>
      <c r="C21" t="s">
        <v>354</v>
      </c>
      <c r="D21" t="s">
        <v>377</v>
      </c>
      <c r="E21" t="s">
        <v>12</v>
      </c>
    </row>
    <row r="22" spans="1:5">
      <c r="A22" t="s">
        <v>53</v>
      </c>
      <c r="B22" t="s">
        <v>13</v>
      </c>
      <c r="C22" t="s">
        <v>354</v>
      </c>
      <c r="D22" t="s">
        <v>378</v>
      </c>
      <c r="E22" t="s">
        <v>12</v>
      </c>
    </row>
    <row r="24" spans="1:5" ht="18" thickBot="1">
      <c r="A24" s="286" t="s">
        <v>727</v>
      </c>
      <c r="B24" s="286"/>
      <c r="C24" s="286"/>
      <c r="D24" s="286"/>
      <c r="E24" s="286"/>
    </row>
    <row r="25" spans="1:5" ht="13.5" thickTop="1">
      <c r="A25" t="s">
        <v>379</v>
      </c>
      <c r="B25" t="s">
        <v>13</v>
      </c>
      <c r="C25" t="s">
        <v>354</v>
      </c>
      <c r="D25" t="s">
        <v>380</v>
      </c>
      <c r="E25" t="s">
        <v>12</v>
      </c>
    </row>
    <row r="26" spans="1:5">
      <c r="A26" t="s">
        <v>381</v>
      </c>
      <c r="B26" t="s">
        <v>13</v>
      </c>
      <c r="C26" t="s">
        <v>354</v>
      </c>
      <c r="D26" t="s">
        <v>382</v>
      </c>
      <c r="E26" t="s">
        <v>12</v>
      </c>
    </row>
    <row r="27" spans="1:5">
      <c r="A27" t="s">
        <v>383</v>
      </c>
      <c r="B27" t="s">
        <v>13</v>
      </c>
      <c r="C27" t="s">
        <v>354</v>
      </c>
      <c r="D27" t="s">
        <v>384</v>
      </c>
      <c r="E27" t="s">
        <v>12</v>
      </c>
    </row>
    <row r="28" spans="1:5">
      <c r="A28" t="s">
        <v>385</v>
      </c>
      <c r="B28" t="s">
        <v>13</v>
      </c>
      <c r="C28" t="s">
        <v>354</v>
      </c>
      <c r="D28" t="s">
        <v>386</v>
      </c>
      <c r="E28" t="s">
        <v>12</v>
      </c>
    </row>
    <row r="29" spans="1:5">
      <c r="A29" t="s">
        <v>652</v>
      </c>
      <c r="B29" t="s">
        <v>13</v>
      </c>
      <c r="C29" t="s">
        <v>354</v>
      </c>
      <c r="D29" t="s">
        <v>388</v>
      </c>
      <c r="E29" t="s">
        <v>12</v>
      </c>
    </row>
    <row r="30" spans="1:5">
      <c r="A30" t="s">
        <v>653</v>
      </c>
      <c r="B30" t="s">
        <v>13</v>
      </c>
      <c r="C30" t="s">
        <v>354</v>
      </c>
      <c r="D30" t="s">
        <v>390</v>
      </c>
      <c r="E30" t="s">
        <v>12</v>
      </c>
    </row>
    <row r="32" spans="1:5" ht="18" thickBot="1">
      <c r="A32" s="286" t="s">
        <v>776</v>
      </c>
      <c r="B32" s="286"/>
      <c r="C32" s="286"/>
      <c r="D32" s="286"/>
      <c r="E32" s="286"/>
    </row>
    <row r="33" spans="1:5" ht="13.5" thickTop="1">
      <c r="A33" t="s">
        <v>188</v>
      </c>
      <c r="B33" t="s">
        <v>13</v>
      </c>
      <c r="C33" t="s">
        <v>354</v>
      </c>
      <c r="D33" t="s">
        <v>190</v>
      </c>
      <c r="E33" t="s">
        <v>51</v>
      </c>
    </row>
    <row r="35" spans="1:5" ht="18" thickBot="1">
      <c r="A35" s="286" t="s">
        <v>745</v>
      </c>
      <c r="B35" s="286"/>
      <c r="C35" s="286"/>
      <c r="D35" s="286"/>
      <c r="E35" s="286"/>
    </row>
    <row r="36" spans="1:5" ht="13.5" thickTop="1">
      <c r="A36" t="s">
        <v>89</v>
      </c>
      <c r="B36" t="s">
        <v>13</v>
      </c>
      <c r="C36" t="s">
        <v>354</v>
      </c>
      <c r="D36" t="s">
        <v>90</v>
      </c>
      <c r="E36" t="s">
        <v>63</v>
      </c>
    </row>
    <row r="38" spans="1:5" ht="18" thickBot="1">
      <c r="A38" s="286" t="s">
        <v>760</v>
      </c>
      <c r="B38" s="286"/>
      <c r="C38" s="286"/>
      <c r="D38" s="286"/>
      <c r="E38" s="286"/>
    </row>
    <row r="39" spans="1:5" ht="13.5" thickTop="1">
      <c r="A39" t="s">
        <v>654</v>
      </c>
      <c r="B39" t="s">
        <v>13</v>
      </c>
      <c r="C39" t="s">
        <v>354</v>
      </c>
      <c r="D39" t="s">
        <v>517</v>
      </c>
      <c r="E39" t="s">
        <v>118</v>
      </c>
    </row>
    <row r="40" spans="1:5">
      <c r="A40" t="s">
        <v>655</v>
      </c>
      <c r="B40" t="s">
        <v>638</v>
      </c>
      <c r="C40" t="s">
        <v>72</v>
      </c>
      <c r="D40" t="s">
        <v>523</v>
      </c>
      <c r="E40" t="s">
        <v>118</v>
      </c>
    </row>
    <row r="41" spans="1:5">
      <c r="A41" t="s">
        <v>656</v>
      </c>
      <c r="B41" t="s">
        <v>638</v>
      </c>
      <c r="C41" t="s">
        <v>72</v>
      </c>
      <c r="D41" t="s">
        <v>524</v>
      </c>
      <c r="E41" t="s">
        <v>118</v>
      </c>
    </row>
    <row r="42" spans="1:5">
      <c r="A42" t="s">
        <v>657</v>
      </c>
      <c r="B42" t="s">
        <v>638</v>
      </c>
      <c r="C42" t="s">
        <v>72</v>
      </c>
      <c r="D42" t="s">
        <v>525</v>
      </c>
      <c r="E42" t="s">
        <v>118</v>
      </c>
    </row>
    <row r="43" spans="1:5">
      <c r="A43" t="s">
        <v>658</v>
      </c>
      <c r="B43" t="s">
        <v>638</v>
      </c>
      <c r="C43" t="s">
        <v>72</v>
      </c>
      <c r="D43" t="s">
        <v>526</v>
      </c>
      <c r="E43" t="s">
        <v>118</v>
      </c>
    </row>
    <row r="45" spans="1:5" ht="18" thickBot="1">
      <c r="A45" s="286" t="s">
        <v>767</v>
      </c>
      <c r="B45" s="286"/>
      <c r="C45" s="286"/>
      <c r="D45" s="286"/>
      <c r="E45" s="286"/>
    </row>
    <row r="46" spans="1:5" ht="13.5" thickTop="1">
      <c r="A46" t="s">
        <v>654</v>
      </c>
      <c r="B46" t="s">
        <v>13</v>
      </c>
      <c r="C46" t="s">
        <v>354</v>
      </c>
      <c r="D46" t="s">
        <v>517</v>
      </c>
      <c r="E46" t="s">
        <v>118</v>
      </c>
    </row>
    <row r="47" spans="1:5">
      <c r="A47" t="s">
        <v>655</v>
      </c>
      <c r="B47" t="s">
        <v>638</v>
      </c>
      <c r="C47" t="s">
        <v>72</v>
      </c>
      <c r="D47" t="s">
        <v>523</v>
      </c>
      <c r="E47" t="s">
        <v>118</v>
      </c>
    </row>
    <row r="48" spans="1:5">
      <c r="A48" t="s">
        <v>656</v>
      </c>
      <c r="B48" t="s">
        <v>638</v>
      </c>
      <c r="C48" t="s">
        <v>72</v>
      </c>
      <c r="D48" t="s">
        <v>524</v>
      </c>
      <c r="E48" t="s">
        <v>118</v>
      </c>
    </row>
    <row r="49" spans="1:5">
      <c r="A49" t="s">
        <v>657</v>
      </c>
      <c r="B49" t="s">
        <v>638</v>
      </c>
      <c r="C49" t="s">
        <v>72</v>
      </c>
      <c r="D49" t="s">
        <v>525</v>
      </c>
      <c r="E49" t="s">
        <v>118</v>
      </c>
    </row>
    <row r="50" spans="1:5">
      <c r="A50" t="s">
        <v>658</v>
      </c>
      <c r="B50" t="s">
        <v>638</v>
      </c>
      <c r="C50" t="s">
        <v>72</v>
      </c>
      <c r="D50" t="s">
        <v>526</v>
      </c>
      <c r="E50" t="s">
        <v>118</v>
      </c>
    </row>
    <row r="52" spans="1:5" ht="18" thickBot="1">
      <c r="A52" s="286" t="s">
        <v>761</v>
      </c>
      <c r="B52" s="286"/>
      <c r="C52" s="286"/>
      <c r="D52" s="286"/>
      <c r="E52" s="286"/>
    </row>
    <row r="53" spans="1:5" ht="13.5" thickTop="1">
      <c r="A53" t="s">
        <v>516</v>
      </c>
      <c r="B53" t="s">
        <v>13</v>
      </c>
      <c r="C53" t="s">
        <v>354</v>
      </c>
      <c r="D53" t="s">
        <v>549</v>
      </c>
      <c r="E53" t="s">
        <v>120</v>
      </c>
    </row>
    <row r="54" spans="1:5">
      <c r="A54" t="s">
        <v>530</v>
      </c>
      <c r="B54" t="s">
        <v>638</v>
      </c>
      <c r="C54" t="s">
        <v>72</v>
      </c>
      <c r="D54" t="s">
        <v>550</v>
      </c>
      <c r="E54" t="s">
        <v>120</v>
      </c>
    </row>
    <row r="55" spans="1:5">
      <c r="A55" t="s">
        <v>531</v>
      </c>
      <c r="B55" t="s">
        <v>638</v>
      </c>
      <c r="C55" t="s">
        <v>72</v>
      </c>
      <c r="D55" t="s">
        <v>551</v>
      </c>
      <c r="E55" t="s">
        <v>120</v>
      </c>
    </row>
    <row r="56" spans="1:5">
      <c r="A56" t="s">
        <v>518</v>
      </c>
      <c r="B56" t="s">
        <v>638</v>
      </c>
      <c r="C56" t="s">
        <v>72</v>
      </c>
      <c r="D56" t="s">
        <v>552</v>
      </c>
      <c r="E56" t="s">
        <v>120</v>
      </c>
    </row>
    <row r="57" spans="1:5">
      <c r="A57" t="s">
        <v>532</v>
      </c>
      <c r="B57" t="s">
        <v>638</v>
      </c>
      <c r="C57" t="s">
        <v>72</v>
      </c>
      <c r="D57" t="s">
        <v>553</v>
      </c>
      <c r="E57" t="s">
        <v>120</v>
      </c>
    </row>
    <row r="59" spans="1:5" ht="18" thickBot="1">
      <c r="A59" s="286" t="s">
        <v>730</v>
      </c>
      <c r="B59" s="286"/>
      <c r="C59" s="286"/>
      <c r="D59" s="286"/>
      <c r="E59" s="286"/>
    </row>
    <row r="60" spans="1:5" ht="13.5" thickTop="1">
      <c r="A60" t="s">
        <v>659</v>
      </c>
      <c r="B60" t="s">
        <v>638</v>
      </c>
      <c r="C60" t="s">
        <v>72</v>
      </c>
      <c r="D60" t="s">
        <v>258</v>
      </c>
      <c r="E60" t="s">
        <v>192</v>
      </c>
    </row>
    <row r="61" spans="1:5">
      <c r="A61" t="s">
        <v>660</v>
      </c>
      <c r="B61" t="s">
        <v>638</v>
      </c>
      <c r="C61" t="s">
        <v>72</v>
      </c>
      <c r="D61" t="s">
        <v>325</v>
      </c>
      <c r="E61" t="s">
        <v>192</v>
      </c>
    </row>
    <row r="62" spans="1:5">
      <c r="A62" t="s">
        <v>661</v>
      </c>
      <c r="B62" t="s">
        <v>638</v>
      </c>
      <c r="C62" t="s">
        <v>72</v>
      </c>
      <c r="D62" t="s">
        <v>326</v>
      </c>
      <c r="E62" t="s">
        <v>192</v>
      </c>
    </row>
    <row r="64" spans="1:5" ht="18" thickBot="1">
      <c r="A64" s="286" t="s">
        <v>777</v>
      </c>
      <c r="B64" s="286"/>
      <c r="C64" s="286"/>
      <c r="D64" s="286"/>
      <c r="E64" s="286"/>
    </row>
    <row r="65" spans="1:5" ht="13.5" thickTop="1">
      <c r="A65" t="s">
        <v>429</v>
      </c>
      <c r="B65" t="s">
        <v>638</v>
      </c>
      <c r="C65" t="s">
        <v>72</v>
      </c>
      <c r="D65" t="s">
        <v>430</v>
      </c>
      <c r="E65" t="s">
        <v>321</v>
      </c>
    </row>
    <row r="66" spans="1:5">
      <c r="A66" t="s">
        <v>431</v>
      </c>
      <c r="B66" t="s">
        <v>638</v>
      </c>
      <c r="C66" t="s">
        <v>72</v>
      </c>
      <c r="D66" t="s">
        <v>432</v>
      </c>
      <c r="E66" t="s">
        <v>433</v>
      </c>
    </row>
    <row r="67" spans="1:5">
      <c r="A67" t="s">
        <v>434</v>
      </c>
      <c r="B67" t="s">
        <v>638</v>
      </c>
      <c r="C67" t="s">
        <v>72</v>
      </c>
      <c r="D67" t="s">
        <v>435</v>
      </c>
      <c r="E67" t="s">
        <v>96</v>
      </c>
    </row>
    <row r="68" spans="1:5">
      <c r="A68" t="s">
        <v>436</v>
      </c>
      <c r="B68" t="s">
        <v>638</v>
      </c>
      <c r="C68" t="s">
        <v>72</v>
      </c>
      <c r="D68" t="s">
        <v>437</v>
      </c>
      <c r="E68" t="s">
        <v>438</v>
      </c>
    </row>
    <row r="69" spans="1:5">
      <c r="A69" t="s">
        <v>318</v>
      </c>
      <c r="B69" t="s">
        <v>638</v>
      </c>
      <c r="C69" t="s">
        <v>72</v>
      </c>
      <c r="D69" t="s">
        <v>320</v>
      </c>
      <c r="E69" t="s">
        <v>321</v>
      </c>
    </row>
    <row r="70" spans="1:5">
      <c r="A70" t="s">
        <v>319</v>
      </c>
      <c r="B70" t="s">
        <v>638</v>
      </c>
      <c r="C70" t="s">
        <v>72</v>
      </c>
      <c r="D70" t="s">
        <v>322</v>
      </c>
      <c r="E70" t="s">
        <v>321</v>
      </c>
    </row>
    <row r="71" spans="1:5">
      <c r="A71" t="s">
        <v>337</v>
      </c>
      <c r="B71" t="s">
        <v>638</v>
      </c>
      <c r="C71" t="s">
        <v>72</v>
      </c>
      <c r="D71" t="s">
        <v>335</v>
      </c>
      <c r="E71" t="s">
        <v>96</v>
      </c>
    </row>
    <row r="72" spans="1:5">
      <c r="A72" t="s">
        <v>338</v>
      </c>
      <c r="B72" t="s">
        <v>638</v>
      </c>
      <c r="C72" t="s">
        <v>72</v>
      </c>
      <c r="D72" t="s">
        <v>336</v>
      </c>
      <c r="E72" t="s">
        <v>96</v>
      </c>
    </row>
    <row r="73" spans="1:5">
      <c r="A73" t="s">
        <v>439</v>
      </c>
      <c r="B73" t="s">
        <v>638</v>
      </c>
      <c r="C73" t="s">
        <v>72</v>
      </c>
      <c r="D73" t="s">
        <v>440</v>
      </c>
      <c r="E73" t="s">
        <v>438</v>
      </c>
    </row>
    <row r="74" spans="1:5">
      <c r="A74" t="s">
        <v>441</v>
      </c>
      <c r="B74" t="s">
        <v>638</v>
      </c>
      <c r="C74" t="s">
        <v>72</v>
      </c>
      <c r="D74" t="s">
        <v>442</v>
      </c>
      <c r="E74" t="s">
        <v>321</v>
      </c>
    </row>
    <row r="75" spans="1:5">
      <c r="A75" t="s">
        <v>443</v>
      </c>
      <c r="B75" t="s">
        <v>638</v>
      </c>
      <c r="C75" t="s">
        <v>72</v>
      </c>
      <c r="D75" t="s">
        <v>444</v>
      </c>
      <c r="E75" t="s">
        <v>51</v>
      </c>
    </row>
    <row r="76" spans="1:5">
      <c r="A76" t="s">
        <v>445</v>
      </c>
      <c r="B76" t="s">
        <v>638</v>
      </c>
      <c r="C76" t="s">
        <v>72</v>
      </c>
      <c r="D76" t="s">
        <v>446</v>
      </c>
      <c r="E76" t="s">
        <v>51</v>
      </c>
    </row>
    <row r="77" spans="1:5">
      <c r="A77" t="s">
        <v>447</v>
      </c>
      <c r="B77" t="s">
        <v>13</v>
      </c>
      <c r="C77" t="s">
        <v>354</v>
      </c>
      <c r="D77" t="s">
        <v>448</v>
      </c>
      <c r="E77" t="s">
        <v>51</v>
      </c>
    </row>
    <row r="78" spans="1:5">
      <c r="A78" t="s">
        <v>449</v>
      </c>
      <c r="B78" t="s">
        <v>13</v>
      </c>
      <c r="C78" t="s">
        <v>354</v>
      </c>
      <c r="D78" t="s">
        <v>450</v>
      </c>
      <c r="E78" t="s">
        <v>12</v>
      </c>
    </row>
    <row r="79" spans="1:5">
      <c r="A79" t="s">
        <v>451</v>
      </c>
      <c r="B79" t="s">
        <v>625</v>
      </c>
      <c r="C79" t="s">
        <v>354</v>
      </c>
      <c r="D79" t="s">
        <v>452</v>
      </c>
      <c r="E79" t="s">
        <v>51</v>
      </c>
    </row>
    <row r="80" spans="1:5">
      <c r="A80" t="s">
        <v>453</v>
      </c>
      <c r="B80" t="s">
        <v>625</v>
      </c>
      <c r="C80" t="s">
        <v>354</v>
      </c>
      <c r="D80" t="s">
        <v>454</v>
      </c>
      <c r="E80" t="s">
        <v>51</v>
      </c>
    </row>
    <row r="81" spans="1:5">
      <c r="A81" t="s">
        <v>662</v>
      </c>
      <c r="B81" t="s">
        <v>638</v>
      </c>
      <c r="C81" t="s">
        <v>72</v>
      </c>
      <c r="D81" t="s">
        <v>455</v>
      </c>
      <c r="E81" t="s">
        <v>328</v>
      </c>
    </row>
  </sheetData>
  <mergeCells count="1">
    <mergeCell ref="A1:E3"/>
  </mergeCells>
  <phoneticPr fontId="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Feuil5"/>
  <dimension ref="A1:E125"/>
  <sheetViews>
    <sheetView workbookViewId="0">
      <selection activeCell="A4" sqref="A4:D4"/>
    </sheetView>
  </sheetViews>
  <sheetFormatPr defaultColWidth="11.42578125" defaultRowHeight="12.75"/>
  <cols>
    <col min="1" max="1" width="37.85546875" bestFit="1" customWidth="1"/>
    <col min="2" max="2" width="7.5703125" bestFit="1" customWidth="1"/>
    <col min="3" max="3" width="10.85546875" bestFit="1" customWidth="1"/>
    <col min="4" max="4" width="72.140625" bestFit="1" customWidth="1"/>
  </cols>
  <sheetData>
    <row r="1" spans="1:5" ht="19.5" customHeight="1">
      <c r="A1" s="361" t="s">
        <v>686</v>
      </c>
      <c r="B1" s="361"/>
      <c r="C1" s="361"/>
      <c r="D1" s="361"/>
      <c r="E1" s="361"/>
    </row>
    <row r="2" spans="1:5">
      <c r="A2" s="361"/>
      <c r="B2" s="361"/>
      <c r="C2" s="361"/>
      <c r="D2" s="361"/>
      <c r="E2" s="361"/>
    </row>
    <row r="3" spans="1:5" ht="13.5" thickBot="1">
      <c r="A3" s="362"/>
      <c r="B3" s="362"/>
      <c r="C3" s="362"/>
      <c r="D3" s="362"/>
      <c r="E3" s="362"/>
    </row>
    <row r="4" spans="1:5" ht="13.5" thickTop="1">
      <c r="A4" s="285" t="s">
        <v>786</v>
      </c>
      <c r="B4" s="285" t="s">
        <v>700</v>
      </c>
      <c r="C4" s="285" t="s">
        <v>789</v>
      </c>
      <c r="D4" s="285" t="s">
        <v>699</v>
      </c>
      <c r="E4" t="s">
        <v>787</v>
      </c>
    </row>
    <row r="10" spans="1:5" ht="18" thickBot="1">
      <c r="A10" s="286" t="s">
        <v>724</v>
      </c>
      <c r="B10" s="286"/>
      <c r="C10" s="286"/>
      <c r="D10" s="286"/>
      <c r="E10" s="286"/>
    </row>
    <row r="11" spans="1:5" ht="13.5" thickTop="1">
      <c r="A11" t="s">
        <v>138</v>
      </c>
      <c r="B11" t="s">
        <v>13</v>
      </c>
      <c r="C11" t="s">
        <v>354</v>
      </c>
      <c r="D11" t="s">
        <v>139</v>
      </c>
      <c r="E11" t="s">
        <v>42</v>
      </c>
    </row>
    <row r="12" spans="1:5">
      <c r="A12" t="s">
        <v>599</v>
      </c>
      <c r="B12" t="s">
        <v>13</v>
      </c>
      <c r="C12" t="s">
        <v>354</v>
      </c>
      <c r="D12" t="s">
        <v>554</v>
      </c>
      <c r="E12" t="s">
        <v>42</v>
      </c>
    </row>
    <row r="13" spans="1:5">
      <c r="A13" t="s">
        <v>140</v>
      </c>
      <c r="B13" t="s">
        <v>13</v>
      </c>
      <c r="C13" t="s">
        <v>354</v>
      </c>
      <c r="D13" t="s">
        <v>141</v>
      </c>
      <c r="E13" t="s">
        <v>42</v>
      </c>
    </row>
    <row r="14" spans="1:5">
      <c r="A14" t="s">
        <v>142</v>
      </c>
      <c r="B14" t="s">
        <v>13</v>
      </c>
      <c r="C14" t="s">
        <v>354</v>
      </c>
      <c r="D14" t="s">
        <v>143</v>
      </c>
      <c r="E14" t="s">
        <v>42</v>
      </c>
    </row>
    <row r="15" spans="1:5">
      <c r="A15" t="s">
        <v>600</v>
      </c>
      <c r="B15" t="s">
        <v>13</v>
      </c>
      <c r="C15" t="s">
        <v>354</v>
      </c>
      <c r="D15" t="s">
        <v>555</v>
      </c>
      <c r="E15" t="s">
        <v>42</v>
      </c>
    </row>
    <row r="16" spans="1:5">
      <c r="A16" t="s">
        <v>144</v>
      </c>
      <c r="B16" t="s">
        <v>13</v>
      </c>
      <c r="C16" t="s">
        <v>354</v>
      </c>
      <c r="D16" t="s">
        <v>78</v>
      </c>
      <c r="E16" t="s">
        <v>51</v>
      </c>
    </row>
    <row r="17" spans="1:5">
      <c r="A17" t="s">
        <v>603</v>
      </c>
      <c r="B17" t="s">
        <v>13</v>
      </c>
      <c r="C17" t="s">
        <v>354</v>
      </c>
      <c r="D17" t="s">
        <v>558</v>
      </c>
      <c r="E17" t="s">
        <v>51</v>
      </c>
    </row>
    <row r="18" spans="1:5">
      <c r="A18" t="s">
        <v>145</v>
      </c>
      <c r="B18" t="s">
        <v>13</v>
      </c>
      <c r="C18" t="s">
        <v>354</v>
      </c>
      <c r="D18" t="s">
        <v>79</v>
      </c>
      <c r="E18" t="s">
        <v>51</v>
      </c>
    </row>
    <row r="19" spans="1:5">
      <c r="A19" t="s">
        <v>146</v>
      </c>
      <c r="B19" t="s">
        <v>13</v>
      </c>
      <c r="C19" t="s">
        <v>354</v>
      </c>
      <c r="D19" t="s">
        <v>148</v>
      </c>
      <c r="E19" t="s">
        <v>51</v>
      </c>
    </row>
    <row r="20" spans="1:5">
      <c r="A20" t="s">
        <v>604</v>
      </c>
      <c r="B20" t="s">
        <v>13</v>
      </c>
      <c r="C20" t="s">
        <v>354</v>
      </c>
      <c r="D20" t="s">
        <v>559</v>
      </c>
      <c r="E20" t="s">
        <v>51</v>
      </c>
    </row>
    <row r="21" spans="1:5">
      <c r="A21" t="s">
        <v>147</v>
      </c>
      <c r="B21" t="s">
        <v>13</v>
      </c>
      <c r="C21" t="s">
        <v>354</v>
      </c>
      <c r="D21" t="s">
        <v>149</v>
      </c>
      <c r="E21" t="s">
        <v>51</v>
      </c>
    </row>
    <row r="22" spans="1:5">
      <c r="A22" t="s">
        <v>650</v>
      </c>
      <c r="B22" t="s">
        <v>13</v>
      </c>
      <c r="C22" t="s">
        <v>354</v>
      </c>
      <c r="D22" t="s">
        <v>363</v>
      </c>
      <c r="E22" t="s">
        <v>51</v>
      </c>
    </row>
    <row r="23" spans="1:5">
      <c r="A23" t="s">
        <v>651</v>
      </c>
      <c r="B23" t="s">
        <v>13</v>
      </c>
      <c r="C23" t="s">
        <v>354</v>
      </c>
      <c r="D23" t="s">
        <v>365</v>
      </c>
      <c r="E23" t="s">
        <v>51</v>
      </c>
    </row>
    <row r="24" spans="1:5">
      <c r="A24" t="s">
        <v>10</v>
      </c>
      <c r="B24" t="s">
        <v>13</v>
      </c>
      <c r="C24" t="s">
        <v>354</v>
      </c>
      <c r="D24" t="s">
        <v>376</v>
      </c>
      <c r="E24" t="s">
        <v>12</v>
      </c>
    </row>
    <row r="25" spans="1:5">
      <c r="A25" t="s">
        <v>608</v>
      </c>
      <c r="B25" t="s">
        <v>13</v>
      </c>
      <c r="C25" t="s">
        <v>354</v>
      </c>
      <c r="D25" t="s">
        <v>563</v>
      </c>
      <c r="E25" t="s">
        <v>12</v>
      </c>
    </row>
    <row r="26" spans="1:5">
      <c r="A26" t="s">
        <v>11</v>
      </c>
      <c r="B26" t="s">
        <v>13</v>
      </c>
      <c r="C26" t="s">
        <v>354</v>
      </c>
      <c r="D26" t="s">
        <v>419</v>
      </c>
      <c r="E26" t="s">
        <v>12</v>
      </c>
    </row>
    <row r="27" spans="1:5">
      <c r="A27" t="s">
        <v>609</v>
      </c>
      <c r="B27" t="s">
        <v>13</v>
      </c>
      <c r="C27" t="s">
        <v>354</v>
      </c>
      <c r="D27" t="s">
        <v>569</v>
      </c>
      <c r="E27" t="s">
        <v>12</v>
      </c>
    </row>
    <row r="28" spans="1:5">
      <c r="A28" t="s">
        <v>55</v>
      </c>
      <c r="B28" t="s">
        <v>13</v>
      </c>
      <c r="C28" t="s">
        <v>354</v>
      </c>
      <c r="D28" t="s">
        <v>420</v>
      </c>
      <c r="E28" t="s">
        <v>12</v>
      </c>
    </row>
    <row r="29" spans="1:5">
      <c r="A29" t="s">
        <v>56</v>
      </c>
      <c r="B29" t="s">
        <v>13</v>
      </c>
      <c r="C29" t="s">
        <v>354</v>
      </c>
      <c r="D29" t="s">
        <v>421</v>
      </c>
      <c r="E29" t="s">
        <v>12</v>
      </c>
    </row>
    <row r="30" spans="1:5">
      <c r="A30" t="s">
        <v>610</v>
      </c>
      <c r="B30" t="s">
        <v>13</v>
      </c>
      <c r="C30" t="s">
        <v>354</v>
      </c>
      <c r="D30" t="s">
        <v>564</v>
      </c>
      <c r="E30" t="s">
        <v>12</v>
      </c>
    </row>
    <row r="31" spans="1:5">
      <c r="A31" t="s">
        <v>57</v>
      </c>
      <c r="B31" t="s">
        <v>13</v>
      </c>
      <c r="C31" t="s">
        <v>354</v>
      </c>
      <c r="D31" t="s">
        <v>571</v>
      </c>
      <c r="E31" t="s">
        <v>12</v>
      </c>
    </row>
    <row r="32" spans="1:5">
      <c r="A32" t="s">
        <v>611</v>
      </c>
      <c r="B32" t="s">
        <v>13</v>
      </c>
      <c r="C32" t="s">
        <v>354</v>
      </c>
      <c r="D32" t="s">
        <v>565</v>
      </c>
      <c r="E32" t="s">
        <v>12</v>
      </c>
    </row>
    <row r="33" spans="1:5">
      <c r="A33" t="s">
        <v>58</v>
      </c>
      <c r="B33" t="s">
        <v>13</v>
      </c>
      <c r="C33" t="s">
        <v>354</v>
      </c>
      <c r="D33" t="s">
        <v>75</v>
      </c>
      <c r="E33" t="s">
        <v>12</v>
      </c>
    </row>
    <row r="34" spans="1:5">
      <c r="A34" t="s">
        <v>59</v>
      </c>
      <c r="B34" t="s">
        <v>13</v>
      </c>
      <c r="C34" t="s">
        <v>354</v>
      </c>
      <c r="D34" t="s">
        <v>76</v>
      </c>
      <c r="E34" t="s">
        <v>12</v>
      </c>
    </row>
    <row r="35" spans="1:5">
      <c r="A35" t="s">
        <v>612</v>
      </c>
      <c r="B35" t="s">
        <v>13</v>
      </c>
      <c r="C35" t="s">
        <v>354</v>
      </c>
      <c r="D35" t="s">
        <v>566</v>
      </c>
      <c r="E35" t="s">
        <v>12</v>
      </c>
    </row>
    <row r="36" spans="1:5">
      <c r="A36" t="s">
        <v>60</v>
      </c>
      <c r="B36" t="s">
        <v>13</v>
      </c>
      <c r="C36" t="s">
        <v>354</v>
      </c>
      <c r="D36" t="s">
        <v>77</v>
      </c>
      <c r="E36" t="s">
        <v>12</v>
      </c>
    </row>
    <row r="37" spans="1:5">
      <c r="A37" t="s">
        <v>150</v>
      </c>
      <c r="B37" t="s">
        <v>13</v>
      </c>
      <c r="C37" t="s">
        <v>354</v>
      </c>
      <c r="D37" t="s">
        <v>151</v>
      </c>
      <c r="E37" t="s">
        <v>42</v>
      </c>
    </row>
    <row r="38" spans="1:5">
      <c r="A38" t="s">
        <v>152</v>
      </c>
      <c r="B38" t="s">
        <v>13</v>
      </c>
      <c r="C38" t="s">
        <v>354</v>
      </c>
      <c r="D38" t="s">
        <v>153</v>
      </c>
      <c r="E38" t="s">
        <v>12</v>
      </c>
    </row>
    <row r="39" spans="1:5">
      <c r="A39" t="s">
        <v>613</v>
      </c>
      <c r="B39" t="s">
        <v>13</v>
      </c>
      <c r="C39" t="s">
        <v>354</v>
      </c>
      <c r="D39" t="s">
        <v>567</v>
      </c>
      <c r="E39" t="s">
        <v>12</v>
      </c>
    </row>
    <row r="40" spans="1:5">
      <c r="A40" t="s">
        <v>154</v>
      </c>
      <c r="B40" t="s">
        <v>13</v>
      </c>
      <c r="C40" t="s">
        <v>354</v>
      </c>
      <c r="D40" t="s">
        <v>155</v>
      </c>
      <c r="E40" t="s">
        <v>12</v>
      </c>
    </row>
    <row r="41" spans="1:5">
      <c r="A41" t="s">
        <v>156</v>
      </c>
      <c r="B41" t="s">
        <v>13</v>
      </c>
      <c r="C41" t="s">
        <v>354</v>
      </c>
      <c r="D41" t="s">
        <v>157</v>
      </c>
      <c r="E41" t="s">
        <v>12</v>
      </c>
    </row>
    <row r="42" spans="1:5">
      <c r="A42" t="s">
        <v>614</v>
      </c>
      <c r="B42" t="s">
        <v>13</v>
      </c>
      <c r="C42" t="s">
        <v>354</v>
      </c>
      <c r="D42" t="s">
        <v>568</v>
      </c>
      <c r="E42" t="s">
        <v>12</v>
      </c>
    </row>
    <row r="43" spans="1:5">
      <c r="A43" t="s">
        <v>158</v>
      </c>
      <c r="B43" t="s">
        <v>13</v>
      </c>
      <c r="C43" t="s">
        <v>354</v>
      </c>
      <c r="D43" t="s">
        <v>159</v>
      </c>
      <c r="E43" t="s">
        <v>12</v>
      </c>
    </row>
    <row r="44" spans="1:5">
      <c r="A44" t="s">
        <v>161</v>
      </c>
      <c r="B44" t="s">
        <v>13</v>
      </c>
      <c r="C44" t="s">
        <v>354</v>
      </c>
      <c r="D44" t="s">
        <v>82</v>
      </c>
      <c r="E44" t="s">
        <v>12</v>
      </c>
    </row>
    <row r="46" spans="1:5" ht="18" thickBot="1">
      <c r="A46" s="286" t="s">
        <v>725</v>
      </c>
      <c r="B46" s="286"/>
      <c r="C46" s="286"/>
      <c r="D46" s="286"/>
      <c r="E46" s="286"/>
    </row>
    <row r="47" spans="1:5" ht="13.5" thickTop="1">
      <c r="A47" t="s">
        <v>15</v>
      </c>
      <c r="B47" t="s">
        <v>13</v>
      </c>
      <c r="C47" t="s">
        <v>354</v>
      </c>
      <c r="D47" t="s">
        <v>374</v>
      </c>
      <c r="E47" t="s">
        <v>12</v>
      </c>
    </row>
    <row r="48" spans="1:5">
      <c r="A48" t="s">
        <v>607</v>
      </c>
      <c r="B48" t="s">
        <v>13</v>
      </c>
      <c r="C48" t="s">
        <v>354</v>
      </c>
      <c r="D48" t="s">
        <v>562</v>
      </c>
      <c r="E48" t="s">
        <v>12</v>
      </c>
    </row>
    <row r="49" spans="1:5">
      <c r="A49" t="s">
        <v>16</v>
      </c>
      <c r="B49" t="s">
        <v>13</v>
      </c>
      <c r="C49" t="s">
        <v>354</v>
      </c>
      <c r="D49" t="s">
        <v>375</v>
      </c>
      <c r="E49" t="s">
        <v>12</v>
      </c>
    </row>
    <row r="51" spans="1:5" ht="18" thickBot="1">
      <c r="A51" s="286" t="s">
        <v>726</v>
      </c>
      <c r="B51" s="286"/>
      <c r="C51" s="286"/>
      <c r="D51" s="286"/>
      <c r="E51" s="286"/>
    </row>
    <row r="52" spans="1:5" ht="13.5" thickTop="1">
      <c r="A52" t="s">
        <v>391</v>
      </c>
      <c r="B52" t="s">
        <v>13</v>
      </c>
      <c r="C52" t="s">
        <v>354</v>
      </c>
      <c r="D52" t="s">
        <v>216</v>
      </c>
      <c r="E52" t="s">
        <v>51</v>
      </c>
    </row>
    <row r="53" spans="1:5">
      <c r="A53" t="s">
        <v>217</v>
      </c>
      <c r="B53" t="s">
        <v>13</v>
      </c>
      <c r="C53" t="s">
        <v>354</v>
      </c>
      <c r="D53" t="s">
        <v>220</v>
      </c>
      <c r="E53" t="s">
        <v>42</v>
      </c>
    </row>
    <row r="54" spans="1:5">
      <c r="A54" t="s">
        <v>218</v>
      </c>
      <c r="B54" t="s">
        <v>13</v>
      </c>
      <c r="C54" t="s">
        <v>354</v>
      </c>
      <c r="D54" t="s">
        <v>221</v>
      </c>
      <c r="E54" t="s">
        <v>51</v>
      </c>
    </row>
    <row r="55" spans="1:5">
      <c r="A55" t="s">
        <v>426</v>
      </c>
      <c r="B55" t="s">
        <v>13</v>
      </c>
      <c r="C55" t="s">
        <v>354</v>
      </c>
      <c r="D55" t="s">
        <v>427</v>
      </c>
      <c r="E55" t="s">
        <v>12</v>
      </c>
    </row>
    <row r="56" spans="1:5">
      <c r="A56" t="s">
        <v>225</v>
      </c>
      <c r="B56" t="s">
        <v>13</v>
      </c>
      <c r="C56" t="s">
        <v>354</v>
      </c>
      <c r="D56" t="s">
        <v>222</v>
      </c>
      <c r="E56" t="s">
        <v>12</v>
      </c>
    </row>
    <row r="57" spans="1:5">
      <c r="A57" t="s">
        <v>226</v>
      </c>
      <c r="B57" t="s">
        <v>13</v>
      </c>
      <c r="C57" t="s">
        <v>354</v>
      </c>
      <c r="D57" t="s">
        <v>223</v>
      </c>
      <c r="E57" t="s">
        <v>12</v>
      </c>
    </row>
    <row r="58" spans="1:5">
      <c r="A58" t="s">
        <v>234</v>
      </c>
      <c r="B58" t="s">
        <v>13</v>
      </c>
      <c r="C58" t="s">
        <v>354</v>
      </c>
      <c r="D58" t="s">
        <v>235</v>
      </c>
      <c r="E58" t="s">
        <v>12</v>
      </c>
    </row>
    <row r="59" spans="1:5">
      <c r="A59" t="s">
        <v>227</v>
      </c>
      <c r="B59" t="s">
        <v>13</v>
      </c>
      <c r="C59" t="s">
        <v>354</v>
      </c>
      <c r="D59" t="s">
        <v>224</v>
      </c>
      <c r="E59" t="s">
        <v>12</v>
      </c>
    </row>
    <row r="60" spans="1:5">
      <c r="A60" t="s">
        <v>231</v>
      </c>
      <c r="B60" t="s">
        <v>13</v>
      </c>
      <c r="C60" t="s">
        <v>354</v>
      </c>
      <c r="D60" t="s">
        <v>230</v>
      </c>
      <c r="E60" t="s">
        <v>12</v>
      </c>
    </row>
    <row r="61" spans="1:5">
      <c r="A61" t="s">
        <v>232</v>
      </c>
      <c r="B61" t="s">
        <v>13</v>
      </c>
      <c r="C61" t="s">
        <v>354</v>
      </c>
      <c r="D61" t="s">
        <v>233</v>
      </c>
      <c r="E61" t="s">
        <v>12</v>
      </c>
    </row>
    <row r="62" spans="1:5">
      <c r="A62" t="s">
        <v>228</v>
      </c>
      <c r="B62" t="s">
        <v>13</v>
      </c>
      <c r="C62" t="s">
        <v>354</v>
      </c>
      <c r="D62" t="s">
        <v>229</v>
      </c>
      <c r="E62" t="s">
        <v>42</v>
      </c>
    </row>
    <row r="64" spans="1:5" ht="18" thickBot="1">
      <c r="A64" s="286" t="s">
        <v>727</v>
      </c>
      <c r="B64" s="286"/>
      <c r="C64" s="286"/>
      <c r="D64" s="286"/>
      <c r="E64" s="286"/>
    </row>
    <row r="65" spans="1:5" ht="13.5" thickTop="1">
      <c r="A65" t="s">
        <v>379</v>
      </c>
      <c r="B65" t="s">
        <v>13</v>
      </c>
      <c r="C65" t="s">
        <v>354</v>
      </c>
      <c r="D65" t="s">
        <v>380</v>
      </c>
      <c r="E65" t="s">
        <v>12</v>
      </c>
    </row>
    <row r="66" spans="1:5">
      <c r="A66" t="s">
        <v>381</v>
      </c>
      <c r="B66" t="s">
        <v>13</v>
      </c>
      <c r="C66" t="s">
        <v>354</v>
      </c>
      <c r="D66" t="s">
        <v>382</v>
      </c>
      <c r="E66" t="s">
        <v>12</v>
      </c>
    </row>
    <row r="67" spans="1:5">
      <c r="A67" t="s">
        <v>383</v>
      </c>
      <c r="B67" t="s">
        <v>13</v>
      </c>
      <c r="C67" t="s">
        <v>354</v>
      </c>
      <c r="D67" t="s">
        <v>384</v>
      </c>
      <c r="E67" t="s">
        <v>12</v>
      </c>
    </row>
    <row r="68" spans="1:5">
      <c r="A68" t="s">
        <v>385</v>
      </c>
      <c r="B68" t="s">
        <v>13</v>
      </c>
      <c r="C68" t="s">
        <v>354</v>
      </c>
      <c r="D68" t="s">
        <v>386</v>
      </c>
      <c r="E68" t="s">
        <v>12</v>
      </c>
    </row>
    <row r="69" spans="1:5">
      <c r="A69" t="s">
        <v>652</v>
      </c>
      <c r="B69" t="s">
        <v>13</v>
      </c>
      <c r="C69" t="s">
        <v>354</v>
      </c>
      <c r="D69" t="s">
        <v>388</v>
      </c>
      <c r="E69" t="s">
        <v>12</v>
      </c>
    </row>
    <row r="70" spans="1:5">
      <c r="A70" t="s">
        <v>653</v>
      </c>
      <c r="B70" t="s">
        <v>13</v>
      </c>
      <c r="C70" t="s">
        <v>354</v>
      </c>
      <c r="D70" t="s">
        <v>390</v>
      </c>
      <c r="E70" t="s">
        <v>12</v>
      </c>
    </row>
    <row r="72" spans="1:5" ht="18" thickBot="1">
      <c r="A72" s="286" t="s">
        <v>728</v>
      </c>
      <c r="B72" s="286"/>
      <c r="C72" s="286"/>
      <c r="D72" s="286"/>
      <c r="E72" s="286"/>
    </row>
    <row r="73" spans="1:5" ht="13.5" thickTop="1">
      <c r="A73" t="s">
        <v>49</v>
      </c>
      <c r="B73" t="s">
        <v>625</v>
      </c>
      <c r="C73" t="s">
        <v>354</v>
      </c>
      <c r="D73" t="s">
        <v>50</v>
      </c>
      <c r="E73" t="s">
        <v>51</v>
      </c>
    </row>
    <row r="75" spans="1:5" ht="18" thickBot="1">
      <c r="A75" s="286" t="s">
        <v>729</v>
      </c>
      <c r="B75" s="286"/>
      <c r="C75" s="286"/>
      <c r="D75" s="286"/>
      <c r="E75" s="286"/>
    </row>
    <row r="76" spans="1:5" ht="13.5" thickTop="1">
      <c r="A76" t="s">
        <v>456</v>
      </c>
      <c r="B76" t="s">
        <v>625</v>
      </c>
      <c r="C76" t="s">
        <v>354</v>
      </c>
      <c r="D76" t="s">
        <v>457</v>
      </c>
      <c r="E76" t="s">
        <v>51</v>
      </c>
    </row>
    <row r="78" spans="1:5" ht="18" thickBot="1">
      <c r="A78" s="286" t="s">
        <v>730</v>
      </c>
      <c r="B78" s="286"/>
      <c r="C78" s="286"/>
      <c r="D78" s="286"/>
      <c r="E78" s="286"/>
    </row>
    <row r="79" spans="1:5" ht="13.5" thickTop="1">
      <c r="A79" t="s">
        <v>659</v>
      </c>
      <c r="B79" t="s">
        <v>638</v>
      </c>
      <c r="C79" t="s">
        <v>72</v>
      </c>
      <c r="D79" t="s">
        <v>258</v>
      </c>
      <c r="E79" t="s">
        <v>192</v>
      </c>
    </row>
    <row r="80" spans="1:5">
      <c r="A80" t="s">
        <v>660</v>
      </c>
      <c r="B80" t="s">
        <v>638</v>
      </c>
      <c r="C80" t="s">
        <v>72</v>
      </c>
      <c r="D80" t="s">
        <v>325</v>
      </c>
      <c r="E80" t="s">
        <v>192</v>
      </c>
    </row>
    <row r="81" spans="1:5">
      <c r="A81" t="s">
        <v>661</v>
      </c>
      <c r="B81" t="s">
        <v>638</v>
      </c>
      <c r="C81" t="s">
        <v>72</v>
      </c>
      <c r="D81" t="s">
        <v>326</v>
      </c>
      <c r="E81" t="s">
        <v>192</v>
      </c>
    </row>
    <row r="83" spans="1:5" ht="18" thickBot="1">
      <c r="A83" s="286" t="s">
        <v>731</v>
      </c>
      <c r="B83" s="286"/>
      <c r="C83" s="286"/>
      <c r="D83" s="286"/>
      <c r="E83" s="286"/>
    </row>
    <row r="84" spans="1:5" ht="13.5" thickTop="1">
      <c r="A84" t="s">
        <v>264</v>
      </c>
      <c r="B84" t="s">
        <v>638</v>
      </c>
      <c r="C84" t="s">
        <v>72</v>
      </c>
      <c r="D84" t="s">
        <v>263</v>
      </c>
      <c r="E84" t="s">
        <v>51</v>
      </c>
    </row>
    <row r="85" spans="1:5">
      <c r="A85" t="s">
        <v>265</v>
      </c>
      <c r="B85" t="s">
        <v>638</v>
      </c>
      <c r="C85" t="s">
        <v>72</v>
      </c>
      <c r="D85" t="s">
        <v>274</v>
      </c>
      <c r="E85" t="s">
        <v>51</v>
      </c>
    </row>
    <row r="86" spans="1:5">
      <c r="A86" t="s">
        <v>616</v>
      </c>
      <c r="B86" t="s">
        <v>638</v>
      </c>
      <c r="C86" t="s">
        <v>72</v>
      </c>
      <c r="D86" t="s">
        <v>543</v>
      </c>
      <c r="E86" t="s">
        <v>51</v>
      </c>
    </row>
    <row r="87" spans="1:5">
      <c r="A87" t="s">
        <v>617</v>
      </c>
      <c r="B87" t="s">
        <v>638</v>
      </c>
      <c r="C87" t="s">
        <v>72</v>
      </c>
      <c r="D87" t="s">
        <v>544</v>
      </c>
      <c r="E87" t="s">
        <v>51</v>
      </c>
    </row>
    <row r="88" spans="1:5">
      <c r="A88" t="s">
        <v>266</v>
      </c>
      <c r="B88" t="s">
        <v>638</v>
      </c>
      <c r="C88" t="s">
        <v>72</v>
      </c>
      <c r="D88" t="s">
        <v>275</v>
      </c>
      <c r="E88" t="s">
        <v>51</v>
      </c>
    </row>
    <row r="89" spans="1:5">
      <c r="A89" t="s">
        <v>267</v>
      </c>
      <c r="B89" t="s">
        <v>638</v>
      </c>
      <c r="C89" t="s">
        <v>72</v>
      </c>
      <c r="D89" t="s">
        <v>276</v>
      </c>
      <c r="E89" t="s">
        <v>51</v>
      </c>
    </row>
    <row r="90" spans="1:5">
      <c r="A90" t="s">
        <v>411</v>
      </c>
      <c r="B90" t="s">
        <v>638</v>
      </c>
      <c r="C90" t="s">
        <v>72</v>
      </c>
      <c r="D90" t="s">
        <v>412</v>
      </c>
      <c r="E90" t="s">
        <v>51</v>
      </c>
    </row>
    <row r="91" spans="1:5">
      <c r="A91" t="s">
        <v>413</v>
      </c>
      <c r="B91" t="s">
        <v>638</v>
      </c>
      <c r="C91" t="s">
        <v>72</v>
      </c>
      <c r="D91" t="s">
        <v>414</v>
      </c>
      <c r="E91" t="s">
        <v>51</v>
      </c>
    </row>
    <row r="92" spans="1:5">
      <c r="A92" t="s">
        <v>415</v>
      </c>
      <c r="B92" t="s">
        <v>638</v>
      </c>
      <c r="C92" t="s">
        <v>72</v>
      </c>
      <c r="D92" t="s">
        <v>416</v>
      </c>
      <c r="E92" t="s">
        <v>51</v>
      </c>
    </row>
    <row r="93" spans="1:5">
      <c r="A93" t="s">
        <v>417</v>
      </c>
      <c r="B93" t="s">
        <v>638</v>
      </c>
      <c r="C93" t="s">
        <v>72</v>
      </c>
      <c r="D93" t="s">
        <v>418</v>
      </c>
      <c r="E93" t="s">
        <v>51</v>
      </c>
    </row>
    <row r="95" spans="1:5" ht="18" thickBot="1">
      <c r="A95" s="286" t="s">
        <v>732</v>
      </c>
      <c r="B95" s="286"/>
      <c r="C95" s="286"/>
      <c r="D95" s="286"/>
      <c r="E95" s="286"/>
    </row>
    <row r="96" spans="1:5" ht="13.5" thickTop="1">
      <c r="A96" t="s">
        <v>268</v>
      </c>
      <c r="B96" t="s">
        <v>638</v>
      </c>
      <c r="C96" t="s">
        <v>72</v>
      </c>
      <c r="D96" t="s">
        <v>277</v>
      </c>
      <c r="E96" t="s">
        <v>51</v>
      </c>
    </row>
    <row r="97" spans="1:5">
      <c r="A97" t="s">
        <v>269</v>
      </c>
      <c r="B97" t="s">
        <v>638</v>
      </c>
      <c r="C97" t="s">
        <v>72</v>
      </c>
      <c r="D97" t="s">
        <v>278</v>
      </c>
      <c r="E97" t="s">
        <v>51</v>
      </c>
    </row>
    <row r="98" spans="1:5">
      <c r="A98" t="s">
        <v>618</v>
      </c>
      <c r="B98" t="s">
        <v>638</v>
      </c>
      <c r="C98" t="s">
        <v>72</v>
      </c>
      <c r="D98" t="s">
        <v>504</v>
      </c>
      <c r="E98" t="s">
        <v>51</v>
      </c>
    </row>
    <row r="99" spans="1:5">
      <c r="A99" t="s">
        <v>619</v>
      </c>
      <c r="B99" t="s">
        <v>638</v>
      </c>
      <c r="C99" t="s">
        <v>72</v>
      </c>
      <c r="D99" t="s">
        <v>505</v>
      </c>
      <c r="E99" t="s">
        <v>51</v>
      </c>
    </row>
    <row r="100" spans="1:5">
      <c r="A100" t="s">
        <v>270</v>
      </c>
      <c r="B100" t="s">
        <v>638</v>
      </c>
      <c r="C100" t="s">
        <v>72</v>
      </c>
      <c r="D100" t="s">
        <v>279</v>
      </c>
      <c r="E100" t="s">
        <v>51</v>
      </c>
    </row>
    <row r="101" spans="1:5">
      <c r="A101" t="s">
        <v>271</v>
      </c>
      <c r="B101" t="s">
        <v>638</v>
      </c>
      <c r="C101" t="s">
        <v>72</v>
      </c>
      <c r="D101" t="s">
        <v>280</v>
      </c>
      <c r="E101" t="s">
        <v>51</v>
      </c>
    </row>
    <row r="102" spans="1:5">
      <c r="A102" t="s">
        <v>272</v>
      </c>
      <c r="B102" t="s">
        <v>638</v>
      </c>
      <c r="C102" t="s">
        <v>72</v>
      </c>
      <c r="D102" t="s">
        <v>281</v>
      </c>
      <c r="E102" t="s">
        <v>51</v>
      </c>
    </row>
    <row r="103" spans="1:5">
      <c r="A103" t="s">
        <v>273</v>
      </c>
      <c r="B103" t="s">
        <v>638</v>
      </c>
      <c r="C103" t="s">
        <v>72</v>
      </c>
      <c r="D103" t="s">
        <v>282</v>
      </c>
      <c r="E103" t="s">
        <v>51</v>
      </c>
    </row>
    <row r="105" spans="1:5" ht="18" thickBot="1">
      <c r="A105" s="286" t="s">
        <v>733</v>
      </c>
      <c r="B105" s="286"/>
      <c r="C105" s="286"/>
      <c r="D105" s="286"/>
      <c r="E105" s="286"/>
    </row>
    <row r="106" spans="1:5" ht="13.5" thickTop="1">
      <c r="A106" t="s">
        <v>117</v>
      </c>
      <c r="B106" t="s">
        <v>638</v>
      </c>
      <c r="C106" t="s">
        <v>72</v>
      </c>
      <c r="D106" t="s">
        <v>458</v>
      </c>
      <c r="E106" t="s">
        <v>51</v>
      </c>
    </row>
    <row r="108" spans="1:5" ht="18" thickBot="1">
      <c r="A108" s="286" t="s">
        <v>734</v>
      </c>
      <c r="B108" s="286"/>
      <c r="C108" s="286"/>
      <c r="D108" s="286"/>
      <c r="E108" s="286"/>
    </row>
    <row r="109" spans="1:5" ht="13.5" thickTop="1">
      <c r="A109" t="s">
        <v>299</v>
      </c>
      <c r="B109" t="s">
        <v>638</v>
      </c>
      <c r="C109" t="s">
        <v>72</v>
      </c>
      <c r="D109" t="s">
        <v>300</v>
      </c>
      <c r="E109" t="s">
        <v>12</v>
      </c>
    </row>
    <row r="111" spans="1:5" ht="18" thickBot="1">
      <c r="A111" s="286" t="s">
        <v>735</v>
      </c>
      <c r="B111" s="286"/>
      <c r="C111" s="286"/>
      <c r="D111" s="286"/>
      <c r="E111" s="286"/>
    </row>
    <row r="112" spans="1:5" ht="13.5" thickTop="1">
      <c r="A112" t="s">
        <v>182</v>
      </c>
      <c r="B112" t="s">
        <v>13</v>
      </c>
      <c r="C112" t="s">
        <v>354</v>
      </c>
      <c r="D112" t="s">
        <v>185</v>
      </c>
      <c r="E112" t="s">
        <v>51</v>
      </c>
    </row>
    <row r="113" spans="1:5">
      <c r="A113" t="s">
        <v>183</v>
      </c>
      <c r="B113" t="s">
        <v>13</v>
      </c>
      <c r="C113" t="s">
        <v>354</v>
      </c>
      <c r="D113" t="s">
        <v>186</v>
      </c>
      <c r="E113" t="s">
        <v>12</v>
      </c>
    </row>
    <row r="115" spans="1:5" ht="18" thickBot="1">
      <c r="A115" s="286" t="s">
        <v>736</v>
      </c>
      <c r="B115" s="286"/>
      <c r="C115" s="286"/>
      <c r="D115" s="286"/>
      <c r="E115" s="286"/>
    </row>
    <row r="116" spans="1:5" ht="13.5" thickTop="1">
      <c r="A116" t="s">
        <v>196</v>
      </c>
      <c r="B116" t="s">
        <v>13</v>
      </c>
      <c r="C116" t="s">
        <v>354</v>
      </c>
      <c r="D116" t="s">
        <v>197</v>
      </c>
      <c r="E116" t="s">
        <v>51</v>
      </c>
    </row>
    <row r="118" spans="1:5" ht="18" thickBot="1">
      <c r="A118" s="286" t="s">
        <v>737</v>
      </c>
      <c r="B118" s="286"/>
      <c r="C118" s="286"/>
      <c r="D118" s="286"/>
      <c r="E118" s="286"/>
    </row>
    <row r="119" spans="1:5" ht="13.5" thickTop="1">
      <c r="A119" t="s">
        <v>334</v>
      </c>
      <c r="B119" t="s">
        <v>625</v>
      </c>
      <c r="C119" t="s">
        <v>354</v>
      </c>
      <c r="D119" t="s">
        <v>308</v>
      </c>
      <c r="E119" t="s">
        <v>51</v>
      </c>
    </row>
    <row r="120" spans="1:5">
      <c r="A120" t="s">
        <v>344</v>
      </c>
      <c r="B120" t="s">
        <v>638</v>
      </c>
      <c r="C120" t="s">
        <v>72</v>
      </c>
      <c r="D120" t="s">
        <v>309</v>
      </c>
      <c r="E120" t="s">
        <v>12</v>
      </c>
    </row>
    <row r="121" spans="1:5">
      <c r="A121" t="s">
        <v>345</v>
      </c>
      <c r="B121" t="s">
        <v>638</v>
      </c>
      <c r="C121" t="s">
        <v>72</v>
      </c>
      <c r="D121" t="s">
        <v>310</v>
      </c>
      <c r="E121" t="s">
        <v>12</v>
      </c>
    </row>
    <row r="122" spans="1:5">
      <c r="A122" t="s">
        <v>346</v>
      </c>
      <c r="B122" t="s">
        <v>638</v>
      </c>
      <c r="C122" t="s">
        <v>72</v>
      </c>
      <c r="D122" t="s">
        <v>311</v>
      </c>
      <c r="E122" t="s">
        <v>12</v>
      </c>
    </row>
    <row r="124" spans="1:5" ht="18" thickBot="1">
      <c r="A124" s="286" t="s">
        <v>738</v>
      </c>
      <c r="B124" s="286"/>
      <c r="C124" s="286"/>
      <c r="D124" s="286"/>
      <c r="E124" s="286"/>
    </row>
    <row r="125" spans="1:5" ht="13.5" thickTop="1">
      <c r="A125" t="s">
        <v>313</v>
      </c>
      <c r="B125" t="s">
        <v>13</v>
      </c>
      <c r="C125" t="s">
        <v>354</v>
      </c>
      <c r="D125" t="s">
        <v>316</v>
      </c>
      <c r="E125" t="s">
        <v>12</v>
      </c>
    </row>
  </sheetData>
  <mergeCells count="1">
    <mergeCell ref="A1:E3"/>
  </mergeCells>
  <phoneticPr fontId="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Feuil11"/>
  <dimension ref="A1:E70"/>
  <sheetViews>
    <sheetView workbookViewId="0">
      <selection activeCell="A4" sqref="A4:D4"/>
    </sheetView>
  </sheetViews>
  <sheetFormatPr defaultColWidth="11.42578125" defaultRowHeight="12.75"/>
  <cols>
    <col min="1" max="1" width="49.28515625" bestFit="1" customWidth="1"/>
    <col min="2" max="2" width="7.5703125" bestFit="1" customWidth="1"/>
    <col min="3" max="3" width="10.85546875" bestFit="1" customWidth="1"/>
    <col min="4" max="4" width="72.140625" bestFit="1" customWidth="1"/>
  </cols>
  <sheetData>
    <row r="1" spans="1:5" ht="19.5" customHeight="1">
      <c r="A1" s="361" t="s">
        <v>693</v>
      </c>
      <c r="B1" s="361"/>
      <c r="C1" s="361"/>
      <c r="D1" s="361"/>
      <c r="E1" s="361"/>
    </row>
    <row r="2" spans="1:5">
      <c r="A2" s="361"/>
      <c r="B2" s="361"/>
      <c r="C2" s="361"/>
      <c r="D2" s="361"/>
      <c r="E2" s="361"/>
    </row>
    <row r="3" spans="1:5" ht="13.5" thickBot="1">
      <c r="A3" s="362"/>
      <c r="B3" s="362"/>
      <c r="C3" s="362"/>
      <c r="D3" s="362"/>
      <c r="E3" s="362"/>
    </row>
    <row r="4" spans="1:5" ht="13.5" thickTop="1">
      <c r="A4" s="285" t="s">
        <v>786</v>
      </c>
      <c r="B4" s="285" t="s">
        <v>700</v>
      </c>
      <c r="C4" s="285" t="s">
        <v>789</v>
      </c>
      <c r="D4" s="285" t="s">
        <v>699</v>
      </c>
      <c r="E4" t="s">
        <v>787</v>
      </c>
    </row>
    <row r="10" spans="1:5" ht="18" thickBot="1">
      <c r="A10" s="286" t="s">
        <v>758</v>
      </c>
      <c r="B10" s="286"/>
      <c r="C10" s="286"/>
      <c r="D10" s="286"/>
      <c r="E10" s="286"/>
    </row>
    <row r="11" spans="1:5" ht="13.5" thickTop="1">
      <c r="A11" t="s">
        <v>131</v>
      </c>
      <c r="B11" t="s">
        <v>13</v>
      </c>
      <c r="C11" t="s">
        <v>354</v>
      </c>
      <c r="D11" t="s">
        <v>132</v>
      </c>
      <c r="E11" t="s">
        <v>473</v>
      </c>
    </row>
    <row r="13" spans="1:5" ht="18" thickBot="1">
      <c r="A13" s="286" t="s">
        <v>746</v>
      </c>
      <c r="B13" s="286"/>
      <c r="C13" s="286"/>
      <c r="D13" s="286"/>
      <c r="E13" s="286"/>
    </row>
    <row r="14" spans="1:5" ht="13.5" thickTop="1">
      <c r="A14" t="s">
        <v>283</v>
      </c>
      <c r="B14" t="s">
        <v>625</v>
      </c>
      <c r="C14" t="s">
        <v>354</v>
      </c>
      <c r="D14" t="s">
        <v>285</v>
      </c>
      <c r="E14" t="s">
        <v>51</v>
      </c>
    </row>
    <row r="15" spans="1:5">
      <c r="A15" t="s">
        <v>268</v>
      </c>
      <c r="B15" t="s">
        <v>638</v>
      </c>
      <c r="C15" t="s">
        <v>72</v>
      </c>
      <c r="D15" t="s">
        <v>277</v>
      </c>
      <c r="E15" t="s">
        <v>51</v>
      </c>
    </row>
    <row r="16" spans="1:5">
      <c r="A16" t="s">
        <v>269</v>
      </c>
      <c r="B16" t="s">
        <v>638</v>
      </c>
      <c r="C16" t="s">
        <v>72</v>
      </c>
      <c r="D16" t="s">
        <v>278</v>
      </c>
      <c r="E16" t="s">
        <v>51</v>
      </c>
    </row>
    <row r="17" spans="1:5">
      <c r="A17" t="s">
        <v>618</v>
      </c>
      <c r="B17" t="s">
        <v>638</v>
      </c>
      <c r="C17" t="s">
        <v>72</v>
      </c>
      <c r="D17" t="s">
        <v>504</v>
      </c>
      <c r="E17" t="s">
        <v>51</v>
      </c>
    </row>
    <row r="18" spans="1:5">
      <c r="A18" t="s">
        <v>619</v>
      </c>
      <c r="B18" t="s">
        <v>638</v>
      </c>
      <c r="C18" t="s">
        <v>72</v>
      </c>
      <c r="D18" t="s">
        <v>505</v>
      </c>
      <c r="E18" t="s">
        <v>51</v>
      </c>
    </row>
    <row r="19" spans="1:5">
      <c r="A19" t="s">
        <v>270</v>
      </c>
      <c r="B19" t="s">
        <v>638</v>
      </c>
      <c r="C19" t="s">
        <v>72</v>
      </c>
      <c r="D19" t="s">
        <v>279</v>
      </c>
      <c r="E19" t="s">
        <v>51</v>
      </c>
    </row>
    <row r="20" spans="1:5">
      <c r="A20" t="s">
        <v>271</v>
      </c>
      <c r="B20" t="s">
        <v>638</v>
      </c>
      <c r="C20" t="s">
        <v>72</v>
      </c>
      <c r="D20" t="s">
        <v>280</v>
      </c>
      <c r="E20" t="s">
        <v>51</v>
      </c>
    </row>
    <row r="21" spans="1:5">
      <c r="A21" t="s">
        <v>284</v>
      </c>
      <c r="B21" t="s">
        <v>625</v>
      </c>
      <c r="C21" t="s">
        <v>354</v>
      </c>
      <c r="D21" t="s">
        <v>286</v>
      </c>
      <c r="E21" t="s">
        <v>51</v>
      </c>
    </row>
    <row r="22" spans="1:5">
      <c r="A22" t="s">
        <v>272</v>
      </c>
      <c r="B22" t="s">
        <v>638</v>
      </c>
      <c r="C22" t="s">
        <v>72</v>
      </c>
      <c r="D22" t="s">
        <v>281</v>
      </c>
      <c r="E22" t="s">
        <v>51</v>
      </c>
    </row>
    <row r="23" spans="1:5">
      <c r="A23" t="s">
        <v>273</v>
      </c>
      <c r="B23" t="s">
        <v>638</v>
      </c>
      <c r="C23" t="s">
        <v>72</v>
      </c>
      <c r="D23" t="s">
        <v>282</v>
      </c>
      <c r="E23" t="s">
        <v>51</v>
      </c>
    </row>
    <row r="25" spans="1:5" ht="18" thickBot="1">
      <c r="A25" s="286" t="s">
        <v>711</v>
      </c>
      <c r="B25" s="286"/>
      <c r="C25" s="286"/>
      <c r="D25" s="286"/>
      <c r="E25" s="286"/>
    </row>
    <row r="26" spans="1:5" ht="13.5" thickTop="1">
      <c r="A26" t="s">
        <v>264</v>
      </c>
      <c r="B26" t="s">
        <v>638</v>
      </c>
      <c r="C26" t="s">
        <v>72</v>
      </c>
      <c r="D26" t="s">
        <v>263</v>
      </c>
      <c r="E26" t="s">
        <v>51</v>
      </c>
    </row>
    <row r="27" spans="1:5">
      <c r="A27" t="s">
        <v>265</v>
      </c>
      <c r="B27" t="s">
        <v>638</v>
      </c>
      <c r="C27" t="s">
        <v>72</v>
      </c>
      <c r="D27" t="s">
        <v>274</v>
      </c>
      <c r="E27" t="s">
        <v>51</v>
      </c>
    </row>
    <row r="28" spans="1:5">
      <c r="A28" t="s">
        <v>616</v>
      </c>
      <c r="B28" t="s">
        <v>638</v>
      </c>
      <c r="C28" t="s">
        <v>72</v>
      </c>
      <c r="D28" t="s">
        <v>543</v>
      </c>
      <c r="E28" t="s">
        <v>51</v>
      </c>
    </row>
    <row r="29" spans="1:5">
      <c r="A29" t="s">
        <v>617</v>
      </c>
      <c r="B29" t="s">
        <v>638</v>
      </c>
      <c r="C29" t="s">
        <v>72</v>
      </c>
      <c r="D29" t="s">
        <v>544</v>
      </c>
      <c r="E29" t="s">
        <v>51</v>
      </c>
    </row>
    <row r="30" spans="1:5">
      <c r="A30" t="s">
        <v>266</v>
      </c>
      <c r="B30" t="s">
        <v>638</v>
      </c>
      <c r="C30" t="s">
        <v>72</v>
      </c>
      <c r="D30" t="s">
        <v>275</v>
      </c>
      <c r="E30" t="s">
        <v>51</v>
      </c>
    </row>
    <row r="31" spans="1:5">
      <c r="A31" t="s">
        <v>267</v>
      </c>
      <c r="B31" t="s">
        <v>638</v>
      </c>
      <c r="C31" t="s">
        <v>72</v>
      </c>
      <c r="D31" t="s">
        <v>276</v>
      </c>
      <c r="E31" t="s">
        <v>51</v>
      </c>
    </row>
    <row r="32" spans="1:5">
      <c r="A32" t="s">
        <v>268</v>
      </c>
      <c r="B32" t="s">
        <v>638</v>
      </c>
      <c r="C32" t="s">
        <v>72</v>
      </c>
      <c r="D32" t="s">
        <v>277</v>
      </c>
      <c r="E32" t="s">
        <v>51</v>
      </c>
    </row>
    <row r="33" spans="1:5">
      <c r="A33" t="s">
        <v>269</v>
      </c>
      <c r="B33" t="s">
        <v>638</v>
      </c>
      <c r="C33" t="s">
        <v>72</v>
      </c>
      <c r="D33" t="s">
        <v>278</v>
      </c>
      <c r="E33" t="s">
        <v>51</v>
      </c>
    </row>
    <row r="34" spans="1:5">
      <c r="A34" t="s">
        <v>618</v>
      </c>
      <c r="B34" t="s">
        <v>638</v>
      </c>
      <c r="C34" t="s">
        <v>72</v>
      </c>
      <c r="D34" t="s">
        <v>504</v>
      </c>
      <c r="E34" t="s">
        <v>51</v>
      </c>
    </row>
    <row r="35" spans="1:5">
      <c r="A35" t="s">
        <v>619</v>
      </c>
      <c r="B35" t="s">
        <v>638</v>
      </c>
      <c r="C35" t="s">
        <v>72</v>
      </c>
      <c r="D35" t="s">
        <v>505</v>
      </c>
      <c r="E35" t="s">
        <v>51</v>
      </c>
    </row>
    <row r="36" spans="1:5">
      <c r="A36" t="s">
        <v>270</v>
      </c>
      <c r="B36" t="s">
        <v>638</v>
      </c>
      <c r="C36" t="s">
        <v>72</v>
      </c>
      <c r="D36" t="s">
        <v>279</v>
      </c>
      <c r="E36" t="s">
        <v>51</v>
      </c>
    </row>
    <row r="37" spans="1:5">
      <c r="A37" t="s">
        <v>271</v>
      </c>
      <c r="B37" t="s">
        <v>638</v>
      </c>
      <c r="C37" t="s">
        <v>72</v>
      </c>
      <c r="D37" t="s">
        <v>280</v>
      </c>
      <c r="E37" t="s">
        <v>51</v>
      </c>
    </row>
    <row r="38" spans="1:5">
      <c r="A38" t="s">
        <v>411</v>
      </c>
      <c r="B38" t="s">
        <v>638</v>
      </c>
      <c r="C38" t="s">
        <v>72</v>
      </c>
      <c r="D38" t="s">
        <v>412</v>
      </c>
      <c r="E38" t="s">
        <v>51</v>
      </c>
    </row>
    <row r="39" spans="1:5">
      <c r="A39" t="s">
        <v>413</v>
      </c>
      <c r="B39" t="s">
        <v>638</v>
      </c>
      <c r="C39" t="s">
        <v>72</v>
      </c>
      <c r="D39" t="s">
        <v>414</v>
      </c>
      <c r="E39" t="s">
        <v>51</v>
      </c>
    </row>
    <row r="40" spans="1:5">
      <c r="A40" t="s">
        <v>415</v>
      </c>
      <c r="B40" t="s">
        <v>638</v>
      </c>
      <c r="C40" t="s">
        <v>72</v>
      </c>
      <c r="D40" t="s">
        <v>416</v>
      </c>
      <c r="E40" t="s">
        <v>51</v>
      </c>
    </row>
    <row r="41" spans="1:5">
      <c r="A41" t="s">
        <v>417</v>
      </c>
      <c r="B41" t="s">
        <v>638</v>
      </c>
      <c r="C41" t="s">
        <v>72</v>
      </c>
      <c r="D41" t="s">
        <v>418</v>
      </c>
      <c r="E41" t="s">
        <v>51</v>
      </c>
    </row>
    <row r="42" spans="1:5">
      <c r="A42" t="s">
        <v>272</v>
      </c>
      <c r="B42" t="s">
        <v>638</v>
      </c>
      <c r="C42" t="s">
        <v>72</v>
      </c>
      <c r="D42" t="s">
        <v>281</v>
      </c>
      <c r="E42" t="s">
        <v>51</v>
      </c>
    </row>
    <row r="43" spans="1:5">
      <c r="A43" t="s">
        <v>273</v>
      </c>
      <c r="B43" t="s">
        <v>638</v>
      </c>
      <c r="C43" t="s">
        <v>72</v>
      </c>
      <c r="D43" t="s">
        <v>282</v>
      </c>
      <c r="E43" t="s">
        <v>51</v>
      </c>
    </row>
    <row r="45" spans="1:5" ht="18" thickBot="1">
      <c r="A45" s="286" t="s">
        <v>747</v>
      </c>
      <c r="B45" s="286"/>
      <c r="C45" s="286"/>
      <c r="D45" s="286"/>
      <c r="E45" s="286"/>
    </row>
    <row r="46" spans="1:5" ht="13.5" thickTop="1">
      <c r="A46" t="s">
        <v>260</v>
      </c>
      <c r="B46" t="s">
        <v>13</v>
      </c>
      <c r="C46" t="s">
        <v>354</v>
      </c>
      <c r="D46" t="s">
        <v>162</v>
      </c>
      <c r="E46" t="s">
        <v>12</v>
      </c>
    </row>
    <row r="47" spans="1:5">
      <c r="A47" t="s">
        <v>261</v>
      </c>
      <c r="B47" t="s">
        <v>13</v>
      </c>
      <c r="C47" t="s">
        <v>354</v>
      </c>
      <c r="D47" t="s">
        <v>80</v>
      </c>
      <c r="E47" t="s">
        <v>42</v>
      </c>
    </row>
    <row r="48" spans="1:5">
      <c r="A48" t="s">
        <v>620</v>
      </c>
      <c r="B48" t="s">
        <v>13</v>
      </c>
      <c r="C48" t="s">
        <v>354</v>
      </c>
      <c r="D48" t="s">
        <v>570</v>
      </c>
      <c r="E48" t="s">
        <v>42</v>
      </c>
    </row>
    <row r="49" spans="1:5">
      <c r="A49" t="s">
        <v>262</v>
      </c>
      <c r="B49" t="s">
        <v>13</v>
      </c>
      <c r="C49" t="s">
        <v>354</v>
      </c>
      <c r="D49" t="s">
        <v>81</v>
      </c>
      <c r="E49" t="s">
        <v>42</v>
      </c>
    </row>
    <row r="51" spans="1:5" ht="18" thickBot="1">
      <c r="A51" s="286" t="s">
        <v>762</v>
      </c>
      <c r="B51" s="286"/>
      <c r="C51" s="286"/>
      <c r="D51" s="286"/>
      <c r="E51" s="286"/>
    </row>
    <row r="52" spans="1:5" ht="13.5" thickTop="1">
      <c r="A52" t="s">
        <v>122</v>
      </c>
      <c r="B52" t="s">
        <v>638</v>
      </c>
      <c r="C52" t="s">
        <v>72</v>
      </c>
      <c r="D52" t="s">
        <v>545</v>
      </c>
      <c r="E52" t="s">
        <v>51</v>
      </c>
    </row>
    <row r="54" spans="1:5" ht="18" thickBot="1">
      <c r="A54" s="286" t="s">
        <v>778</v>
      </c>
      <c r="B54" s="286"/>
      <c r="C54" s="286"/>
      <c r="D54" s="286"/>
      <c r="E54" s="286"/>
    </row>
    <row r="55" spans="1:5" ht="13.5" thickTop="1">
      <c r="A55" t="s">
        <v>200</v>
      </c>
      <c r="B55" t="s">
        <v>638</v>
      </c>
      <c r="C55" t="s">
        <v>72</v>
      </c>
      <c r="D55" t="s">
        <v>201</v>
      </c>
      <c r="E55" t="s">
        <v>51</v>
      </c>
    </row>
    <row r="57" spans="1:5" ht="18" thickBot="1">
      <c r="A57" s="286" t="s">
        <v>779</v>
      </c>
      <c r="B57" s="286"/>
      <c r="C57" s="286"/>
      <c r="D57" s="286"/>
      <c r="E57" s="286"/>
    </row>
    <row r="58" spans="1:5" ht="13.5" thickTop="1">
      <c r="A58" t="s">
        <v>461</v>
      </c>
      <c r="B58" t="s">
        <v>638</v>
      </c>
      <c r="C58" t="s">
        <v>72</v>
      </c>
      <c r="D58" t="s">
        <v>462</v>
      </c>
      <c r="E58" t="s">
        <v>477</v>
      </c>
    </row>
    <row r="59" spans="1:5">
      <c r="A59" t="s">
        <v>463</v>
      </c>
      <c r="B59" t="s">
        <v>13</v>
      </c>
      <c r="C59" t="s">
        <v>354</v>
      </c>
      <c r="D59" t="s">
        <v>464</v>
      </c>
      <c r="E59" t="s">
        <v>12</v>
      </c>
    </row>
    <row r="61" spans="1:5" ht="18" thickBot="1">
      <c r="A61" s="286" t="s">
        <v>748</v>
      </c>
      <c r="B61" s="286"/>
      <c r="C61" s="286"/>
      <c r="D61" s="286"/>
      <c r="E61" s="286"/>
    </row>
    <row r="62" spans="1:5" ht="13.5" thickTop="1">
      <c r="A62" t="s">
        <v>93</v>
      </c>
      <c r="B62" t="s">
        <v>638</v>
      </c>
      <c r="C62" t="s">
        <v>72</v>
      </c>
      <c r="D62" t="s">
        <v>208</v>
      </c>
      <c r="E62" t="s">
        <v>94</v>
      </c>
    </row>
    <row r="63" spans="1:5">
      <c r="A63" t="s">
        <v>101</v>
      </c>
      <c r="B63" t="s">
        <v>638</v>
      </c>
      <c r="C63" t="s">
        <v>72</v>
      </c>
      <c r="D63" t="s">
        <v>361</v>
      </c>
      <c r="E63" t="s">
        <v>475</v>
      </c>
    </row>
    <row r="64" spans="1:5">
      <c r="A64" t="s">
        <v>102</v>
      </c>
      <c r="B64" t="s">
        <v>638</v>
      </c>
      <c r="C64" t="s">
        <v>72</v>
      </c>
      <c r="D64" t="s">
        <v>107</v>
      </c>
      <c r="E64" t="s">
        <v>51</v>
      </c>
    </row>
    <row r="66" spans="1:5" ht="18" thickBot="1">
      <c r="A66" s="286" t="s">
        <v>768</v>
      </c>
      <c r="B66" s="286"/>
      <c r="C66" s="286"/>
      <c r="D66" s="286"/>
      <c r="E66" s="286"/>
    </row>
    <row r="67" spans="1:5" ht="13.5" thickTop="1">
      <c r="A67" t="s">
        <v>663</v>
      </c>
      <c r="B67" t="s">
        <v>638</v>
      </c>
      <c r="C67" t="s">
        <v>72</v>
      </c>
      <c r="D67" t="s">
        <v>250</v>
      </c>
      <c r="E67" t="s">
        <v>51</v>
      </c>
    </row>
    <row r="69" spans="1:5" ht="18" thickBot="1">
      <c r="A69" s="286" t="s">
        <v>723</v>
      </c>
      <c r="B69" s="286"/>
      <c r="C69" s="286"/>
      <c r="D69" s="286"/>
      <c r="E69" s="286"/>
    </row>
    <row r="70" spans="1:5" ht="13.5" thickTop="1">
      <c r="A70" t="s">
        <v>181</v>
      </c>
      <c r="B70" t="s">
        <v>13</v>
      </c>
      <c r="C70" t="s">
        <v>354</v>
      </c>
      <c r="D70" t="s">
        <v>184</v>
      </c>
      <c r="E70" t="s">
        <v>118</v>
      </c>
    </row>
  </sheetData>
  <mergeCells count="1">
    <mergeCell ref="A1:E3"/>
  </mergeCells>
  <phoneticPr fontId="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Feuil6"/>
  <dimension ref="A1:E148"/>
  <sheetViews>
    <sheetView workbookViewId="0">
      <selection activeCell="A4" sqref="A4:D4"/>
    </sheetView>
  </sheetViews>
  <sheetFormatPr defaultColWidth="11.42578125" defaultRowHeight="12.75"/>
  <cols>
    <col min="1" max="1" width="49.28515625" bestFit="1" customWidth="1"/>
    <col min="2" max="2" width="7.5703125" bestFit="1" customWidth="1"/>
    <col min="3" max="3" width="10.85546875" bestFit="1" customWidth="1"/>
    <col min="4" max="4" width="72.140625" bestFit="1" customWidth="1"/>
  </cols>
  <sheetData>
    <row r="1" spans="1:5" ht="19.5" customHeight="1">
      <c r="A1" s="361" t="s">
        <v>688</v>
      </c>
      <c r="B1" s="361"/>
      <c r="C1" s="361"/>
      <c r="D1" s="361"/>
      <c r="E1" s="361"/>
    </row>
    <row r="2" spans="1:5">
      <c r="A2" s="361"/>
      <c r="B2" s="361"/>
      <c r="C2" s="361"/>
      <c r="D2" s="361"/>
      <c r="E2" s="361"/>
    </row>
    <row r="3" spans="1:5" ht="13.5" thickBot="1">
      <c r="A3" s="362"/>
      <c r="B3" s="362"/>
      <c r="C3" s="362"/>
      <c r="D3" s="362"/>
      <c r="E3" s="362"/>
    </row>
    <row r="4" spans="1:5" ht="13.5" thickTop="1">
      <c r="A4" s="285" t="s">
        <v>786</v>
      </c>
      <c r="B4" s="285" t="s">
        <v>700</v>
      </c>
      <c r="C4" s="285" t="s">
        <v>789</v>
      </c>
      <c r="D4" s="285" t="s">
        <v>699</v>
      </c>
      <c r="E4" t="s">
        <v>787</v>
      </c>
    </row>
    <row r="10" spans="1:5" ht="18" thickBot="1">
      <c r="A10" s="286" t="s">
        <v>739</v>
      </c>
      <c r="B10" s="286"/>
      <c r="C10" s="286"/>
      <c r="D10" s="286"/>
      <c r="E10" s="286"/>
    </row>
    <row r="11" spans="1:5" ht="13.5" thickTop="1">
      <c r="A11" t="s">
        <v>138</v>
      </c>
      <c r="B11" t="s">
        <v>13</v>
      </c>
      <c r="C11" t="s">
        <v>354</v>
      </c>
      <c r="D11" t="s">
        <v>139</v>
      </c>
      <c r="E11" t="s">
        <v>42</v>
      </c>
    </row>
    <row r="12" spans="1:5">
      <c r="A12" t="s">
        <v>599</v>
      </c>
      <c r="B12" t="s">
        <v>13</v>
      </c>
      <c r="C12" t="s">
        <v>354</v>
      </c>
      <c r="D12" t="s">
        <v>554</v>
      </c>
      <c r="E12" t="s">
        <v>42</v>
      </c>
    </row>
    <row r="13" spans="1:5">
      <c r="A13" t="s">
        <v>140</v>
      </c>
      <c r="B13" t="s">
        <v>13</v>
      </c>
      <c r="C13" t="s">
        <v>354</v>
      </c>
      <c r="D13" t="s">
        <v>141</v>
      </c>
      <c r="E13" t="s">
        <v>42</v>
      </c>
    </row>
    <row r="14" spans="1:5">
      <c r="A14" t="s">
        <v>142</v>
      </c>
      <c r="B14" t="s">
        <v>13</v>
      </c>
      <c r="C14" t="s">
        <v>354</v>
      </c>
      <c r="D14" t="s">
        <v>143</v>
      </c>
      <c r="E14" t="s">
        <v>42</v>
      </c>
    </row>
    <row r="15" spans="1:5">
      <c r="A15" t="s">
        <v>600</v>
      </c>
      <c r="B15" t="s">
        <v>13</v>
      </c>
      <c r="C15" t="s">
        <v>354</v>
      </c>
      <c r="D15" t="s">
        <v>555</v>
      </c>
      <c r="E15" t="s">
        <v>42</v>
      </c>
    </row>
    <row r="16" spans="1:5">
      <c r="A16" t="s">
        <v>144</v>
      </c>
      <c r="B16" t="s">
        <v>13</v>
      </c>
      <c r="C16" t="s">
        <v>354</v>
      </c>
      <c r="D16" t="s">
        <v>78</v>
      </c>
      <c r="E16" t="s">
        <v>51</v>
      </c>
    </row>
    <row r="17" spans="1:5">
      <c r="A17" t="s">
        <v>603</v>
      </c>
      <c r="B17" t="s">
        <v>13</v>
      </c>
      <c r="C17" t="s">
        <v>354</v>
      </c>
      <c r="D17" t="s">
        <v>558</v>
      </c>
      <c r="E17" t="s">
        <v>51</v>
      </c>
    </row>
    <row r="18" spans="1:5">
      <c r="A18" t="s">
        <v>145</v>
      </c>
      <c r="B18" t="s">
        <v>13</v>
      </c>
      <c r="C18" t="s">
        <v>354</v>
      </c>
      <c r="D18" t="s">
        <v>79</v>
      </c>
      <c r="E18" t="s">
        <v>51</v>
      </c>
    </row>
    <row r="19" spans="1:5">
      <c r="A19" t="s">
        <v>650</v>
      </c>
      <c r="B19" t="s">
        <v>13</v>
      </c>
      <c r="C19" t="s">
        <v>354</v>
      </c>
      <c r="D19" t="s">
        <v>363</v>
      </c>
      <c r="E19" t="s">
        <v>51</v>
      </c>
    </row>
    <row r="20" spans="1:5">
      <c r="A20" t="s">
        <v>651</v>
      </c>
      <c r="B20" t="s">
        <v>13</v>
      </c>
      <c r="C20" t="s">
        <v>354</v>
      </c>
      <c r="D20" t="s">
        <v>365</v>
      </c>
      <c r="E20" t="s">
        <v>51</v>
      </c>
    </row>
    <row r="21" spans="1:5">
      <c r="A21" t="s">
        <v>10</v>
      </c>
      <c r="B21" t="s">
        <v>13</v>
      </c>
      <c r="C21" t="s">
        <v>354</v>
      </c>
      <c r="D21" t="s">
        <v>376</v>
      </c>
      <c r="E21" t="s">
        <v>12</v>
      </c>
    </row>
    <row r="22" spans="1:5">
      <c r="A22" t="s">
        <v>608</v>
      </c>
      <c r="B22" t="s">
        <v>13</v>
      </c>
      <c r="C22" t="s">
        <v>354</v>
      </c>
      <c r="D22" t="s">
        <v>563</v>
      </c>
      <c r="E22" t="s">
        <v>12</v>
      </c>
    </row>
    <row r="23" spans="1:5">
      <c r="A23" t="s">
        <v>11</v>
      </c>
      <c r="B23" t="s">
        <v>13</v>
      </c>
      <c r="C23" t="s">
        <v>354</v>
      </c>
      <c r="D23" t="s">
        <v>419</v>
      </c>
      <c r="E23" t="s">
        <v>12</v>
      </c>
    </row>
    <row r="24" spans="1:5">
      <c r="A24" t="s">
        <v>609</v>
      </c>
      <c r="B24" t="s">
        <v>13</v>
      </c>
      <c r="C24" t="s">
        <v>354</v>
      </c>
      <c r="D24" t="s">
        <v>569</v>
      </c>
      <c r="E24" t="s">
        <v>12</v>
      </c>
    </row>
    <row r="25" spans="1:5">
      <c r="A25" t="s">
        <v>55</v>
      </c>
      <c r="B25" t="s">
        <v>13</v>
      </c>
      <c r="C25" t="s">
        <v>354</v>
      </c>
      <c r="D25" t="s">
        <v>420</v>
      </c>
      <c r="E25" t="s">
        <v>12</v>
      </c>
    </row>
    <row r="26" spans="1:5">
      <c r="A26" t="s">
        <v>56</v>
      </c>
      <c r="B26" t="s">
        <v>13</v>
      </c>
      <c r="C26" t="s">
        <v>354</v>
      </c>
      <c r="D26" t="s">
        <v>421</v>
      </c>
      <c r="E26" t="s">
        <v>12</v>
      </c>
    </row>
    <row r="27" spans="1:5">
      <c r="A27" t="s">
        <v>610</v>
      </c>
      <c r="B27" t="s">
        <v>13</v>
      </c>
      <c r="C27" t="s">
        <v>354</v>
      </c>
      <c r="D27" t="s">
        <v>564</v>
      </c>
      <c r="E27" t="s">
        <v>12</v>
      </c>
    </row>
    <row r="28" spans="1:5">
      <c r="A28" t="s">
        <v>57</v>
      </c>
      <c r="B28" t="s">
        <v>13</v>
      </c>
      <c r="C28" t="s">
        <v>354</v>
      </c>
      <c r="D28" t="s">
        <v>571</v>
      </c>
      <c r="E28" t="s">
        <v>12</v>
      </c>
    </row>
    <row r="29" spans="1:5">
      <c r="A29" t="s">
        <v>611</v>
      </c>
      <c r="B29" t="s">
        <v>13</v>
      </c>
      <c r="C29" t="s">
        <v>354</v>
      </c>
      <c r="D29" t="s">
        <v>565</v>
      </c>
      <c r="E29" t="s">
        <v>12</v>
      </c>
    </row>
    <row r="30" spans="1:5">
      <c r="A30" t="s">
        <v>58</v>
      </c>
      <c r="B30" t="s">
        <v>13</v>
      </c>
      <c r="C30" t="s">
        <v>354</v>
      </c>
      <c r="D30" t="s">
        <v>75</v>
      </c>
      <c r="E30" t="s">
        <v>12</v>
      </c>
    </row>
    <row r="31" spans="1:5">
      <c r="A31" t="s">
        <v>59</v>
      </c>
      <c r="B31" t="s">
        <v>13</v>
      </c>
      <c r="C31" t="s">
        <v>354</v>
      </c>
      <c r="D31" t="s">
        <v>76</v>
      </c>
      <c r="E31" t="s">
        <v>12</v>
      </c>
    </row>
    <row r="32" spans="1:5">
      <c r="A32" t="s">
        <v>612</v>
      </c>
      <c r="B32" t="s">
        <v>13</v>
      </c>
      <c r="C32" t="s">
        <v>354</v>
      </c>
      <c r="D32" t="s">
        <v>566</v>
      </c>
      <c r="E32" t="s">
        <v>12</v>
      </c>
    </row>
    <row r="33" spans="1:5">
      <c r="A33" t="s">
        <v>60</v>
      </c>
      <c r="B33" t="s">
        <v>13</v>
      </c>
      <c r="C33" t="s">
        <v>354</v>
      </c>
      <c r="D33" t="s">
        <v>77</v>
      </c>
      <c r="E33" t="s">
        <v>12</v>
      </c>
    </row>
    <row r="34" spans="1:5">
      <c r="A34" t="s">
        <v>150</v>
      </c>
      <c r="B34" t="s">
        <v>13</v>
      </c>
      <c r="C34" t="s">
        <v>354</v>
      </c>
      <c r="D34" t="s">
        <v>151</v>
      </c>
      <c r="E34" t="s">
        <v>42</v>
      </c>
    </row>
    <row r="35" spans="1:5">
      <c r="A35" t="s">
        <v>152</v>
      </c>
      <c r="B35" t="s">
        <v>13</v>
      </c>
      <c r="C35" t="s">
        <v>354</v>
      </c>
      <c r="D35" t="s">
        <v>153</v>
      </c>
      <c r="E35" t="s">
        <v>12</v>
      </c>
    </row>
    <row r="36" spans="1:5">
      <c r="A36" t="s">
        <v>613</v>
      </c>
      <c r="B36" t="s">
        <v>13</v>
      </c>
      <c r="C36" t="s">
        <v>354</v>
      </c>
      <c r="D36" t="s">
        <v>567</v>
      </c>
      <c r="E36" t="s">
        <v>12</v>
      </c>
    </row>
    <row r="37" spans="1:5">
      <c r="A37" t="s">
        <v>154</v>
      </c>
      <c r="B37" t="s">
        <v>13</v>
      </c>
      <c r="C37" t="s">
        <v>354</v>
      </c>
      <c r="D37" t="s">
        <v>155</v>
      </c>
      <c r="E37" t="s">
        <v>12</v>
      </c>
    </row>
    <row r="38" spans="1:5">
      <c r="A38" t="s">
        <v>156</v>
      </c>
      <c r="B38" t="s">
        <v>13</v>
      </c>
      <c r="C38" t="s">
        <v>354</v>
      </c>
      <c r="D38" t="s">
        <v>157</v>
      </c>
      <c r="E38" t="s">
        <v>12</v>
      </c>
    </row>
    <row r="39" spans="1:5">
      <c r="A39" t="s">
        <v>614</v>
      </c>
      <c r="B39" t="s">
        <v>13</v>
      </c>
      <c r="C39" t="s">
        <v>354</v>
      </c>
      <c r="D39" t="s">
        <v>568</v>
      </c>
      <c r="E39" t="s">
        <v>12</v>
      </c>
    </row>
    <row r="40" spans="1:5">
      <c r="A40" t="s">
        <v>158</v>
      </c>
      <c r="B40" t="s">
        <v>13</v>
      </c>
      <c r="C40" t="s">
        <v>354</v>
      </c>
      <c r="D40" t="s">
        <v>159</v>
      </c>
      <c r="E40" t="s">
        <v>12</v>
      </c>
    </row>
    <row r="41" spans="1:5">
      <c r="A41" t="s">
        <v>161</v>
      </c>
      <c r="B41" t="s">
        <v>13</v>
      </c>
      <c r="C41" t="s">
        <v>354</v>
      </c>
      <c r="D41" t="s">
        <v>82</v>
      </c>
      <c r="E41" t="s">
        <v>12</v>
      </c>
    </row>
    <row r="43" spans="1:5" ht="18" thickBot="1">
      <c r="A43" s="286" t="s">
        <v>740</v>
      </c>
      <c r="B43" s="286"/>
      <c r="C43" s="286"/>
      <c r="D43" s="286"/>
      <c r="E43" s="286"/>
    </row>
    <row r="44" spans="1:5" ht="13.5" thickTop="1">
      <c r="A44" t="s">
        <v>22</v>
      </c>
      <c r="B44" t="s">
        <v>13</v>
      </c>
      <c r="C44" t="s">
        <v>354</v>
      </c>
      <c r="D44" t="s">
        <v>23</v>
      </c>
      <c r="E44" t="s">
        <v>12</v>
      </c>
    </row>
    <row r="45" spans="1:5">
      <c r="A45" t="s">
        <v>26</v>
      </c>
      <c r="B45" t="s">
        <v>13</v>
      </c>
      <c r="C45" t="s">
        <v>354</v>
      </c>
      <c r="D45" t="s">
        <v>28</v>
      </c>
      <c r="E45" t="s">
        <v>12</v>
      </c>
    </row>
    <row r="46" spans="1:5">
      <c r="A46" t="s">
        <v>25</v>
      </c>
      <c r="B46" t="s">
        <v>13</v>
      </c>
      <c r="C46" t="s">
        <v>354</v>
      </c>
      <c r="D46" t="s">
        <v>27</v>
      </c>
      <c r="E46" t="s">
        <v>12</v>
      </c>
    </row>
    <row r="47" spans="1:5">
      <c r="A47" t="s">
        <v>537</v>
      </c>
      <c r="B47" t="s">
        <v>13</v>
      </c>
      <c r="C47" t="s">
        <v>354</v>
      </c>
      <c r="D47" t="s">
        <v>538</v>
      </c>
      <c r="E47" t="s">
        <v>12</v>
      </c>
    </row>
    <row r="48" spans="1:5">
      <c r="A48" t="s">
        <v>615</v>
      </c>
      <c r="B48" t="s">
        <v>13</v>
      </c>
      <c r="C48" t="s">
        <v>354</v>
      </c>
      <c r="D48" t="s">
        <v>512</v>
      </c>
      <c r="E48" t="s">
        <v>12</v>
      </c>
    </row>
    <row r="49" spans="1:5">
      <c r="A49" t="s">
        <v>45</v>
      </c>
      <c r="B49" t="s">
        <v>13</v>
      </c>
      <c r="C49" t="s">
        <v>354</v>
      </c>
      <c r="D49" t="s">
        <v>46</v>
      </c>
      <c r="E49" t="s">
        <v>12</v>
      </c>
    </row>
    <row r="50" spans="1:5">
      <c r="A50" t="s">
        <v>43</v>
      </c>
      <c r="B50" t="s">
        <v>13</v>
      </c>
      <c r="C50" t="s">
        <v>354</v>
      </c>
      <c r="D50" t="s">
        <v>44</v>
      </c>
      <c r="E50" t="s">
        <v>12</v>
      </c>
    </row>
    <row r="51" spans="1:5">
      <c r="A51" t="s">
        <v>29</v>
      </c>
      <c r="B51" t="s">
        <v>13</v>
      </c>
      <c r="C51" t="s">
        <v>354</v>
      </c>
      <c r="D51" t="s">
        <v>30</v>
      </c>
      <c r="E51" t="s">
        <v>12</v>
      </c>
    </row>
    <row r="52" spans="1:5">
      <c r="A52" t="s">
        <v>31</v>
      </c>
      <c r="B52" t="s">
        <v>13</v>
      </c>
      <c r="C52" t="s">
        <v>354</v>
      </c>
      <c r="D52" t="s">
        <v>39</v>
      </c>
      <c r="E52" t="s">
        <v>12</v>
      </c>
    </row>
    <row r="53" spans="1:5">
      <c r="A53" t="s">
        <v>84</v>
      </c>
      <c r="B53" t="s">
        <v>13</v>
      </c>
      <c r="C53" t="s">
        <v>354</v>
      </c>
      <c r="D53" t="s">
        <v>24</v>
      </c>
      <c r="E53" t="s">
        <v>12</v>
      </c>
    </row>
    <row r="54" spans="1:5">
      <c r="A54" t="s">
        <v>32</v>
      </c>
      <c r="B54" t="s">
        <v>13</v>
      </c>
      <c r="C54" t="s">
        <v>354</v>
      </c>
      <c r="D54" t="s">
        <v>33</v>
      </c>
      <c r="E54" t="s">
        <v>12</v>
      </c>
    </row>
    <row r="55" spans="1:5">
      <c r="A55" t="s">
        <v>40</v>
      </c>
      <c r="B55" t="s">
        <v>13</v>
      </c>
      <c r="C55" t="s">
        <v>354</v>
      </c>
      <c r="D55" t="s">
        <v>41</v>
      </c>
      <c r="E55" t="s">
        <v>12</v>
      </c>
    </row>
    <row r="57" spans="1:5" ht="18" thickBot="1">
      <c r="A57" s="286" t="s">
        <v>741</v>
      </c>
      <c r="B57" s="286"/>
      <c r="C57" s="286"/>
      <c r="D57" s="286"/>
      <c r="E57" s="286"/>
    </row>
    <row r="58" spans="1:5" ht="13.5" thickTop="1">
      <c r="A58" t="s">
        <v>35</v>
      </c>
      <c r="B58" t="s">
        <v>13</v>
      </c>
      <c r="C58" t="s">
        <v>354</v>
      </c>
      <c r="D58" t="s">
        <v>36</v>
      </c>
      <c r="E58" t="s">
        <v>12</v>
      </c>
    </row>
    <row r="59" spans="1:5">
      <c r="A59" t="s">
        <v>499</v>
      </c>
      <c r="B59" t="s">
        <v>13</v>
      </c>
      <c r="C59" t="s">
        <v>354</v>
      </c>
      <c r="D59" t="s">
        <v>536</v>
      </c>
      <c r="E59" t="s">
        <v>12</v>
      </c>
    </row>
    <row r="60" spans="1:5">
      <c r="A60" t="s">
        <v>37</v>
      </c>
      <c r="B60" t="s">
        <v>13</v>
      </c>
      <c r="C60" t="s">
        <v>354</v>
      </c>
      <c r="D60" t="s">
        <v>38</v>
      </c>
      <c r="E60" t="s">
        <v>12</v>
      </c>
    </row>
    <row r="62" spans="1:5" ht="18" thickBot="1">
      <c r="A62" s="286" t="s">
        <v>742</v>
      </c>
      <c r="B62" s="286"/>
      <c r="C62" s="286"/>
      <c r="D62" s="286"/>
      <c r="E62" s="286"/>
    </row>
    <row r="63" spans="1:5" ht="13.5" thickTop="1">
      <c r="A63" t="s">
        <v>225</v>
      </c>
      <c r="B63" t="s">
        <v>13</v>
      </c>
      <c r="C63" t="s">
        <v>354</v>
      </c>
      <c r="D63" t="s">
        <v>222</v>
      </c>
      <c r="E63" t="s">
        <v>12</v>
      </c>
    </row>
    <row r="64" spans="1:5">
      <c r="A64" t="s">
        <v>226</v>
      </c>
      <c r="B64" t="s">
        <v>13</v>
      </c>
      <c r="C64" t="s">
        <v>354</v>
      </c>
      <c r="D64" t="s">
        <v>223</v>
      </c>
      <c r="E64" t="s">
        <v>12</v>
      </c>
    </row>
    <row r="65" spans="1:5">
      <c r="A65" t="s">
        <v>234</v>
      </c>
      <c r="B65" t="s">
        <v>13</v>
      </c>
      <c r="C65" t="s">
        <v>354</v>
      </c>
      <c r="D65" t="s">
        <v>235</v>
      </c>
      <c r="E65" t="s">
        <v>12</v>
      </c>
    </row>
    <row r="66" spans="1:5">
      <c r="A66" t="s">
        <v>227</v>
      </c>
      <c r="B66" t="s">
        <v>13</v>
      </c>
      <c r="C66" t="s">
        <v>354</v>
      </c>
      <c r="D66" t="s">
        <v>224</v>
      </c>
      <c r="E66" t="s">
        <v>12</v>
      </c>
    </row>
    <row r="67" spans="1:5">
      <c r="A67" t="s">
        <v>231</v>
      </c>
      <c r="B67" t="s">
        <v>13</v>
      </c>
      <c r="C67" t="s">
        <v>354</v>
      </c>
      <c r="D67" t="s">
        <v>230</v>
      </c>
      <c r="E67" t="s">
        <v>12</v>
      </c>
    </row>
    <row r="68" spans="1:5">
      <c r="A68" t="s">
        <v>232</v>
      </c>
      <c r="B68" t="s">
        <v>13</v>
      </c>
      <c r="C68" t="s">
        <v>354</v>
      </c>
      <c r="D68" t="s">
        <v>233</v>
      </c>
      <c r="E68" t="s">
        <v>12</v>
      </c>
    </row>
    <row r="69" spans="1:5">
      <c r="A69" t="s">
        <v>228</v>
      </c>
      <c r="B69" t="s">
        <v>13</v>
      </c>
      <c r="C69" t="s">
        <v>354</v>
      </c>
      <c r="D69" t="s">
        <v>229</v>
      </c>
      <c r="E69" t="s">
        <v>42</v>
      </c>
    </row>
    <row r="71" spans="1:5" ht="18" thickBot="1">
      <c r="A71" s="286" t="s">
        <v>743</v>
      </c>
      <c r="B71" s="286"/>
      <c r="C71" s="286"/>
      <c r="D71" s="286"/>
      <c r="E71" s="286"/>
    </row>
    <row r="72" spans="1:5" ht="13.5" thickTop="1">
      <c r="A72" t="s">
        <v>52</v>
      </c>
      <c r="B72" t="s">
        <v>13</v>
      </c>
      <c r="C72" t="s">
        <v>354</v>
      </c>
      <c r="D72" t="s">
        <v>377</v>
      </c>
      <c r="E72" t="s">
        <v>12</v>
      </c>
    </row>
    <row r="73" spans="1:5">
      <c r="A73" t="s">
        <v>53</v>
      </c>
      <c r="B73" t="s">
        <v>13</v>
      </c>
      <c r="C73" t="s">
        <v>354</v>
      </c>
      <c r="D73" t="s">
        <v>378</v>
      </c>
      <c r="E73" t="s">
        <v>12</v>
      </c>
    </row>
    <row r="75" spans="1:5" ht="18" thickBot="1">
      <c r="A75" s="286" t="s">
        <v>744</v>
      </c>
      <c r="B75" s="286"/>
      <c r="C75" s="286"/>
      <c r="D75" s="286"/>
      <c r="E75" s="286"/>
    </row>
    <row r="76" spans="1:5" ht="13.5" thickTop="1">
      <c r="A76" t="s">
        <v>49</v>
      </c>
      <c r="B76" t="s">
        <v>625</v>
      </c>
      <c r="C76" t="s">
        <v>354</v>
      </c>
      <c r="D76" t="s">
        <v>50</v>
      </c>
      <c r="E76" t="s">
        <v>51</v>
      </c>
    </row>
    <row r="78" spans="1:5" ht="18" thickBot="1">
      <c r="A78" s="286" t="s">
        <v>745</v>
      </c>
      <c r="B78" s="286"/>
      <c r="C78" s="286"/>
      <c r="D78" s="286"/>
      <c r="E78" s="286"/>
    </row>
    <row r="79" spans="1:5" ht="13.5" thickTop="1">
      <c r="A79" t="s">
        <v>89</v>
      </c>
      <c r="B79" t="s">
        <v>13</v>
      </c>
      <c r="C79" t="s">
        <v>354</v>
      </c>
      <c r="D79" t="s">
        <v>90</v>
      </c>
      <c r="E79" t="s">
        <v>63</v>
      </c>
    </row>
    <row r="81" spans="1:5" ht="18" thickBot="1">
      <c r="A81" s="286" t="s">
        <v>746</v>
      </c>
      <c r="B81" s="286"/>
      <c r="C81" s="286"/>
      <c r="D81" s="286"/>
      <c r="E81" s="286"/>
    </row>
    <row r="82" spans="1:5" ht="13.5" thickTop="1">
      <c r="A82" t="s">
        <v>283</v>
      </c>
      <c r="B82" t="s">
        <v>625</v>
      </c>
      <c r="C82" t="s">
        <v>354</v>
      </c>
      <c r="D82" t="s">
        <v>285</v>
      </c>
      <c r="E82" t="s">
        <v>51</v>
      </c>
    </row>
    <row r="83" spans="1:5">
      <c r="A83" t="s">
        <v>268</v>
      </c>
      <c r="B83" t="s">
        <v>638</v>
      </c>
      <c r="C83" t="s">
        <v>72</v>
      </c>
      <c r="D83" t="s">
        <v>277</v>
      </c>
      <c r="E83" t="s">
        <v>51</v>
      </c>
    </row>
    <row r="84" spans="1:5">
      <c r="A84" t="s">
        <v>269</v>
      </c>
      <c r="B84" t="s">
        <v>638</v>
      </c>
      <c r="C84" t="s">
        <v>72</v>
      </c>
      <c r="D84" t="s">
        <v>278</v>
      </c>
      <c r="E84" t="s">
        <v>51</v>
      </c>
    </row>
    <row r="85" spans="1:5">
      <c r="A85" t="s">
        <v>618</v>
      </c>
      <c r="B85" t="s">
        <v>638</v>
      </c>
      <c r="C85" t="s">
        <v>72</v>
      </c>
      <c r="D85" t="s">
        <v>504</v>
      </c>
      <c r="E85" t="s">
        <v>51</v>
      </c>
    </row>
    <row r="86" spans="1:5">
      <c r="A86" t="s">
        <v>619</v>
      </c>
      <c r="B86" t="s">
        <v>638</v>
      </c>
      <c r="C86" t="s">
        <v>72</v>
      </c>
      <c r="D86" t="s">
        <v>505</v>
      </c>
      <c r="E86" t="s">
        <v>51</v>
      </c>
    </row>
    <row r="87" spans="1:5">
      <c r="A87" t="s">
        <v>270</v>
      </c>
      <c r="B87" t="s">
        <v>638</v>
      </c>
      <c r="C87" t="s">
        <v>72</v>
      </c>
      <c r="D87" t="s">
        <v>279</v>
      </c>
      <c r="E87" t="s">
        <v>51</v>
      </c>
    </row>
    <row r="88" spans="1:5">
      <c r="A88" t="s">
        <v>271</v>
      </c>
      <c r="B88" t="s">
        <v>638</v>
      </c>
      <c r="C88" t="s">
        <v>72</v>
      </c>
      <c r="D88" t="s">
        <v>280</v>
      </c>
      <c r="E88" t="s">
        <v>51</v>
      </c>
    </row>
    <row r="89" spans="1:5">
      <c r="A89" t="s">
        <v>284</v>
      </c>
      <c r="B89" t="s">
        <v>625</v>
      </c>
      <c r="C89" t="s">
        <v>354</v>
      </c>
      <c r="D89" t="s">
        <v>286</v>
      </c>
      <c r="E89" t="s">
        <v>51</v>
      </c>
    </row>
    <row r="90" spans="1:5">
      <c r="A90" t="s">
        <v>272</v>
      </c>
      <c r="B90" t="s">
        <v>638</v>
      </c>
      <c r="C90" t="s">
        <v>72</v>
      </c>
      <c r="D90" t="s">
        <v>281</v>
      </c>
      <c r="E90" t="s">
        <v>51</v>
      </c>
    </row>
    <row r="91" spans="1:5">
      <c r="A91" t="s">
        <v>273</v>
      </c>
      <c r="B91" t="s">
        <v>638</v>
      </c>
      <c r="C91" t="s">
        <v>72</v>
      </c>
      <c r="D91" t="s">
        <v>282</v>
      </c>
      <c r="E91" t="s">
        <v>51</v>
      </c>
    </row>
    <row r="93" spans="1:5" ht="18" thickBot="1">
      <c r="A93" s="286" t="s">
        <v>747</v>
      </c>
      <c r="B93" s="286"/>
      <c r="C93" s="286"/>
      <c r="D93" s="286"/>
      <c r="E93" s="286"/>
    </row>
    <row r="94" spans="1:5" ht="13.5" thickTop="1">
      <c r="A94" t="s">
        <v>260</v>
      </c>
      <c r="B94" t="s">
        <v>13</v>
      </c>
      <c r="C94" t="s">
        <v>354</v>
      </c>
      <c r="D94" t="s">
        <v>162</v>
      </c>
      <c r="E94" t="s">
        <v>12</v>
      </c>
    </row>
    <row r="95" spans="1:5">
      <c r="A95" t="s">
        <v>261</v>
      </c>
      <c r="B95" t="s">
        <v>13</v>
      </c>
      <c r="C95" t="s">
        <v>354</v>
      </c>
      <c r="D95" t="s">
        <v>80</v>
      </c>
      <c r="E95" t="s">
        <v>42</v>
      </c>
    </row>
    <row r="96" spans="1:5">
      <c r="A96" t="s">
        <v>620</v>
      </c>
      <c r="B96" t="s">
        <v>13</v>
      </c>
      <c r="C96" t="s">
        <v>354</v>
      </c>
      <c r="D96" t="s">
        <v>570</v>
      </c>
      <c r="E96" t="s">
        <v>42</v>
      </c>
    </row>
    <row r="97" spans="1:5">
      <c r="A97" t="s">
        <v>262</v>
      </c>
      <c r="B97" t="s">
        <v>13</v>
      </c>
      <c r="C97" t="s">
        <v>354</v>
      </c>
      <c r="D97" t="s">
        <v>81</v>
      </c>
      <c r="E97" t="s">
        <v>42</v>
      </c>
    </row>
    <row r="99" spans="1:5" ht="18" thickBot="1">
      <c r="A99" s="286" t="s">
        <v>748</v>
      </c>
      <c r="B99" s="286"/>
      <c r="C99" s="286"/>
      <c r="D99" s="286"/>
      <c r="E99" s="286"/>
    </row>
    <row r="100" spans="1:5" ht="13.5" thickTop="1">
      <c r="A100" t="s">
        <v>93</v>
      </c>
      <c r="B100" t="s">
        <v>638</v>
      </c>
      <c r="C100" t="s">
        <v>72</v>
      </c>
      <c r="D100" t="s">
        <v>208</v>
      </c>
      <c r="E100" t="s">
        <v>94</v>
      </c>
    </row>
    <row r="101" spans="1:5">
      <c r="A101" t="s">
        <v>101</v>
      </c>
      <c r="B101" t="s">
        <v>638</v>
      </c>
      <c r="C101" t="s">
        <v>72</v>
      </c>
      <c r="D101" t="s">
        <v>361</v>
      </c>
      <c r="E101" t="s">
        <v>475</v>
      </c>
    </row>
    <row r="102" spans="1:5">
      <c r="A102" t="s">
        <v>102</v>
      </c>
      <c r="B102" t="s">
        <v>638</v>
      </c>
      <c r="C102" t="s">
        <v>72</v>
      </c>
      <c r="D102" t="s">
        <v>107</v>
      </c>
      <c r="E102" t="s">
        <v>51</v>
      </c>
    </row>
    <row r="104" spans="1:5" ht="18" thickBot="1">
      <c r="A104" s="286" t="s">
        <v>749</v>
      </c>
      <c r="B104" s="286"/>
      <c r="C104" s="286"/>
      <c r="D104" s="286"/>
      <c r="E104" s="286"/>
    </row>
    <row r="105" spans="1:5" ht="13.5" thickTop="1">
      <c r="A105" t="s">
        <v>103</v>
      </c>
      <c r="B105" t="s">
        <v>13</v>
      </c>
      <c r="C105" t="s">
        <v>354</v>
      </c>
      <c r="D105" t="s">
        <v>104</v>
      </c>
      <c r="E105" t="s">
        <v>63</v>
      </c>
    </row>
    <row r="106" spans="1:5">
      <c r="A106" t="s">
        <v>242</v>
      </c>
      <c r="B106" t="s">
        <v>13</v>
      </c>
      <c r="C106" t="s">
        <v>354</v>
      </c>
      <c r="D106" t="s">
        <v>243</v>
      </c>
      <c r="E106" t="s">
        <v>63</v>
      </c>
    </row>
    <row r="107" spans="1:5">
      <c r="A107" t="s">
        <v>244</v>
      </c>
      <c r="B107" t="s">
        <v>13</v>
      </c>
      <c r="C107" t="s">
        <v>354</v>
      </c>
      <c r="D107" t="s">
        <v>245</v>
      </c>
      <c r="E107" t="s">
        <v>63</v>
      </c>
    </row>
    <row r="109" spans="1:5" ht="18" thickBot="1">
      <c r="A109" s="286" t="s">
        <v>750</v>
      </c>
      <c r="B109" s="286"/>
      <c r="C109" s="286"/>
      <c r="D109" s="286"/>
      <c r="E109" s="286"/>
    </row>
    <row r="110" spans="1:5" ht="13.5" thickTop="1">
      <c r="A110" t="s">
        <v>621</v>
      </c>
      <c r="B110" t="s">
        <v>638</v>
      </c>
      <c r="C110" t="s">
        <v>72</v>
      </c>
      <c r="D110" t="s">
        <v>295</v>
      </c>
      <c r="E110" t="s">
        <v>12</v>
      </c>
    </row>
    <row r="111" spans="1:5">
      <c r="A111" t="s">
        <v>294</v>
      </c>
      <c r="B111" t="s">
        <v>638</v>
      </c>
      <c r="C111" t="s">
        <v>72</v>
      </c>
      <c r="D111" t="s">
        <v>296</v>
      </c>
      <c r="E111" t="s">
        <v>12</v>
      </c>
    </row>
    <row r="112" spans="1:5">
      <c r="A112" t="s">
        <v>342</v>
      </c>
      <c r="B112" t="s">
        <v>638</v>
      </c>
      <c r="C112" t="s">
        <v>72</v>
      </c>
      <c r="D112" t="s">
        <v>297</v>
      </c>
      <c r="E112" t="s">
        <v>12</v>
      </c>
    </row>
    <row r="113" spans="1:5">
      <c r="A113" t="s">
        <v>343</v>
      </c>
      <c r="B113" t="s">
        <v>638</v>
      </c>
      <c r="C113" t="s">
        <v>72</v>
      </c>
      <c r="D113" t="s">
        <v>298</v>
      </c>
      <c r="E113" t="s">
        <v>12</v>
      </c>
    </row>
    <row r="115" spans="1:5" ht="18" thickBot="1">
      <c r="A115" s="286" t="s">
        <v>751</v>
      </c>
      <c r="B115" s="286"/>
      <c r="C115" s="286"/>
      <c r="D115" s="286"/>
      <c r="E115" s="286"/>
    </row>
    <row r="116" spans="1:5" ht="13.5" thickTop="1">
      <c r="A116" t="s">
        <v>422</v>
      </c>
      <c r="B116" t="s">
        <v>638</v>
      </c>
      <c r="C116" t="s">
        <v>72</v>
      </c>
      <c r="D116" t="s">
        <v>423</v>
      </c>
      <c r="E116" t="s">
        <v>12</v>
      </c>
    </row>
    <row r="117" spans="1:5">
      <c r="A117" t="s">
        <v>424</v>
      </c>
      <c r="B117" t="s">
        <v>638</v>
      </c>
      <c r="C117" t="s">
        <v>72</v>
      </c>
      <c r="D117" t="s">
        <v>425</v>
      </c>
      <c r="E117" t="s">
        <v>12</v>
      </c>
    </row>
    <row r="119" spans="1:5" ht="18" thickBot="1">
      <c r="A119" s="286" t="s">
        <v>752</v>
      </c>
      <c r="B119" s="286"/>
      <c r="C119" s="286"/>
      <c r="D119" s="286"/>
      <c r="E119" s="286"/>
    </row>
    <row r="120" spans="1:5" ht="13.5" thickTop="1">
      <c r="A120" t="s">
        <v>299</v>
      </c>
      <c r="B120" t="s">
        <v>638</v>
      </c>
      <c r="C120" t="s">
        <v>72</v>
      </c>
      <c r="D120" t="s">
        <v>300</v>
      </c>
      <c r="E120" t="s">
        <v>12</v>
      </c>
    </row>
    <row r="122" spans="1:5" ht="18" thickBot="1">
      <c r="A122" s="286" t="s">
        <v>753</v>
      </c>
      <c r="B122" s="286"/>
      <c r="C122" s="286"/>
      <c r="D122" s="286"/>
      <c r="E122" s="286"/>
    </row>
    <row r="123" spans="1:5" ht="13.5" thickTop="1">
      <c r="A123" t="s">
        <v>287</v>
      </c>
      <c r="B123" t="s">
        <v>625</v>
      </c>
      <c r="C123" t="s">
        <v>354</v>
      </c>
      <c r="D123" t="s">
        <v>339</v>
      </c>
      <c r="E123" t="s">
        <v>51</v>
      </c>
    </row>
    <row r="124" spans="1:5">
      <c r="A124" t="s">
        <v>288</v>
      </c>
      <c r="B124" t="s">
        <v>625</v>
      </c>
      <c r="C124" t="s">
        <v>354</v>
      </c>
      <c r="D124" t="s">
        <v>340</v>
      </c>
      <c r="E124" t="s">
        <v>51</v>
      </c>
    </row>
    <row r="125" spans="1:5">
      <c r="A125" t="s">
        <v>329</v>
      </c>
      <c r="B125" t="s">
        <v>625</v>
      </c>
      <c r="C125" t="s">
        <v>354</v>
      </c>
      <c r="D125" t="s">
        <v>173</v>
      </c>
      <c r="E125" t="s">
        <v>51</v>
      </c>
    </row>
    <row r="126" spans="1:5">
      <c r="A126" t="s">
        <v>170</v>
      </c>
      <c r="B126" t="s">
        <v>625</v>
      </c>
      <c r="C126" t="s">
        <v>354</v>
      </c>
      <c r="D126" t="s">
        <v>175</v>
      </c>
      <c r="E126" t="s">
        <v>51</v>
      </c>
    </row>
    <row r="127" spans="1:5">
      <c r="A127" t="s">
        <v>330</v>
      </c>
      <c r="B127" t="s">
        <v>625</v>
      </c>
      <c r="C127" t="s">
        <v>354</v>
      </c>
      <c r="D127" t="s">
        <v>176</v>
      </c>
      <c r="E127" t="s">
        <v>51</v>
      </c>
    </row>
    <row r="128" spans="1:5">
      <c r="A128" t="s">
        <v>664</v>
      </c>
      <c r="B128" t="s">
        <v>625</v>
      </c>
      <c r="C128" t="s">
        <v>354</v>
      </c>
      <c r="D128" t="s">
        <v>290</v>
      </c>
      <c r="E128" t="s">
        <v>51</v>
      </c>
    </row>
    <row r="129" spans="1:5">
      <c r="A129" t="s">
        <v>289</v>
      </c>
      <c r="B129" t="s">
        <v>625</v>
      </c>
      <c r="C129" t="s">
        <v>354</v>
      </c>
      <c r="D129" t="s">
        <v>291</v>
      </c>
      <c r="E129" t="s">
        <v>51</v>
      </c>
    </row>
    <row r="130" spans="1:5">
      <c r="A130" t="s">
        <v>332</v>
      </c>
      <c r="B130" t="s">
        <v>625</v>
      </c>
      <c r="C130" t="s">
        <v>354</v>
      </c>
      <c r="D130" t="s">
        <v>292</v>
      </c>
      <c r="E130" t="s">
        <v>51</v>
      </c>
    </row>
    <row r="131" spans="1:5">
      <c r="A131" t="s">
        <v>333</v>
      </c>
      <c r="B131" t="s">
        <v>625</v>
      </c>
      <c r="C131" t="s">
        <v>354</v>
      </c>
      <c r="D131" t="s">
        <v>293</v>
      </c>
      <c r="E131" t="s">
        <v>51</v>
      </c>
    </row>
    <row r="133" spans="1:5" ht="18" thickBot="1">
      <c r="A133" s="286" t="s">
        <v>754</v>
      </c>
      <c r="B133" s="286"/>
      <c r="C133" s="286"/>
      <c r="D133" s="286"/>
      <c r="E133" s="286"/>
    </row>
    <row r="134" spans="1:5" ht="13.5" thickTop="1">
      <c r="A134" t="s">
        <v>465</v>
      </c>
      <c r="B134" t="s">
        <v>13</v>
      </c>
      <c r="C134" t="s">
        <v>354</v>
      </c>
      <c r="D134" t="s">
        <v>95</v>
      </c>
      <c r="E134" t="s">
        <v>12</v>
      </c>
    </row>
    <row r="136" spans="1:5" ht="18" thickBot="1">
      <c r="A136" s="286" t="s">
        <v>755</v>
      </c>
      <c r="B136" s="286"/>
      <c r="C136" s="286"/>
      <c r="D136" s="286"/>
      <c r="E136" s="286"/>
    </row>
    <row r="137" spans="1:5" ht="13.5" thickTop="1">
      <c r="A137" t="s">
        <v>466</v>
      </c>
      <c r="B137" t="s">
        <v>13</v>
      </c>
      <c r="C137" t="s">
        <v>354</v>
      </c>
      <c r="D137" t="s">
        <v>467</v>
      </c>
      <c r="E137" t="s">
        <v>51</v>
      </c>
    </row>
    <row r="138" spans="1:5">
      <c r="A138" t="s">
        <v>97</v>
      </c>
      <c r="B138" t="s">
        <v>13</v>
      </c>
      <c r="C138" t="s">
        <v>354</v>
      </c>
      <c r="D138" t="s">
        <v>99</v>
      </c>
      <c r="E138" t="s">
        <v>12</v>
      </c>
    </row>
    <row r="139" spans="1:5">
      <c r="A139" t="s">
        <v>98</v>
      </c>
      <c r="B139" t="s">
        <v>13</v>
      </c>
      <c r="C139" t="s">
        <v>354</v>
      </c>
      <c r="D139" t="s">
        <v>100</v>
      </c>
      <c r="E139" t="s">
        <v>12</v>
      </c>
    </row>
    <row r="141" spans="1:5" ht="18" thickBot="1">
      <c r="A141" s="286" t="s">
        <v>756</v>
      </c>
      <c r="B141" s="286"/>
      <c r="C141" s="286"/>
      <c r="D141" s="286"/>
      <c r="E141" s="286"/>
    </row>
    <row r="142" spans="1:5" ht="13.5" thickTop="1">
      <c r="A142" t="s">
        <v>334</v>
      </c>
      <c r="B142" t="s">
        <v>625</v>
      </c>
      <c r="C142" t="s">
        <v>354</v>
      </c>
      <c r="D142" t="s">
        <v>308</v>
      </c>
      <c r="E142" t="s">
        <v>51</v>
      </c>
    </row>
    <row r="143" spans="1:5">
      <c r="A143" t="s">
        <v>344</v>
      </c>
      <c r="B143" t="s">
        <v>638</v>
      </c>
      <c r="C143" t="s">
        <v>72</v>
      </c>
      <c r="D143" t="s">
        <v>309</v>
      </c>
      <c r="E143" t="s">
        <v>12</v>
      </c>
    </row>
    <row r="144" spans="1:5">
      <c r="A144" t="s">
        <v>345</v>
      </c>
      <c r="B144" t="s">
        <v>638</v>
      </c>
      <c r="C144" t="s">
        <v>72</v>
      </c>
      <c r="D144" t="s">
        <v>310</v>
      </c>
      <c r="E144" t="s">
        <v>12</v>
      </c>
    </row>
    <row r="145" spans="1:5">
      <c r="A145" t="s">
        <v>346</v>
      </c>
      <c r="B145" t="s">
        <v>638</v>
      </c>
      <c r="C145" t="s">
        <v>72</v>
      </c>
      <c r="D145" t="s">
        <v>311</v>
      </c>
      <c r="E145" t="s">
        <v>12</v>
      </c>
    </row>
    <row r="147" spans="1:5" ht="18" thickBot="1">
      <c r="A147" s="286" t="s">
        <v>757</v>
      </c>
      <c r="B147" s="286"/>
      <c r="C147" s="286"/>
      <c r="D147" s="286"/>
      <c r="E147" s="286"/>
    </row>
    <row r="148" spans="1:5" ht="13.5" thickTop="1">
      <c r="A148" t="s">
        <v>313</v>
      </c>
      <c r="B148" t="s">
        <v>13</v>
      </c>
      <c r="C148" t="s">
        <v>354</v>
      </c>
      <c r="D148" t="s">
        <v>316</v>
      </c>
      <c r="E148" t="s">
        <v>12</v>
      </c>
    </row>
  </sheetData>
  <mergeCells count="1">
    <mergeCell ref="A1:E3"/>
  </mergeCells>
  <phoneticPr fontId="0"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Feuil12"/>
  <dimension ref="A1:E96"/>
  <sheetViews>
    <sheetView workbookViewId="0">
      <selection activeCell="A4" sqref="A4:D4"/>
    </sheetView>
  </sheetViews>
  <sheetFormatPr defaultColWidth="11.42578125" defaultRowHeight="12.75"/>
  <cols>
    <col min="1" max="1" width="36.28515625" bestFit="1" customWidth="1"/>
    <col min="2" max="2" width="7.5703125" bestFit="1" customWidth="1"/>
    <col min="3" max="3" width="10.85546875" bestFit="1" customWidth="1"/>
    <col min="4" max="4" width="76.140625" bestFit="1" customWidth="1"/>
  </cols>
  <sheetData>
    <row r="1" spans="1:5" ht="19.5" customHeight="1">
      <c r="A1" s="361" t="s">
        <v>694</v>
      </c>
      <c r="B1" s="361"/>
      <c r="C1" s="361"/>
      <c r="D1" s="361"/>
      <c r="E1" s="361"/>
    </row>
    <row r="2" spans="1:5">
      <c r="A2" s="361"/>
      <c r="B2" s="361"/>
      <c r="C2" s="361"/>
      <c r="D2" s="361"/>
      <c r="E2" s="361"/>
    </row>
    <row r="3" spans="1:5" ht="13.5" thickBot="1">
      <c r="A3" s="362"/>
      <c r="B3" s="362"/>
      <c r="C3" s="362"/>
      <c r="D3" s="362"/>
      <c r="E3" s="362"/>
    </row>
    <row r="4" spans="1:5" ht="13.5" thickTop="1">
      <c r="A4" s="285" t="s">
        <v>786</v>
      </c>
      <c r="B4" s="285" t="s">
        <v>700</v>
      </c>
      <c r="C4" s="285" t="s">
        <v>789</v>
      </c>
      <c r="D4" s="285" t="s">
        <v>699</v>
      </c>
      <c r="E4" t="s">
        <v>787</v>
      </c>
    </row>
    <row r="10" spans="1:5" ht="18" thickBot="1">
      <c r="A10" s="286" t="s">
        <v>703</v>
      </c>
      <c r="B10" s="286"/>
      <c r="C10" s="286"/>
      <c r="D10" s="286"/>
      <c r="E10" s="286"/>
    </row>
    <row r="11" spans="1:5" ht="13.5" thickTop="1">
      <c r="A11" t="s">
        <v>366</v>
      </c>
      <c r="B11" t="s">
        <v>13</v>
      </c>
      <c r="C11" t="s">
        <v>354</v>
      </c>
      <c r="D11" t="s">
        <v>367</v>
      </c>
      <c r="E11" t="s">
        <v>12</v>
      </c>
    </row>
    <row r="12" spans="1:5">
      <c r="A12" t="s">
        <v>368</v>
      </c>
      <c r="B12" t="s">
        <v>13</v>
      </c>
      <c r="C12" t="s">
        <v>354</v>
      </c>
      <c r="D12" t="s">
        <v>369</v>
      </c>
      <c r="E12" t="s">
        <v>12</v>
      </c>
    </row>
    <row r="13" spans="1:5">
      <c r="A13" t="s">
        <v>605</v>
      </c>
      <c r="B13" t="s">
        <v>13</v>
      </c>
      <c r="C13" t="s">
        <v>354</v>
      </c>
      <c r="D13" t="s">
        <v>560</v>
      </c>
      <c r="E13" t="s">
        <v>12</v>
      </c>
    </row>
    <row r="14" spans="1:5">
      <c r="A14" t="s">
        <v>606</v>
      </c>
      <c r="B14" t="s">
        <v>13</v>
      </c>
      <c r="C14" t="s">
        <v>354</v>
      </c>
      <c r="D14" t="s">
        <v>561</v>
      </c>
      <c r="E14" t="s">
        <v>12</v>
      </c>
    </row>
    <row r="15" spans="1:5">
      <c r="A15" t="s">
        <v>370</v>
      </c>
      <c r="B15" t="s">
        <v>13</v>
      </c>
      <c r="C15" t="s">
        <v>354</v>
      </c>
      <c r="D15" t="s">
        <v>371</v>
      </c>
      <c r="E15" t="s">
        <v>12</v>
      </c>
    </row>
    <row r="16" spans="1:5">
      <c r="A16" t="s">
        <v>372</v>
      </c>
      <c r="B16" t="s">
        <v>13</v>
      </c>
      <c r="C16" t="s">
        <v>354</v>
      </c>
      <c r="D16" t="s">
        <v>373</v>
      </c>
      <c r="E16" t="s">
        <v>12</v>
      </c>
    </row>
    <row r="17" spans="1:5">
      <c r="A17" t="s">
        <v>15</v>
      </c>
      <c r="B17" t="s">
        <v>13</v>
      </c>
      <c r="C17" t="s">
        <v>354</v>
      </c>
      <c r="D17" t="s">
        <v>374</v>
      </c>
      <c r="E17" t="s">
        <v>12</v>
      </c>
    </row>
    <row r="18" spans="1:5">
      <c r="A18" t="s">
        <v>607</v>
      </c>
      <c r="B18" t="s">
        <v>13</v>
      </c>
      <c r="C18" t="s">
        <v>354</v>
      </c>
      <c r="D18" t="s">
        <v>562</v>
      </c>
      <c r="E18" t="s">
        <v>12</v>
      </c>
    </row>
    <row r="19" spans="1:5">
      <c r="A19" t="s">
        <v>16</v>
      </c>
      <c r="B19" t="s">
        <v>13</v>
      </c>
      <c r="C19" t="s">
        <v>354</v>
      </c>
      <c r="D19" t="s">
        <v>375</v>
      </c>
      <c r="E19" t="s">
        <v>12</v>
      </c>
    </row>
    <row r="21" spans="1:5" ht="18" thickBot="1">
      <c r="A21" s="286" t="s">
        <v>725</v>
      </c>
      <c r="B21" s="286"/>
      <c r="C21" s="286"/>
      <c r="D21" s="286"/>
      <c r="E21" s="286"/>
    </row>
    <row r="22" spans="1:5" ht="13.5" thickTop="1">
      <c r="A22" t="s">
        <v>15</v>
      </c>
      <c r="B22" t="s">
        <v>13</v>
      </c>
      <c r="C22" t="s">
        <v>354</v>
      </c>
      <c r="D22" t="s">
        <v>374</v>
      </c>
      <c r="E22" t="s">
        <v>12</v>
      </c>
    </row>
    <row r="23" spans="1:5">
      <c r="A23" t="s">
        <v>607</v>
      </c>
      <c r="B23" t="s">
        <v>13</v>
      </c>
      <c r="C23" t="s">
        <v>354</v>
      </c>
      <c r="D23" t="s">
        <v>562</v>
      </c>
      <c r="E23" t="s">
        <v>12</v>
      </c>
    </row>
    <row r="24" spans="1:5">
      <c r="A24" t="s">
        <v>16</v>
      </c>
      <c r="B24" t="s">
        <v>13</v>
      </c>
      <c r="C24" t="s">
        <v>354</v>
      </c>
      <c r="D24" t="s">
        <v>375</v>
      </c>
      <c r="E24" t="s">
        <v>12</v>
      </c>
    </row>
    <row r="26" spans="1:5" ht="18" thickBot="1">
      <c r="A26" s="286" t="s">
        <v>704</v>
      </c>
      <c r="B26" s="286"/>
      <c r="C26" s="286"/>
      <c r="D26" s="286"/>
      <c r="E26" s="286"/>
    </row>
    <row r="27" spans="1:5" ht="13.5" thickTop="1">
      <c r="A27" t="s">
        <v>85</v>
      </c>
      <c r="B27" t="s">
        <v>13</v>
      </c>
      <c r="C27" t="s">
        <v>354</v>
      </c>
      <c r="D27" t="s">
        <v>86</v>
      </c>
      <c r="E27" t="s">
        <v>12</v>
      </c>
    </row>
    <row r="28" spans="1:5">
      <c r="A28" t="s">
        <v>178</v>
      </c>
      <c r="B28" t="s">
        <v>13</v>
      </c>
      <c r="C28" t="s">
        <v>354</v>
      </c>
      <c r="D28" t="s">
        <v>87</v>
      </c>
      <c r="E28" t="s">
        <v>42</v>
      </c>
    </row>
    <row r="30" spans="1:5" ht="18" thickBot="1">
      <c r="A30" s="286" t="s">
        <v>708</v>
      </c>
      <c r="B30" s="286"/>
      <c r="C30" s="286"/>
      <c r="D30" s="286"/>
      <c r="E30" s="286"/>
    </row>
    <row r="31" spans="1:5" ht="13.5" thickTop="1">
      <c r="A31" t="s">
        <v>392</v>
      </c>
      <c r="B31" t="s">
        <v>13</v>
      </c>
      <c r="C31" t="s">
        <v>354</v>
      </c>
      <c r="D31" t="s">
        <v>393</v>
      </c>
      <c r="E31" t="s">
        <v>12</v>
      </c>
    </row>
    <row r="32" spans="1:5">
      <c r="A32" t="s">
        <v>394</v>
      </c>
      <c r="B32" t="s">
        <v>13</v>
      </c>
      <c r="C32" t="s">
        <v>354</v>
      </c>
      <c r="D32" t="s">
        <v>395</v>
      </c>
      <c r="E32" t="s">
        <v>12</v>
      </c>
    </row>
    <row r="33" spans="1:5">
      <c r="A33" t="s">
        <v>61</v>
      </c>
      <c r="B33" t="s">
        <v>13</v>
      </c>
      <c r="C33" t="s">
        <v>354</v>
      </c>
      <c r="D33" t="s">
        <v>396</v>
      </c>
      <c r="E33" t="s">
        <v>12</v>
      </c>
    </row>
    <row r="34" spans="1:5">
      <c r="A34" t="s">
        <v>401</v>
      </c>
      <c r="B34" t="s">
        <v>13</v>
      </c>
      <c r="C34" t="s">
        <v>354</v>
      </c>
      <c r="D34" t="s">
        <v>402</v>
      </c>
      <c r="E34" t="s">
        <v>12</v>
      </c>
    </row>
    <row r="35" spans="1:5">
      <c r="A35" t="s">
        <v>403</v>
      </c>
      <c r="B35" t="s">
        <v>13</v>
      </c>
      <c r="C35" t="s">
        <v>354</v>
      </c>
      <c r="D35" t="s">
        <v>404</v>
      </c>
      <c r="E35" t="s">
        <v>12</v>
      </c>
    </row>
    <row r="36" spans="1:5">
      <c r="A36" t="s">
        <v>247</v>
      </c>
      <c r="B36" t="s">
        <v>13</v>
      </c>
      <c r="C36" t="s">
        <v>354</v>
      </c>
      <c r="D36" t="s">
        <v>405</v>
      </c>
      <c r="E36" t="s">
        <v>12</v>
      </c>
    </row>
    <row r="38" spans="1:5" ht="18" thickBot="1">
      <c r="A38" s="286" t="s">
        <v>780</v>
      </c>
      <c r="B38" s="286"/>
      <c r="C38" s="286"/>
      <c r="D38" s="286"/>
      <c r="E38" s="286"/>
    </row>
    <row r="39" spans="1:5" ht="13.5" thickTop="1">
      <c r="A39" t="s">
        <v>67</v>
      </c>
      <c r="B39" t="s">
        <v>13</v>
      </c>
      <c r="C39" t="s">
        <v>354</v>
      </c>
      <c r="D39" t="s">
        <v>64</v>
      </c>
      <c r="E39" t="s">
        <v>474</v>
      </c>
    </row>
    <row r="40" spans="1:5">
      <c r="A40" t="s">
        <v>68</v>
      </c>
      <c r="B40" t="s">
        <v>13</v>
      </c>
      <c r="C40" t="s">
        <v>354</v>
      </c>
      <c r="D40" t="s">
        <v>65</v>
      </c>
      <c r="E40" t="s">
        <v>474</v>
      </c>
    </row>
    <row r="41" spans="1:5">
      <c r="A41" t="s">
        <v>69</v>
      </c>
      <c r="B41" t="s">
        <v>13</v>
      </c>
      <c r="C41" t="s">
        <v>354</v>
      </c>
      <c r="D41" t="s">
        <v>66</v>
      </c>
      <c r="E41" t="s">
        <v>474</v>
      </c>
    </row>
    <row r="43" spans="1:5" ht="18" thickBot="1">
      <c r="A43" s="286" t="s">
        <v>709</v>
      </c>
      <c r="B43" s="286"/>
      <c r="C43" s="286"/>
      <c r="D43" s="286"/>
      <c r="E43" s="286"/>
    </row>
    <row r="44" spans="1:5" ht="13.5" thickTop="1">
      <c r="A44" t="s">
        <v>70</v>
      </c>
      <c r="B44" t="s">
        <v>13</v>
      </c>
      <c r="C44" t="s">
        <v>354</v>
      </c>
      <c r="D44" t="s">
        <v>406</v>
      </c>
      <c r="E44" t="s">
        <v>12</v>
      </c>
    </row>
    <row r="45" spans="1:5">
      <c r="A45" t="s">
        <v>407</v>
      </c>
      <c r="B45" t="s">
        <v>13</v>
      </c>
      <c r="C45" t="s">
        <v>354</v>
      </c>
      <c r="D45" t="s">
        <v>408</v>
      </c>
      <c r="E45" t="s">
        <v>12</v>
      </c>
    </row>
    <row r="46" spans="1:5">
      <c r="A46" t="s">
        <v>409</v>
      </c>
      <c r="B46" t="s">
        <v>13</v>
      </c>
      <c r="C46" t="s">
        <v>354</v>
      </c>
      <c r="D46" t="s">
        <v>410</v>
      </c>
      <c r="E46" t="s">
        <v>12</v>
      </c>
    </row>
    <row r="48" spans="1:5" ht="18" thickBot="1">
      <c r="A48" s="286" t="s">
        <v>731</v>
      </c>
      <c r="B48" s="286"/>
      <c r="C48" s="286"/>
      <c r="D48" s="286"/>
      <c r="E48" s="286"/>
    </row>
    <row r="49" spans="1:5" ht="13.5" thickTop="1">
      <c r="A49" t="s">
        <v>264</v>
      </c>
      <c r="B49" t="s">
        <v>638</v>
      </c>
      <c r="C49" t="s">
        <v>72</v>
      </c>
      <c r="D49" t="s">
        <v>263</v>
      </c>
      <c r="E49" t="s">
        <v>51</v>
      </c>
    </row>
    <row r="50" spans="1:5">
      <c r="A50" t="s">
        <v>265</v>
      </c>
      <c r="B50" t="s">
        <v>638</v>
      </c>
      <c r="C50" t="s">
        <v>72</v>
      </c>
      <c r="D50" t="s">
        <v>274</v>
      </c>
      <c r="E50" t="s">
        <v>51</v>
      </c>
    </row>
    <row r="51" spans="1:5">
      <c r="A51" t="s">
        <v>616</v>
      </c>
      <c r="B51" t="s">
        <v>638</v>
      </c>
      <c r="C51" t="s">
        <v>72</v>
      </c>
      <c r="D51" t="s">
        <v>543</v>
      </c>
      <c r="E51" t="s">
        <v>51</v>
      </c>
    </row>
    <row r="52" spans="1:5">
      <c r="A52" t="s">
        <v>617</v>
      </c>
      <c r="B52" t="s">
        <v>638</v>
      </c>
      <c r="C52" t="s">
        <v>72</v>
      </c>
      <c r="D52" t="s">
        <v>544</v>
      </c>
      <c r="E52" t="s">
        <v>51</v>
      </c>
    </row>
    <row r="53" spans="1:5">
      <c r="A53" t="s">
        <v>266</v>
      </c>
      <c r="B53" t="s">
        <v>638</v>
      </c>
      <c r="C53" t="s">
        <v>72</v>
      </c>
      <c r="D53" t="s">
        <v>275</v>
      </c>
      <c r="E53" t="s">
        <v>51</v>
      </c>
    </row>
    <row r="54" spans="1:5">
      <c r="A54" t="s">
        <v>267</v>
      </c>
      <c r="B54" t="s">
        <v>638</v>
      </c>
      <c r="C54" t="s">
        <v>72</v>
      </c>
      <c r="D54" t="s">
        <v>276</v>
      </c>
      <c r="E54" t="s">
        <v>51</v>
      </c>
    </row>
    <row r="55" spans="1:5">
      <c r="A55" t="s">
        <v>411</v>
      </c>
      <c r="B55" t="s">
        <v>638</v>
      </c>
      <c r="C55" t="s">
        <v>72</v>
      </c>
      <c r="D55" t="s">
        <v>412</v>
      </c>
      <c r="E55" t="s">
        <v>51</v>
      </c>
    </row>
    <row r="56" spans="1:5">
      <c r="A56" t="s">
        <v>413</v>
      </c>
      <c r="B56" t="s">
        <v>638</v>
      </c>
      <c r="C56" t="s">
        <v>72</v>
      </c>
      <c r="D56" t="s">
        <v>414</v>
      </c>
      <c r="E56" t="s">
        <v>51</v>
      </c>
    </row>
    <row r="57" spans="1:5">
      <c r="A57" t="s">
        <v>415</v>
      </c>
      <c r="B57" t="s">
        <v>638</v>
      </c>
      <c r="C57" t="s">
        <v>72</v>
      </c>
      <c r="D57" t="s">
        <v>416</v>
      </c>
      <c r="E57" t="s">
        <v>51</v>
      </c>
    </row>
    <row r="58" spans="1:5">
      <c r="A58" t="s">
        <v>417</v>
      </c>
      <c r="B58" t="s">
        <v>638</v>
      </c>
      <c r="C58" t="s">
        <v>72</v>
      </c>
      <c r="D58" t="s">
        <v>418</v>
      </c>
      <c r="E58" t="s">
        <v>51</v>
      </c>
    </row>
    <row r="60" spans="1:5" ht="18" thickBot="1">
      <c r="A60" s="286" t="s">
        <v>781</v>
      </c>
      <c r="B60" s="286"/>
      <c r="C60" s="286"/>
      <c r="D60" s="286"/>
      <c r="E60" s="286"/>
    </row>
    <row r="61" spans="1:5" ht="13.5" thickTop="1">
      <c r="A61" t="s">
        <v>125</v>
      </c>
      <c r="B61" t="s">
        <v>638</v>
      </c>
      <c r="C61" t="s">
        <v>72</v>
      </c>
      <c r="D61" t="s">
        <v>126</v>
      </c>
      <c r="E61" t="s">
        <v>63</v>
      </c>
    </row>
    <row r="62" spans="1:5">
      <c r="A62" t="s">
        <v>534</v>
      </c>
      <c r="B62" t="s">
        <v>13</v>
      </c>
      <c r="C62" t="s">
        <v>354</v>
      </c>
      <c r="D62" t="s">
        <v>535</v>
      </c>
      <c r="E62" t="s">
        <v>63</v>
      </c>
    </row>
    <row r="64" spans="1:5" ht="18" thickBot="1">
      <c r="A64" s="286" t="s">
        <v>763</v>
      </c>
      <c r="B64" s="286"/>
      <c r="C64" s="286"/>
      <c r="D64" s="286"/>
      <c r="E64" s="286"/>
    </row>
    <row r="65" spans="1:5" ht="13.5" thickTop="1">
      <c r="A65" t="s">
        <v>103</v>
      </c>
      <c r="B65" t="s">
        <v>13</v>
      </c>
      <c r="C65" t="s">
        <v>354</v>
      </c>
      <c r="D65" t="s">
        <v>104</v>
      </c>
      <c r="E65" t="s">
        <v>63</v>
      </c>
    </row>
    <row r="66" spans="1:5">
      <c r="A66" t="s">
        <v>242</v>
      </c>
      <c r="B66" t="s">
        <v>13</v>
      </c>
      <c r="C66" t="s">
        <v>354</v>
      </c>
      <c r="D66" t="s">
        <v>243</v>
      </c>
      <c r="E66" t="s">
        <v>63</v>
      </c>
    </row>
    <row r="67" spans="1:5">
      <c r="A67" t="s">
        <v>244</v>
      </c>
      <c r="B67" t="s">
        <v>13</v>
      </c>
      <c r="C67" t="s">
        <v>354</v>
      </c>
      <c r="D67" t="s">
        <v>245</v>
      </c>
      <c r="E67" t="s">
        <v>63</v>
      </c>
    </row>
    <row r="69" spans="1:5" ht="18" thickBot="1">
      <c r="A69" s="286" t="s">
        <v>769</v>
      </c>
      <c r="B69" s="286"/>
      <c r="C69" s="286"/>
      <c r="D69" s="286"/>
      <c r="E69" s="286"/>
    </row>
    <row r="70" spans="1:5" ht="13.5" thickTop="1">
      <c r="A70" t="s">
        <v>103</v>
      </c>
      <c r="B70" t="s">
        <v>13</v>
      </c>
      <c r="C70" t="s">
        <v>354</v>
      </c>
      <c r="D70" t="s">
        <v>104</v>
      </c>
      <c r="E70" t="s">
        <v>63</v>
      </c>
    </row>
    <row r="71" spans="1:5">
      <c r="A71" t="s">
        <v>242</v>
      </c>
      <c r="B71" t="s">
        <v>13</v>
      </c>
      <c r="C71" t="s">
        <v>354</v>
      </c>
      <c r="D71" t="s">
        <v>243</v>
      </c>
      <c r="E71" t="s">
        <v>63</v>
      </c>
    </row>
    <row r="72" spans="1:5">
      <c r="A72" t="s">
        <v>244</v>
      </c>
      <c r="B72" t="s">
        <v>13</v>
      </c>
      <c r="C72" t="s">
        <v>354</v>
      </c>
      <c r="D72" t="s">
        <v>245</v>
      </c>
      <c r="E72" t="s">
        <v>63</v>
      </c>
    </row>
    <row r="74" spans="1:5" ht="18" thickBot="1">
      <c r="A74" s="286" t="s">
        <v>713</v>
      </c>
      <c r="B74" s="286"/>
      <c r="C74" s="286"/>
      <c r="D74" s="286"/>
      <c r="E74" s="286"/>
    </row>
    <row r="75" spans="1:5" ht="13.5" thickTop="1">
      <c r="A75" t="s">
        <v>397</v>
      </c>
      <c r="B75" t="s">
        <v>638</v>
      </c>
      <c r="C75" t="s">
        <v>72</v>
      </c>
      <c r="D75" t="s">
        <v>398</v>
      </c>
      <c r="E75" t="s">
        <v>12</v>
      </c>
    </row>
    <row r="76" spans="1:5">
      <c r="A76" t="s">
        <v>399</v>
      </c>
      <c r="B76" t="s">
        <v>638</v>
      </c>
      <c r="C76" t="s">
        <v>72</v>
      </c>
      <c r="D76" t="s">
        <v>400</v>
      </c>
      <c r="E76" t="s">
        <v>12</v>
      </c>
    </row>
    <row r="78" spans="1:5" ht="18" thickBot="1">
      <c r="A78" s="286" t="s">
        <v>714</v>
      </c>
      <c r="B78" s="286"/>
      <c r="C78" s="286"/>
      <c r="D78" s="286"/>
      <c r="E78" s="286"/>
    </row>
    <row r="79" spans="1:5" ht="13.5" thickTop="1">
      <c r="A79" t="s">
        <v>356</v>
      </c>
      <c r="B79" t="s">
        <v>638</v>
      </c>
      <c r="C79" t="s">
        <v>72</v>
      </c>
      <c r="D79" t="s">
        <v>359</v>
      </c>
      <c r="E79" t="s">
        <v>12</v>
      </c>
    </row>
    <row r="80" spans="1:5">
      <c r="A80" t="s">
        <v>357</v>
      </c>
      <c r="B80" t="s">
        <v>638</v>
      </c>
      <c r="C80" t="s">
        <v>72</v>
      </c>
      <c r="D80" t="s">
        <v>360</v>
      </c>
      <c r="E80" t="s">
        <v>12</v>
      </c>
    </row>
    <row r="82" spans="1:5" ht="18" thickBot="1">
      <c r="A82" s="286" t="s">
        <v>770</v>
      </c>
      <c r="B82" s="286"/>
      <c r="C82" s="286"/>
      <c r="D82" s="286"/>
      <c r="E82" s="286"/>
    </row>
    <row r="83" spans="1:5" ht="13.5" thickTop="1">
      <c r="A83" t="s">
        <v>301</v>
      </c>
      <c r="B83" t="s">
        <v>638</v>
      </c>
      <c r="C83" t="s">
        <v>72</v>
      </c>
      <c r="D83" t="s">
        <v>304</v>
      </c>
      <c r="E83" t="s">
        <v>12</v>
      </c>
    </row>
    <row r="84" spans="1:5">
      <c r="A84" t="s">
        <v>302</v>
      </c>
      <c r="B84" t="s">
        <v>638</v>
      </c>
      <c r="C84" t="s">
        <v>72</v>
      </c>
      <c r="D84" t="s">
        <v>305</v>
      </c>
      <c r="E84" t="s">
        <v>12</v>
      </c>
    </row>
    <row r="85" spans="1:5">
      <c r="A85" t="s">
        <v>303</v>
      </c>
      <c r="B85" t="s">
        <v>638</v>
      </c>
      <c r="C85" t="s">
        <v>72</v>
      </c>
      <c r="D85" t="s">
        <v>306</v>
      </c>
      <c r="E85" t="s">
        <v>12</v>
      </c>
    </row>
    <row r="87" spans="1:5" ht="18" thickBot="1">
      <c r="A87" s="286" t="s">
        <v>771</v>
      </c>
      <c r="B87" s="286"/>
      <c r="C87" s="286"/>
      <c r="D87" s="286"/>
      <c r="E87" s="286"/>
    </row>
    <row r="88" spans="1:5" ht="13.5" thickTop="1">
      <c r="A88" t="s">
        <v>127</v>
      </c>
      <c r="B88" t="s">
        <v>638</v>
      </c>
      <c r="C88" t="s">
        <v>72</v>
      </c>
      <c r="D88" t="s">
        <v>128</v>
      </c>
      <c r="E88" t="s">
        <v>476</v>
      </c>
    </row>
    <row r="89" spans="1:5">
      <c r="A89" t="s">
        <v>129</v>
      </c>
      <c r="B89" t="s">
        <v>638</v>
      </c>
      <c r="C89" t="s">
        <v>72</v>
      </c>
      <c r="D89" t="s">
        <v>130</v>
      </c>
      <c r="E89" t="s">
        <v>476</v>
      </c>
    </row>
    <row r="90" spans="1:5">
      <c r="A90" t="s">
        <v>240</v>
      </c>
      <c r="B90" t="s">
        <v>638</v>
      </c>
      <c r="C90" t="s">
        <v>72</v>
      </c>
      <c r="D90" t="s">
        <v>241</v>
      </c>
      <c r="E90" t="s">
        <v>476</v>
      </c>
    </row>
    <row r="92" spans="1:5" ht="18" thickBot="1">
      <c r="A92" s="286" t="s">
        <v>782</v>
      </c>
      <c r="B92" s="286"/>
      <c r="C92" s="286"/>
      <c r="D92" s="286"/>
      <c r="E92" s="286"/>
    </row>
    <row r="93" spans="1:5" ht="13.5" thickTop="1">
      <c r="A93" t="s">
        <v>106</v>
      </c>
      <c r="B93" t="s">
        <v>638</v>
      </c>
      <c r="C93" t="s">
        <v>72</v>
      </c>
      <c r="D93" t="s">
        <v>111</v>
      </c>
      <c r="E93" t="s">
        <v>51</v>
      </c>
    </row>
    <row r="95" spans="1:5" ht="18" thickBot="1">
      <c r="A95" s="286" t="s">
        <v>783</v>
      </c>
      <c r="B95" s="286"/>
      <c r="C95" s="286"/>
      <c r="D95" s="286"/>
      <c r="E95" s="286"/>
    </row>
    <row r="96" spans="1:5" ht="13.5" thickTop="1">
      <c r="A96" t="s">
        <v>109</v>
      </c>
      <c r="B96" t="s">
        <v>355</v>
      </c>
      <c r="C96" t="s">
        <v>355</v>
      </c>
      <c r="D96" t="s">
        <v>110</v>
      </c>
      <c r="E96" t="s">
        <v>51</v>
      </c>
    </row>
  </sheetData>
  <mergeCells count="1">
    <mergeCell ref="A1:E3"/>
  </mergeCells>
  <phoneticPr fontId="0"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Feuil7"/>
  <dimension ref="A1:E44"/>
  <sheetViews>
    <sheetView topLeftCell="D1" workbookViewId="0">
      <selection activeCell="A4" sqref="A4:D4"/>
    </sheetView>
  </sheetViews>
  <sheetFormatPr defaultColWidth="11.42578125" defaultRowHeight="12.75"/>
  <cols>
    <col min="1" max="1" width="31" bestFit="1" customWidth="1"/>
    <col min="2" max="2" width="7.5703125" bestFit="1" customWidth="1"/>
    <col min="3" max="3" width="10.85546875" bestFit="1" customWidth="1"/>
    <col min="4" max="4" width="69.7109375" bestFit="1" customWidth="1"/>
  </cols>
  <sheetData>
    <row r="1" spans="1:5" ht="19.5" customHeight="1">
      <c r="A1" s="361" t="s">
        <v>689</v>
      </c>
      <c r="B1" s="361"/>
      <c r="C1" s="361"/>
      <c r="D1" s="361"/>
      <c r="E1" s="361"/>
    </row>
    <row r="2" spans="1:5">
      <c r="A2" s="361"/>
      <c r="B2" s="361"/>
      <c r="C2" s="361"/>
      <c r="D2" s="361"/>
      <c r="E2" s="361"/>
    </row>
    <row r="3" spans="1:5" ht="13.5" thickBot="1">
      <c r="A3" s="362"/>
      <c r="B3" s="362"/>
      <c r="C3" s="362"/>
      <c r="D3" s="362"/>
      <c r="E3" s="362"/>
    </row>
    <row r="4" spans="1:5" ht="13.5" thickTop="1">
      <c r="A4" s="285" t="s">
        <v>786</v>
      </c>
      <c r="B4" s="285" t="s">
        <v>700</v>
      </c>
      <c r="C4" s="285" t="s">
        <v>789</v>
      </c>
      <c r="D4" s="285" t="s">
        <v>699</v>
      </c>
      <c r="E4" t="s">
        <v>787</v>
      </c>
    </row>
    <row r="10" spans="1:5" ht="18" thickBot="1">
      <c r="A10" s="286" t="s">
        <v>758</v>
      </c>
      <c r="B10" s="286"/>
      <c r="C10" s="286"/>
      <c r="D10" s="286"/>
      <c r="E10" s="286"/>
    </row>
    <row r="11" spans="1:5" ht="13.5" thickTop="1">
      <c r="A11" t="s">
        <v>131</v>
      </c>
      <c r="B11" t="s">
        <v>13</v>
      </c>
      <c r="C11" t="s">
        <v>354</v>
      </c>
      <c r="D11" t="s">
        <v>132</v>
      </c>
      <c r="E11" t="s">
        <v>473</v>
      </c>
    </row>
    <row r="13" spans="1:5" ht="18" thickBot="1">
      <c r="A13" s="286" t="s">
        <v>759</v>
      </c>
      <c r="B13" s="286"/>
      <c r="C13" s="286"/>
      <c r="D13" s="286"/>
      <c r="E13" s="286"/>
    </row>
    <row r="14" spans="1:5" ht="13.5" thickTop="1">
      <c r="A14" t="s">
        <v>49</v>
      </c>
      <c r="B14" t="s">
        <v>625</v>
      </c>
      <c r="C14" t="s">
        <v>354</v>
      </c>
      <c r="D14" t="s">
        <v>50</v>
      </c>
      <c r="E14" t="s">
        <v>51</v>
      </c>
    </row>
    <row r="16" spans="1:5" ht="18" thickBot="1">
      <c r="A16" s="286" t="s">
        <v>760</v>
      </c>
      <c r="B16" s="286"/>
      <c r="C16" s="286"/>
      <c r="D16" s="286"/>
      <c r="E16" s="286"/>
    </row>
    <row r="17" spans="1:5" ht="13.5" thickTop="1">
      <c r="A17" t="s">
        <v>654</v>
      </c>
      <c r="B17" t="s">
        <v>13</v>
      </c>
      <c r="C17" t="s">
        <v>354</v>
      </c>
      <c r="D17" t="s">
        <v>517</v>
      </c>
      <c r="E17" t="s">
        <v>118</v>
      </c>
    </row>
    <row r="18" spans="1:5">
      <c r="A18" t="s">
        <v>655</v>
      </c>
      <c r="B18" t="s">
        <v>638</v>
      </c>
      <c r="C18" t="s">
        <v>72</v>
      </c>
      <c r="D18" t="s">
        <v>523</v>
      </c>
      <c r="E18" t="s">
        <v>118</v>
      </c>
    </row>
    <row r="19" spans="1:5">
      <c r="A19" t="s">
        <v>656</v>
      </c>
      <c r="B19" t="s">
        <v>638</v>
      </c>
      <c r="C19" t="s">
        <v>72</v>
      </c>
      <c r="D19" t="s">
        <v>524</v>
      </c>
      <c r="E19" t="s">
        <v>118</v>
      </c>
    </row>
    <row r="20" spans="1:5">
      <c r="A20" t="s">
        <v>657</v>
      </c>
      <c r="B20" t="s">
        <v>638</v>
      </c>
      <c r="C20" t="s">
        <v>72</v>
      </c>
      <c r="D20" t="s">
        <v>525</v>
      </c>
      <c r="E20" t="s">
        <v>118</v>
      </c>
    </row>
    <row r="21" spans="1:5">
      <c r="A21" t="s">
        <v>658</v>
      </c>
      <c r="B21" t="s">
        <v>638</v>
      </c>
      <c r="C21" t="s">
        <v>72</v>
      </c>
      <c r="D21" t="s">
        <v>526</v>
      </c>
      <c r="E21" t="s">
        <v>118</v>
      </c>
    </row>
    <row r="23" spans="1:5" ht="18" thickBot="1">
      <c r="A23" s="286" t="s">
        <v>761</v>
      </c>
      <c r="B23" s="286"/>
      <c r="C23" s="286"/>
      <c r="D23" s="286"/>
      <c r="E23" s="286"/>
    </row>
    <row r="24" spans="1:5" ht="13.5" thickTop="1">
      <c r="A24" t="s">
        <v>516</v>
      </c>
      <c r="B24" t="s">
        <v>13</v>
      </c>
      <c r="C24" t="s">
        <v>354</v>
      </c>
      <c r="D24" t="s">
        <v>549</v>
      </c>
      <c r="E24" t="s">
        <v>120</v>
      </c>
    </row>
    <row r="25" spans="1:5">
      <c r="A25" t="s">
        <v>530</v>
      </c>
      <c r="B25" t="s">
        <v>638</v>
      </c>
      <c r="C25" t="s">
        <v>72</v>
      </c>
      <c r="D25" t="s">
        <v>550</v>
      </c>
      <c r="E25" t="s">
        <v>120</v>
      </c>
    </row>
    <row r="26" spans="1:5">
      <c r="A26" t="s">
        <v>531</v>
      </c>
      <c r="B26" t="s">
        <v>638</v>
      </c>
      <c r="C26" t="s">
        <v>72</v>
      </c>
      <c r="D26" t="s">
        <v>551</v>
      </c>
      <c r="E26" t="s">
        <v>120</v>
      </c>
    </row>
    <row r="27" spans="1:5">
      <c r="A27" t="s">
        <v>518</v>
      </c>
      <c r="B27" t="s">
        <v>638</v>
      </c>
      <c r="C27" t="s">
        <v>72</v>
      </c>
      <c r="D27" t="s">
        <v>552</v>
      </c>
      <c r="E27" t="s">
        <v>120</v>
      </c>
    </row>
    <row r="28" spans="1:5">
      <c r="A28" t="s">
        <v>532</v>
      </c>
      <c r="B28" t="s">
        <v>638</v>
      </c>
      <c r="C28" t="s">
        <v>72</v>
      </c>
      <c r="D28" t="s">
        <v>553</v>
      </c>
      <c r="E28" t="s">
        <v>120</v>
      </c>
    </row>
    <row r="30" spans="1:5" ht="18" thickBot="1">
      <c r="A30" s="286" t="s">
        <v>762</v>
      </c>
      <c r="B30" s="286"/>
      <c r="C30" s="286"/>
      <c r="D30" s="286"/>
      <c r="E30" s="286"/>
    </row>
    <row r="31" spans="1:5" ht="13.5" thickTop="1">
      <c r="A31" t="s">
        <v>122</v>
      </c>
      <c r="B31" t="s">
        <v>638</v>
      </c>
      <c r="C31" t="s">
        <v>72</v>
      </c>
      <c r="D31" t="s">
        <v>545</v>
      </c>
      <c r="E31" t="s">
        <v>51</v>
      </c>
    </row>
    <row r="33" spans="1:5" ht="18" thickBot="1">
      <c r="A33" s="286" t="s">
        <v>763</v>
      </c>
      <c r="B33" s="286"/>
      <c r="C33" s="286"/>
      <c r="D33" s="286"/>
      <c r="E33" s="286"/>
    </row>
    <row r="34" spans="1:5" ht="13.5" thickTop="1">
      <c r="A34" t="s">
        <v>103</v>
      </c>
      <c r="B34" t="s">
        <v>13</v>
      </c>
      <c r="C34" t="s">
        <v>354</v>
      </c>
      <c r="D34" t="s">
        <v>104</v>
      </c>
      <c r="E34" t="s">
        <v>63</v>
      </c>
    </row>
    <row r="35" spans="1:5">
      <c r="A35" t="s">
        <v>242</v>
      </c>
      <c r="B35" t="s">
        <v>13</v>
      </c>
      <c r="C35" t="s">
        <v>354</v>
      </c>
      <c r="D35" t="s">
        <v>243</v>
      </c>
      <c r="E35" t="s">
        <v>63</v>
      </c>
    </row>
    <row r="36" spans="1:5">
      <c r="A36" t="s">
        <v>244</v>
      </c>
      <c r="B36" t="s">
        <v>13</v>
      </c>
      <c r="C36" t="s">
        <v>354</v>
      </c>
      <c r="D36" t="s">
        <v>245</v>
      </c>
      <c r="E36" t="s">
        <v>63</v>
      </c>
    </row>
    <row r="38" spans="1:5" ht="18" thickBot="1">
      <c r="A38" s="286" t="s">
        <v>764</v>
      </c>
      <c r="B38" s="286"/>
      <c r="C38" s="286"/>
      <c r="D38" s="286"/>
      <c r="E38" s="286"/>
    </row>
    <row r="39" spans="1:5" ht="13.5" thickTop="1">
      <c r="A39" t="s">
        <v>182</v>
      </c>
      <c r="B39" t="s">
        <v>13</v>
      </c>
      <c r="C39" t="s">
        <v>354</v>
      </c>
      <c r="D39" t="s">
        <v>185</v>
      </c>
      <c r="E39" t="s">
        <v>51</v>
      </c>
    </row>
    <row r="40" spans="1:5">
      <c r="A40" t="s">
        <v>183</v>
      </c>
      <c r="B40" t="s">
        <v>13</v>
      </c>
      <c r="C40" t="s">
        <v>354</v>
      </c>
      <c r="D40" t="s">
        <v>186</v>
      </c>
      <c r="E40" t="s">
        <v>12</v>
      </c>
    </row>
    <row r="42" spans="1:5" ht="18" thickBot="1">
      <c r="A42" s="286" t="s">
        <v>765</v>
      </c>
      <c r="B42" s="286"/>
      <c r="C42" s="286"/>
      <c r="D42" s="286"/>
      <c r="E42" s="286"/>
    </row>
    <row r="43" spans="1:5" ht="13.5" thickTop="1">
      <c r="A43" t="s">
        <v>8</v>
      </c>
      <c r="B43" t="s">
        <v>638</v>
      </c>
      <c r="C43" t="s">
        <v>72</v>
      </c>
      <c r="D43" t="s">
        <v>209</v>
      </c>
      <c r="E43" t="s">
        <v>51</v>
      </c>
    </row>
    <row r="44" spans="1:5">
      <c r="A44" t="s">
        <v>113</v>
      </c>
      <c r="B44" t="s">
        <v>638</v>
      </c>
      <c r="C44" t="s">
        <v>72</v>
      </c>
      <c r="D44" t="s">
        <v>210</v>
      </c>
      <c r="E44" t="s">
        <v>51</v>
      </c>
    </row>
  </sheetData>
  <mergeCells count="1">
    <mergeCell ref="A1:E3"/>
  </mergeCells>
  <phoneticPr fontId="0"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Feuil13"/>
  <dimension ref="A1:E24"/>
  <sheetViews>
    <sheetView workbookViewId="0">
      <selection activeCell="A4" sqref="A4:D4"/>
    </sheetView>
  </sheetViews>
  <sheetFormatPr defaultColWidth="11.42578125" defaultRowHeight="12.75"/>
  <cols>
    <col min="1" max="1" width="35.5703125" bestFit="1" customWidth="1"/>
    <col min="2" max="2" width="7.5703125" bestFit="1" customWidth="1"/>
    <col min="3" max="3" width="10.85546875" bestFit="1" customWidth="1"/>
    <col min="4" max="4" width="59.7109375" bestFit="1" customWidth="1"/>
  </cols>
  <sheetData>
    <row r="1" spans="1:5" ht="19.5" customHeight="1">
      <c r="A1" s="361" t="s">
        <v>695</v>
      </c>
      <c r="B1" s="361"/>
      <c r="C1" s="361"/>
      <c r="D1" s="361"/>
      <c r="E1" s="361"/>
    </row>
    <row r="2" spans="1:5">
      <c r="A2" s="361"/>
      <c r="B2" s="361"/>
      <c r="C2" s="361"/>
      <c r="D2" s="361"/>
      <c r="E2" s="361"/>
    </row>
    <row r="3" spans="1:5" ht="13.5" thickBot="1">
      <c r="A3" s="362"/>
      <c r="B3" s="362"/>
      <c r="C3" s="362"/>
      <c r="D3" s="362"/>
      <c r="E3" s="362"/>
    </row>
    <row r="4" spans="1:5" ht="13.5" thickTop="1">
      <c r="A4" s="285" t="s">
        <v>786</v>
      </c>
      <c r="B4" s="285" t="s">
        <v>700</v>
      </c>
      <c r="C4" s="285" t="s">
        <v>789</v>
      </c>
      <c r="D4" s="285" t="s">
        <v>699</v>
      </c>
      <c r="E4" t="s">
        <v>787</v>
      </c>
    </row>
    <row r="10" spans="1:5" ht="18" thickBot="1">
      <c r="A10" s="286" t="s">
        <v>749</v>
      </c>
      <c r="B10" s="286"/>
      <c r="C10" s="286"/>
      <c r="D10" s="286"/>
      <c r="E10" s="286"/>
    </row>
    <row r="11" spans="1:5" ht="13.5" thickTop="1">
      <c r="A11" t="s">
        <v>103</v>
      </c>
      <c r="B11" t="s">
        <v>13</v>
      </c>
      <c r="C11" t="s">
        <v>354</v>
      </c>
      <c r="D11" t="s">
        <v>104</v>
      </c>
      <c r="E11" t="s">
        <v>63</v>
      </c>
    </row>
    <row r="12" spans="1:5">
      <c r="A12" t="s">
        <v>242</v>
      </c>
      <c r="B12" t="s">
        <v>13</v>
      </c>
      <c r="C12" t="s">
        <v>354</v>
      </c>
      <c r="D12" t="s">
        <v>243</v>
      </c>
      <c r="E12" t="s">
        <v>63</v>
      </c>
    </row>
    <row r="13" spans="1:5">
      <c r="A13" t="s">
        <v>244</v>
      </c>
      <c r="B13" t="s">
        <v>13</v>
      </c>
      <c r="C13" t="s">
        <v>354</v>
      </c>
      <c r="D13" t="s">
        <v>245</v>
      </c>
      <c r="E13" t="s">
        <v>63</v>
      </c>
    </row>
    <row r="15" spans="1:5" ht="18" thickBot="1">
      <c r="A15" s="286" t="s">
        <v>736</v>
      </c>
      <c r="B15" s="286"/>
      <c r="C15" s="286"/>
      <c r="D15" s="286"/>
      <c r="E15" s="286"/>
    </row>
    <row r="16" spans="1:5" ht="13.5" thickTop="1">
      <c r="A16" t="s">
        <v>196</v>
      </c>
      <c r="B16" t="s">
        <v>13</v>
      </c>
      <c r="C16" t="s">
        <v>354</v>
      </c>
      <c r="D16" t="s">
        <v>197</v>
      </c>
      <c r="E16" t="s">
        <v>51</v>
      </c>
    </row>
    <row r="18" spans="1:5" ht="18" thickBot="1">
      <c r="A18" s="286" t="s">
        <v>755</v>
      </c>
      <c r="B18" s="286"/>
      <c r="C18" s="286"/>
      <c r="D18" s="286"/>
      <c r="E18" s="286"/>
    </row>
    <row r="19" spans="1:5" ht="13.5" thickTop="1">
      <c r="A19" t="s">
        <v>466</v>
      </c>
      <c r="B19" t="s">
        <v>13</v>
      </c>
      <c r="C19" t="s">
        <v>354</v>
      </c>
      <c r="D19" t="s">
        <v>467</v>
      </c>
      <c r="E19" t="s">
        <v>51</v>
      </c>
    </row>
    <row r="20" spans="1:5">
      <c r="A20" t="s">
        <v>97</v>
      </c>
      <c r="B20" t="s">
        <v>13</v>
      </c>
      <c r="C20" t="s">
        <v>354</v>
      </c>
      <c r="D20" t="s">
        <v>99</v>
      </c>
      <c r="E20" t="s">
        <v>12</v>
      </c>
    </row>
    <row r="21" spans="1:5">
      <c r="A21" t="s">
        <v>98</v>
      </c>
      <c r="B21" t="s">
        <v>13</v>
      </c>
      <c r="C21" t="s">
        <v>354</v>
      </c>
      <c r="D21" t="s">
        <v>100</v>
      </c>
      <c r="E21" t="s">
        <v>12</v>
      </c>
    </row>
    <row r="23" spans="1:5" ht="18" thickBot="1">
      <c r="A23" s="286" t="s">
        <v>784</v>
      </c>
      <c r="B23" s="286"/>
      <c r="C23" s="286"/>
      <c r="D23" s="286"/>
      <c r="E23" s="286"/>
    </row>
    <row r="24" spans="1:5" ht="13.5" thickTop="1">
      <c r="A24" t="s">
        <v>115</v>
      </c>
      <c r="B24" t="s">
        <v>638</v>
      </c>
      <c r="C24" t="s">
        <v>72</v>
      </c>
      <c r="D24" t="s">
        <v>211</v>
      </c>
      <c r="E24" t="s">
        <v>51</v>
      </c>
    </row>
  </sheetData>
  <mergeCells count="1">
    <mergeCell ref="A1:E3"/>
  </mergeCells>
  <phoneticPr fontId="0"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Feuil8"/>
  <dimension ref="A1:E45"/>
  <sheetViews>
    <sheetView workbookViewId="0">
      <selection activeCell="A4" sqref="A4:D4"/>
    </sheetView>
  </sheetViews>
  <sheetFormatPr defaultColWidth="11.42578125" defaultRowHeight="12.75"/>
  <cols>
    <col min="1" max="1" width="41" bestFit="1" customWidth="1"/>
    <col min="2" max="2" width="7.5703125" bestFit="1" customWidth="1"/>
    <col min="3" max="3" width="10.85546875" bestFit="1" customWidth="1"/>
    <col min="4" max="4" width="70.140625" bestFit="1" customWidth="1"/>
  </cols>
  <sheetData>
    <row r="1" spans="1:5" ht="19.5" customHeight="1">
      <c r="A1" s="361" t="s">
        <v>690</v>
      </c>
      <c r="B1" s="361"/>
      <c r="C1" s="361"/>
      <c r="D1" s="361"/>
      <c r="E1" s="361"/>
    </row>
    <row r="2" spans="1:5">
      <c r="A2" s="361"/>
      <c r="B2" s="361"/>
      <c r="C2" s="361"/>
      <c r="D2" s="361"/>
      <c r="E2" s="361"/>
    </row>
    <row r="3" spans="1:5" ht="13.5" thickBot="1">
      <c r="A3" s="362"/>
      <c r="B3" s="362"/>
      <c r="C3" s="362"/>
      <c r="D3" s="362"/>
      <c r="E3" s="362"/>
    </row>
    <row r="4" spans="1:5" ht="13.5" thickTop="1">
      <c r="A4" s="285" t="s">
        <v>786</v>
      </c>
      <c r="B4" s="285" t="s">
        <v>700</v>
      </c>
      <c r="C4" s="285" t="s">
        <v>789</v>
      </c>
      <c r="D4" s="285" t="s">
        <v>699</v>
      </c>
      <c r="E4" t="s">
        <v>787</v>
      </c>
    </row>
    <row r="10" spans="1:5" ht="18" thickBot="1">
      <c r="A10" s="286" t="s">
        <v>766</v>
      </c>
      <c r="B10" s="286"/>
      <c r="C10" s="286"/>
      <c r="D10" s="286"/>
      <c r="E10" s="286"/>
    </row>
    <row r="11" spans="1:5" ht="13.5" thickTop="1">
      <c r="A11" t="s">
        <v>49</v>
      </c>
      <c r="B11" t="s">
        <v>625</v>
      </c>
      <c r="C11" t="s">
        <v>354</v>
      </c>
      <c r="D11" t="s">
        <v>50</v>
      </c>
      <c r="E11" t="s">
        <v>51</v>
      </c>
    </row>
    <row r="13" spans="1:5" ht="18" thickBot="1">
      <c r="A13" s="286" t="s">
        <v>767</v>
      </c>
      <c r="B13" s="286"/>
      <c r="C13" s="286"/>
      <c r="D13" s="286"/>
      <c r="E13" s="286"/>
    </row>
    <row r="14" spans="1:5" ht="13.5" thickTop="1">
      <c r="A14" t="s">
        <v>654</v>
      </c>
      <c r="B14" t="s">
        <v>13</v>
      </c>
      <c r="C14" t="s">
        <v>354</v>
      </c>
      <c r="D14" t="s">
        <v>517</v>
      </c>
      <c r="E14" t="s">
        <v>118</v>
      </c>
    </row>
    <row r="15" spans="1:5">
      <c r="A15" t="s">
        <v>655</v>
      </c>
      <c r="B15" t="s">
        <v>638</v>
      </c>
      <c r="C15" t="s">
        <v>72</v>
      </c>
      <c r="D15" t="s">
        <v>523</v>
      </c>
      <c r="E15" t="s">
        <v>118</v>
      </c>
    </row>
    <row r="16" spans="1:5">
      <c r="A16" t="s">
        <v>656</v>
      </c>
      <c r="B16" t="s">
        <v>638</v>
      </c>
      <c r="C16" t="s">
        <v>72</v>
      </c>
      <c r="D16" t="s">
        <v>524</v>
      </c>
      <c r="E16" t="s">
        <v>118</v>
      </c>
    </row>
    <row r="17" spans="1:5">
      <c r="A17" t="s">
        <v>657</v>
      </c>
      <c r="B17" t="s">
        <v>638</v>
      </c>
      <c r="C17" t="s">
        <v>72</v>
      </c>
      <c r="D17" t="s">
        <v>525</v>
      </c>
      <c r="E17" t="s">
        <v>118</v>
      </c>
    </row>
    <row r="18" spans="1:5">
      <c r="A18" t="s">
        <v>658</v>
      </c>
      <c r="B18" t="s">
        <v>638</v>
      </c>
      <c r="C18" t="s">
        <v>72</v>
      </c>
      <c r="D18" t="s">
        <v>526</v>
      </c>
      <c r="E18" t="s">
        <v>118</v>
      </c>
    </row>
    <row r="20" spans="1:5" ht="18" thickBot="1">
      <c r="A20" s="286" t="s">
        <v>768</v>
      </c>
      <c r="B20" s="286"/>
      <c r="C20" s="286"/>
      <c r="D20" s="286"/>
      <c r="E20" s="286"/>
    </row>
    <row r="21" spans="1:5" ht="13.5" thickTop="1">
      <c r="A21" t="s">
        <v>663</v>
      </c>
      <c r="B21" t="s">
        <v>638</v>
      </c>
      <c r="C21" t="s">
        <v>72</v>
      </c>
      <c r="D21" t="s">
        <v>250</v>
      </c>
      <c r="E21" t="s">
        <v>51</v>
      </c>
    </row>
    <row r="23" spans="1:5" ht="18" thickBot="1">
      <c r="A23" s="286" t="s">
        <v>769</v>
      </c>
      <c r="B23" s="286"/>
      <c r="C23" s="286"/>
      <c r="D23" s="286"/>
      <c r="E23" s="286"/>
    </row>
    <row r="24" spans="1:5" ht="13.5" thickTop="1">
      <c r="A24" t="s">
        <v>103</v>
      </c>
      <c r="B24" t="s">
        <v>13</v>
      </c>
      <c r="C24" t="s">
        <v>354</v>
      </c>
      <c r="D24" t="s">
        <v>104</v>
      </c>
      <c r="E24" t="s">
        <v>63</v>
      </c>
    </row>
    <row r="25" spans="1:5">
      <c r="A25" t="s">
        <v>242</v>
      </c>
      <c r="B25" t="s">
        <v>13</v>
      </c>
      <c r="C25" t="s">
        <v>354</v>
      </c>
      <c r="D25" t="s">
        <v>243</v>
      </c>
      <c r="E25" t="s">
        <v>63</v>
      </c>
    </row>
    <row r="26" spans="1:5">
      <c r="A26" t="s">
        <v>244</v>
      </c>
      <c r="B26" t="s">
        <v>13</v>
      </c>
      <c r="C26" t="s">
        <v>354</v>
      </c>
      <c r="D26" t="s">
        <v>245</v>
      </c>
      <c r="E26" t="s">
        <v>63</v>
      </c>
    </row>
    <row r="28" spans="1:5" ht="18" thickBot="1">
      <c r="A28" s="286" t="s">
        <v>770</v>
      </c>
      <c r="B28" s="286"/>
      <c r="C28" s="286"/>
      <c r="D28" s="286"/>
      <c r="E28" s="286"/>
    </row>
    <row r="29" spans="1:5" ht="13.5" thickTop="1">
      <c r="A29" t="s">
        <v>301</v>
      </c>
      <c r="B29" t="s">
        <v>638</v>
      </c>
      <c r="C29" t="s">
        <v>72</v>
      </c>
      <c r="D29" t="s">
        <v>304</v>
      </c>
      <c r="E29" t="s">
        <v>12</v>
      </c>
    </row>
    <row r="30" spans="1:5">
      <c r="A30" t="s">
        <v>302</v>
      </c>
      <c r="B30" t="s">
        <v>638</v>
      </c>
      <c r="C30" t="s">
        <v>72</v>
      </c>
      <c r="D30" t="s">
        <v>305</v>
      </c>
      <c r="E30" t="s">
        <v>12</v>
      </c>
    </row>
    <row r="31" spans="1:5">
      <c r="A31" t="s">
        <v>303</v>
      </c>
      <c r="B31" t="s">
        <v>638</v>
      </c>
      <c r="C31" t="s">
        <v>72</v>
      </c>
      <c r="D31" t="s">
        <v>306</v>
      </c>
      <c r="E31" t="s">
        <v>12</v>
      </c>
    </row>
    <row r="33" spans="1:5" ht="18" thickBot="1">
      <c r="A33" s="286" t="s">
        <v>771</v>
      </c>
      <c r="B33" s="286"/>
      <c r="C33" s="286"/>
      <c r="D33" s="286"/>
      <c r="E33" s="286"/>
    </row>
    <row r="34" spans="1:5" ht="13.5" thickTop="1">
      <c r="A34" t="s">
        <v>127</v>
      </c>
      <c r="B34" t="s">
        <v>638</v>
      </c>
      <c r="C34" t="s">
        <v>72</v>
      </c>
      <c r="D34" t="s">
        <v>128</v>
      </c>
      <c r="E34" t="s">
        <v>476</v>
      </c>
    </row>
    <row r="35" spans="1:5">
      <c r="A35" t="s">
        <v>129</v>
      </c>
      <c r="B35" t="s">
        <v>638</v>
      </c>
      <c r="C35" t="s">
        <v>72</v>
      </c>
      <c r="D35" t="s">
        <v>130</v>
      </c>
      <c r="E35" t="s">
        <v>476</v>
      </c>
    </row>
    <row r="36" spans="1:5">
      <c r="A36" t="s">
        <v>240</v>
      </c>
      <c r="B36" t="s">
        <v>638</v>
      </c>
      <c r="C36" t="s">
        <v>72</v>
      </c>
      <c r="D36" t="s">
        <v>241</v>
      </c>
      <c r="E36" t="s">
        <v>476</v>
      </c>
    </row>
    <row r="38" spans="1:5" ht="18" thickBot="1">
      <c r="A38" s="286" t="s">
        <v>772</v>
      </c>
      <c r="B38" s="286"/>
      <c r="C38" s="286"/>
      <c r="D38" s="286"/>
      <c r="E38" s="286"/>
    </row>
    <row r="39" spans="1:5" ht="13.5" thickTop="1">
      <c r="A39" t="s">
        <v>203</v>
      </c>
      <c r="B39" t="s">
        <v>638</v>
      </c>
      <c r="C39" t="s">
        <v>72</v>
      </c>
      <c r="D39" t="s">
        <v>202</v>
      </c>
      <c r="E39" t="s">
        <v>51</v>
      </c>
    </row>
    <row r="41" spans="1:5" ht="18" thickBot="1">
      <c r="A41" s="286" t="s">
        <v>773</v>
      </c>
      <c r="B41" s="286"/>
      <c r="C41" s="286"/>
      <c r="D41" s="286"/>
      <c r="E41" s="286"/>
    </row>
    <row r="42" spans="1:5" ht="13.5" thickTop="1">
      <c r="A42" t="s">
        <v>622</v>
      </c>
      <c r="B42" t="s">
        <v>355</v>
      </c>
      <c r="C42" t="s">
        <v>355</v>
      </c>
      <c r="D42" t="s">
        <v>312</v>
      </c>
      <c r="E42" t="s">
        <v>51</v>
      </c>
    </row>
    <row r="44" spans="1:5" ht="18" thickBot="1">
      <c r="A44" s="286" t="s">
        <v>774</v>
      </c>
      <c r="B44" s="286"/>
      <c r="C44" s="286"/>
      <c r="D44" s="286"/>
      <c r="E44" s="286"/>
    </row>
    <row r="45" spans="1:5" ht="13.5" thickTop="1">
      <c r="A45" t="s">
        <v>623</v>
      </c>
      <c r="B45" t="s">
        <v>355</v>
      </c>
      <c r="C45" t="s">
        <v>355</v>
      </c>
      <c r="D45" t="s">
        <v>317</v>
      </c>
      <c r="E45" t="s">
        <v>51</v>
      </c>
    </row>
  </sheetData>
  <mergeCells count="1">
    <mergeCell ref="A1:E3"/>
  </mergeCells>
  <phoneticPr fontId="0"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Feuil14"/>
  <dimension ref="A1:E11"/>
  <sheetViews>
    <sheetView workbookViewId="0">
      <selection activeCell="A4" sqref="A4:D4"/>
    </sheetView>
  </sheetViews>
  <sheetFormatPr defaultColWidth="11.42578125" defaultRowHeight="12.75"/>
  <cols>
    <col min="1" max="1" width="23" bestFit="1" customWidth="1"/>
    <col min="2" max="2" width="7.5703125" bestFit="1" customWidth="1"/>
    <col min="3" max="3" width="10.85546875" bestFit="1" customWidth="1"/>
    <col min="4" max="4" width="28.85546875" bestFit="1" customWidth="1"/>
  </cols>
  <sheetData>
    <row r="1" spans="1:5" ht="19.5" customHeight="1">
      <c r="A1" s="361" t="s">
        <v>696</v>
      </c>
      <c r="B1" s="361"/>
      <c r="C1" s="361"/>
      <c r="D1" s="361"/>
      <c r="E1" s="361"/>
    </row>
    <row r="2" spans="1:5">
      <c r="A2" s="361"/>
      <c r="B2" s="361"/>
      <c r="C2" s="361"/>
      <c r="D2" s="361"/>
      <c r="E2" s="361"/>
    </row>
    <row r="3" spans="1:5" ht="13.5" thickBot="1">
      <c r="A3" s="362"/>
      <c r="B3" s="362"/>
      <c r="C3" s="362"/>
      <c r="D3" s="362"/>
      <c r="E3" s="362"/>
    </row>
    <row r="4" spans="1:5" ht="13.5" thickTop="1">
      <c r="A4" s="285" t="s">
        <v>786</v>
      </c>
      <c r="B4" s="285" t="s">
        <v>700</v>
      </c>
      <c r="C4" s="285" t="s">
        <v>789</v>
      </c>
      <c r="D4" s="285" t="s">
        <v>699</v>
      </c>
      <c r="E4" t="s">
        <v>787</v>
      </c>
    </row>
    <row r="10" spans="1:5" ht="18" thickBot="1">
      <c r="A10" s="286" t="s">
        <v>785</v>
      </c>
      <c r="B10" s="286"/>
      <c r="C10" s="286"/>
      <c r="D10" s="286"/>
      <c r="E10" s="286"/>
    </row>
    <row r="11" spans="1:5" ht="13.5" thickTop="1">
      <c r="A11" t="s">
        <v>239</v>
      </c>
      <c r="B11" t="s">
        <v>638</v>
      </c>
      <c r="C11" t="s">
        <v>72</v>
      </c>
      <c r="D11" t="s">
        <v>236</v>
      </c>
      <c r="E11" t="s">
        <v>51</v>
      </c>
    </row>
  </sheetData>
  <mergeCells count="1">
    <mergeCell ref="A1:E3"/>
  </mergeCells>
  <phoneticPr fontId="0"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Feuil2"/>
  <dimension ref="B1:D39"/>
  <sheetViews>
    <sheetView workbookViewId="0">
      <selection activeCell="B8" sqref="B8"/>
    </sheetView>
  </sheetViews>
  <sheetFormatPr defaultColWidth="11.42578125" defaultRowHeight="12.75"/>
  <cols>
    <col min="1" max="1" width="12.42578125" customWidth="1"/>
    <col min="2" max="2" width="15.42578125" bestFit="1" customWidth="1"/>
    <col min="3" max="3" width="15.42578125" customWidth="1"/>
  </cols>
  <sheetData>
    <row r="1" spans="2:4" ht="15">
      <c r="B1" s="9" t="s">
        <v>639</v>
      </c>
      <c r="C1" s="9"/>
      <c r="D1" s="9" t="s">
        <v>640</v>
      </c>
    </row>
    <row r="2" spans="2:4">
      <c r="B2" t="s">
        <v>1052</v>
      </c>
      <c r="D2" t="s">
        <v>1044</v>
      </c>
    </row>
    <row r="3" spans="2:4">
      <c r="B3" t="s">
        <v>5</v>
      </c>
      <c r="D3" t="s">
        <v>179</v>
      </c>
    </row>
    <row r="4" spans="2:4">
      <c r="B4" t="s">
        <v>1053</v>
      </c>
      <c r="D4" t="s">
        <v>1046</v>
      </c>
    </row>
    <row r="5" spans="2:4">
      <c r="B5" t="s">
        <v>8</v>
      </c>
      <c r="D5" t="s">
        <v>1039</v>
      </c>
    </row>
    <row r="6" spans="2:4">
      <c r="B6" t="s">
        <v>1054</v>
      </c>
      <c r="D6" t="s">
        <v>1045</v>
      </c>
    </row>
    <row r="7" spans="2:4">
      <c r="B7" t="s">
        <v>572</v>
      </c>
      <c r="D7" t="s">
        <v>1024</v>
      </c>
    </row>
    <row r="8" spans="2:4">
      <c r="B8" t="s">
        <v>1055</v>
      </c>
      <c r="D8" t="s">
        <v>574</v>
      </c>
    </row>
    <row r="9" spans="2:4">
      <c r="B9" t="s">
        <v>7</v>
      </c>
      <c r="D9" t="s">
        <v>1020</v>
      </c>
    </row>
    <row r="10" spans="2:4">
      <c r="D10" t="s">
        <v>122</v>
      </c>
    </row>
    <row r="11" spans="2:4">
      <c r="D11" t="s">
        <v>1027</v>
      </c>
    </row>
    <row r="12" spans="2:4">
      <c r="D12" t="s">
        <v>1026</v>
      </c>
    </row>
    <row r="13" spans="2:4">
      <c r="D13" t="s">
        <v>1032</v>
      </c>
    </row>
    <row r="14" spans="2:4">
      <c r="D14" t="s">
        <v>1050</v>
      </c>
    </row>
    <row r="15" spans="2:4">
      <c r="D15" t="s">
        <v>1036</v>
      </c>
    </row>
    <row r="16" spans="2:4">
      <c r="D16" t="s">
        <v>1021</v>
      </c>
    </row>
    <row r="17" spans="4:4">
      <c r="D17" t="s">
        <v>1041</v>
      </c>
    </row>
    <row r="18" spans="4:4">
      <c r="D18" t="s">
        <v>1033</v>
      </c>
    </row>
    <row r="19" spans="4:4">
      <c r="D19" t="s">
        <v>1018</v>
      </c>
    </row>
    <row r="20" spans="4:4">
      <c r="D20" t="s">
        <v>1023</v>
      </c>
    </row>
    <row r="21" spans="4:4">
      <c r="D21" t="s">
        <v>1022</v>
      </c>
    </row>
    <row r="22" spans="4:4">
      <c r="D22" t="s">
        <v>1006</v>
      </c>
    </row>
    <row r="23" spans="4:4">
      <c r="D23" t="s">
        <v>1025</v>
      </c>
    </row>
    <row r="24" spans="4:4">
      <c r="D24" s="1" t="s">
        <v>1028</v>
      </c>
    </row>
    <row r="25" spans="4:4">
      <c r="D25" t="s">
        <v>1047</v>
      </c>
    </row>
    <row r="26" spans="4:4">
      <c r="D26" t="s">
        <v>1030</v>
      </c>
    </row>
    <row r="27" spans="4:4">
      <c r="D27" t="s">
        <v>1051</v>
      </c>
    </row>
    <row r="28" spans="4:4">
      <c r="D28" t="s">
        <v>1048</v>
      </c>
    </row>
    <row r="29" spans="4:4">
      <c r="D29" t="s">
        <v>1019</v>
      </c>
    </row>
    <row r="30" spans="4:4">
      <c r="D30" t="s">
        <v>1037</v>
      </c>
    </row>
    <row r="31" spans="4:4">
      <c r="D31" t="s">
        <v>1038</v>
      </c>
    </row>
    <row r="32" spans="4:4">
      <c r="D32" t="s">
        <v>1042</v>
      </c>
    </row>
    <row r="33" spans="4:4">
      <c r="D33" t="s">
        <v>1031</v>
      </c>
    </row>
    <row r="34" spans="4:4">
      <c r="D34" t="s">
        <v>1049</v>
      </c>
    </row>
    <row r="35" spans="4:4">
      <c r="D35" t="s">
        <v>1040</v>
      </c>
    </row>
    <row r="36" spans="4:4">
      <c r="D36" t="s">
        <v>1034</v>
      </c>
    </row>
    <row r="37" spans="4:4">
      <c r="D37" t="s">
        <v>1043</v>
      </c>
    </row>
    <row r="38" spans="4:4">
      <c r="D38" t="s">
        <v>1035</v>
      </c>
    </row>
    <row r="39" spans="4:4">
      <c r="D39" s="1" t="s">
        <v>1029</v>
      </c>
    </row>
  </sheetData>
  <dataConsolidate/>
  <phoneticPr fontId="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vt:i4>
      </vt:variant>
    </vt:vector>
  </HeadingPairs>
  <TitlesOfParts>
    <vt:vector size="17" baseType="lpstr">
      <vt:lpstr>Arborescence - V3R0</vt:lpstr>
      <vt:lpstr>Inputs Geometry</vt:lpstr>
      <vt:lpstr>Outputs Geometry</vt:lpstr>
      <vt:lpstr>Inputs Aerodynamics</vt:lpstr>
      <vt:lpstr>Outputs Aerodynamics</vt:lpstr>
      <vt:lpstr>Inputs Propulsion</vt:lpstr>
      <vt:lpstr>Outputs Propulsion</vt:lpstr>
      <vt:lpstr>Inputs Structure</vt:lpstr>
      <vt:lpstr>Outputs Structure</vt:lpstr>
      <vt:lpstr>Inputs Mission</vt:lpstr>
      <vt:lpstr>Outputs Mission</vt:lpstr>
      <vt:lpstr>Inputs QdV</vt:lpstr>
      <vt:lpstr>Outputs QdV</vt:lpstr>
      <vt:lpstr>Listes MC</vt:lpstr>
      <vt:lpstr>InputFileKeys</vt:lpstr>
      <vt:lpstr>sousGroupesDisponibles</vt:lpstr>
      <vt:lpstr>variablesAndFlux</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sdefoort</cp:lastModifiedBy>
  <cp:lastPrinted>2017-03-07T09:45:17Z</cp:lastPrinted>
  <dcterms:created xsi:type="dcterms:W3CDTF">1996-10-21T11:03:58Z</dcterms:created>
  <dcterms:modified xsi:type="dcterms:W3CDTF">2017-03-30T16:03:35Z</dcterms:modified>
</cp:coreProperties>
</file>