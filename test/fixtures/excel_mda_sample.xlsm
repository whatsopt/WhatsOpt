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45" yWindow="540" windowWidth="23610" windowHeight="11970" tabRatio="754"/>
  </bookViews>
  <sheets>
    <sheet name="Arborescence - V3R0" sheetId="1" r:id="rId1"/>
    <sheet name="Inputs Geometry" sheetId="27" r:id="rId2"/>
    <sheet name="Outputs Geometry" sheetId="33" r:id="rId3"/>
    <sheet name="Inputs Aerodynamics" sheetId="28" r:id="rId4"/>
    <sheet name="Outputs Aerodynamics" sheetId="34" r:id="rId5"/>
    <sheet name="Inputs Propulsion" sheetId="29" r:id="rId6"/>
    <sheet name="Outputs Propulsion" sheetId="35" r:id="rId7"/>
    <sheet name="Inputs Structure" sheetId="30" r:id="rId8"/>
    <sheet name="Outputs Structure" sheetId="36" r:id="rId9"/>
    <sheet name="Inputs Mission" sheetId="31" r:id="rId10"/>
    <sheet name="Outputs Mission" sheetId="37" r:id="rId11"/>
    <sheet name="Inputs QdV" sheetId="32" r:id="rId12"/>
    <sheet name="Outputs QdV" sheetId="38" r:id="rId13"/>
    <sheet name="Listes MC" sheetId="2" r:id="rId14"/>
  </sheets>
  <functionGroups builtInGroupCount="17"/>
  <definedNames>
    <definedName name="_xlnm._FilterDatabase" localSheetId="0" hidden="1">'Arborescence - V3R0'!$B$15:$S$279</definedName>
    <definedName name="InputFileKeys">'Arborescence - V3R0'!$AL$16:$AN$27</definedName>
    <definedName name="sousGroupesDisponibles">'Listes MC'!$D$2:$D$27</definedName>
    <definedName name="variablesAndFlux">'Arborescence - V3R0'!$Y$15:$AJ$279</definedName>
  </definedNames>
  <calcPr calcId="145621"/>
</workbook>
</file>

<file path=xl/calcChain.xml><?xml version="1.0" encoding="utf-8"?>
<calcChain xmlns="http://schemas.openxmlformats.org/spreadsheetml/2006/main">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7" i="1" l="1"/>
  <c r="Z17" i="1"/>
  <c r="AA17" i="1"/>
  <c r="AB17" i="1"/>
  <c r="AD17" i="1" s="1"/>
  <c r="AC17" i="1"/>
  <c r="Y18" i="1"/>
  <c r="Z18" i="1"/>
  <c r="AA18" i="1"/>
  <c r="AB18" i="1"/>
  <c r="AC18" i="1"/>
  <c r="Y19" i="1"/>
  <c r="Z19" i="1"/>
  <c r="AA19" i="1"/>
  <c r="AB19" i="1"/>
  <c r="AC19" i="1"/>
  <c r="Y20" i="1"/>
  <c r="Z20" i="1"/>
  <c r="AA20" i="1"/>
  <c r="AB20" i="1"/>
  <c r="AC20" i="1"/>
  <c r="Y21" i="1"/>
  <c r="Z21" i="1"/>
  <c r="AA21" i="1"/>
  <c r="AB21" i="1"/>
  <c r="AC21" i="1"/>
  <c r="Y22" i="1"/>
  <c r="Z22" i="1"/>
  <c r="AD22" i="1" s="1"/>
  <c r="AA22" i="1"/>
  <c r="AB22" i="1"/>
  <c r="AC22" i="1"/>
  <c r="Y23" i="1"/>
  <c r="Z23" i="1"/>
  <c r="AA23" i="1"/>
  <c r="AB23" i="1"/>
  <c r="AC23" i="1"/>
  <c r="Y24" i="1"/>
  <c r="AD24" i="1" s="1"/>
  <c r="Z24" i="1"/>
  <c r="AA24" i="1"/>
  <c r="AB24" i="1"/>
  <c r="AC24" i="1"/>
  <c r="Y25" i="1"/>
  <c r="Z25" i="1"/>
  <c r="AA25" i="1"/>
  <c r="AB25" i="1"/>
  <c r="AC25" i="1"/>
  <c r="Y26" i="1"/>
  <c r="Z26" i="1"/>
  <c r="AA26" i="1"/>
  <c r="AB26" i="1"/>
  <c r="AC26" i="1"/>
  <c r="Y27" i="1"/>
  <c r="Z27" i="1"/>
  <c r="AA27" i="1"/>
  <c r="AB27" i="1"/>
  <c r="AC27" i="1"/>
  <c r="Y28" i="1"/>
  <c r="AD28" i="1" s="1"/>
  <c r="Z28" i="1"/>
  <c r="AA28" i="1"/>
  <c r="AB28" i="1"/>
  <c r="AC28" i="1"/>
  <c r="Y29" i="1"/>
  <c r="Z29" i="1"/>
  <c r="AA29" i="1"/>
  <c r="AB29" i="1"/>
  <c r="AC29" i="1"/>
  <c r="Y30" i="1"/>
  <c r="AD30" i="1" s="1"/>
  <c r="Z30" i="1"/>
  <c r="AA30" i="1"/>
  <c r="AB30" i="1"/>
  <c r="AC30" i="1"/>
  <c r="Y31" i="1"/>
  <c r="Z31" i="1"/>
  <c r="AA31" i="1"/>
  <c r="AB31" i="1"/>
  <c r="AC31" i="1"/>
  <c r="Y32" i="1"/>
  <c r="Z32" i="1"/>
  <c r="AA32" i="1"/>
  <c r="AB32" i="1"/>
  <c r="AC32" i="1"/>
  <c r="Y33" i="1"/>
  <c r="Z33" i="1"/>
  <c r="AA33" i="1"/>
  <c r="AB33" i="1"/>
  <c r="AC33" i="1"/>
  <c r="Y34" i="1"/>
  <c r="Z34" i="1"/>
  <c r="AA34" i="1"/>
  <c r="AB34" i="1"/>
  <c r="AC34" i="1"/>
  <c r="Y35" i="1"/>
  <c r="Z35" i="1"/>
  <c r="AA35" i="1"/>
  <c r="AB35" i="1"/>
  <c r="AC35" i="1"/>
  <c r="Y36" i="1"/>
  <c r="Z36" i="1"/>
  <c r="AA36" i="1"/>
  <c r="AB36" i="1"/>
  <c r="AC36" i="1"/>
  <c r="AD36" i="1"/>
  <c r="Y37" i="1"/>
  <c r="Z37" i="1"/>
  <c r="AA37" i="1"/>
  <c r="AB37" i="1"/>
  <c r="AC37" i="1"/>
  <c r="Y38" i="1"/>
  <c r="Z38" i="1"/>
  <c r="AA38" i="1"/>
  <c r="AB38" i="1"/>
  <c r="AC38" i="1"/>
  <c r="Y39" i="1"/>
  <c r="Z39" i="1"/>
  <c r="AA39" i="1"/>
  <c r="AB39" i="1"/>
  <c r="AC39" i="1"/>
  <c r="Y40" i="1"/>
  <c r="Z40" i="1"/>
  <c r="AA40" i="1"/>
  <c r="AB40" i="1"/>
  <c r="AC40" i="1"/>
  <c r="Y41" i="1"/>
  <c r="Z41" i="1"/>
  <c r="AA41" i="1"/>
  <c r="AB41" i="1"/>
  <c r="AC41" i="1"/>
  <c r="Y42" i="1"/>
  <c r="Z42" i="1"/>
  <c r="AA42" i="1"/>
  <c r="AB42" i="1"/>
  <c r="AC42" i="1"/>
  <c r="Y43" i="1"/>
  <c r="Z43" i="1"/>
  <c r="AA43" i="1"/>
  <c r="AB43" i="1"/>
  <c r="AC43" i="1"/>
  <c r="Y44" i="1"/>
  <c r="Z44" i="1"/>
  <c r="AA44" i="1"/>
  <c r="AB44" i="1"/>
  <c r="AC44" i="1"/>
  <c r="Y45" i="1"/>
  <c r="Z45" i="1"/>
  <c r="AA45" i="1"/>
  <c r="AB45" i="1"/>
  <c r="AC45" i="1"/>
  <c r="Y46" i="1"/>
  <c r="Z46" i="1"/>
  <c r="AA46" i="1"/>
  <c r="AB46" i="1"/>
  <c r="AC46" i="1"/>
  <c r="Y47" i="1"/>
  <c r="Z47" i="1"/>
  <c r="AA47" i="1"/>
  <c r="AB47" i="1"/>
  <c r="AC47" i="1"/>
  <c r="Y48" i="1"/>
  <c r="AD48" i="1" s="1"/>
  <c r="Z48" i="1"/>
  <c r="AA48" i="1"/>
  <c r="AB48" i="1"/>
  <c r="AC48" i="1"/>
  <c r="Y49" i="1"/>
  <c r="Z49" i="1"/>
  <c r="AA49" i="1"/>
  <c r="AB49" i="1"/>
  <c r="AC49" i="1"/>
  <c r="Y50" i="1"/>
  <c r="Z50" i="1"/>
  <c r="AA50" i="1"/>
  <c r="AB50" i="1"/>
  <c r="AC50" i="1"/>
  <c r="Y51" i="1"/>
  <c r="Z51" i="1"/>
  <c r="AA51" i="1"/>
  <c r="AB51" i="1"/>
  <c r="AC51" i="1"/>
  <c r="Y52" i="1"/>
  <c r="Z52" i="1"/>
  <c r="AA52" i="1"/>
  <c r="AB52" i="1"/>
  <c r="AC52" i="1"/>
  <c r="Y53" i="1"/>
  <c r="Z53" i="1"/>
  <c r="AA53" i="1"/>
  <c r="AB53" i="1"/>
  <c r="AC53" i="1"/>
  <c r="Y54" i="1"/>
  <c r="Z54" i="1"/>
  <c r="AA54" i="1"/>
  <c r="AB54" i="1"/>
  <c r="AC54" i="1"/>
  <c r="AD54" i="1"/>
  <c r="Y55" i="1"/>
  <c r="Z55" i="1"/>
  <c r="AA55" i="1"/>
  <c r="AB55" i="1"/>
  <c r="AD55" i="1" s="1"/>
  <c r="AC55" i="1"/>
  <c r="Y56" i="1"/>
  <c r="Z56" i="1"/>
  <c r="AD56" i="1" s="1"/>
  <c r="AA56" i="1"/>
  <c r="AB56" i="1"/>
  <c r="AC56" i="1"/>
  <c r="Y57" i="1"/>
  <c r="Z57" i="1"/>
  <c r="AA57" i="1"/>
  <c r="AB57" i="1"/>
  <c r="AC57" i="1"/>
  <c r="Y58" i="1"/>
  <c r="Z58" i="1"/>
  <c r="AA58" i="1"/>
  <c r="AB58" i="1"/>
  <c r="AC58" i="1"/>
  <c r="Y59" i="1"/>
  <c r="Z59" i="1"/>
  <c r="AA59" i="1"/>
  <c r="AB59" i="1"/>
  <c r="AC59" i="1"/>
  <c r="Y60" i="1"/>
  <c r="Z60" i="1"/>
  <c r="AA60" i="1"/>
  <c r="AB60" i="1"/>
  <c r="AC60" i="1"/>
  <c r="AD60" i="1"/>
  <c r="Y61" i="1"/>
  <c r="Z61" i="1"/>
  <c r="AA61" i="1"/>
  <c r="AB61" i="1"/>
  <c r="AC61" i="1"/>
  <c r="Y62" i="1"/>
  <c r="Z62" i="1"/>
  <c r="AA62" i="1"/>
  <c r="AB62" i="1"/>
  <c r="AC62" i="1"/>
  <c r="Y63" i="1"/>
  <c r="Z63" i="1"/>
  <c r="AA63" i="1"/>
  <c r="AB63" i="1"/>
  <c r="AC63" i="1"/>
  <c r="Y64" i="1"/>
  <c r="Z64" i="1"/>
  <c r="AA64" i="1"/>
  <c r="AB64" i="1"/>
  <c r="AC64" i="1"/>
  <c r="Y65" i="1"/>
  <c r="Z65" i="1"/>
  <c r="AA65" i="1"/>
  <c r="AB65" i="1"/>
  <c r="AC65" i="1"/>
  <c r="Y66" i="1"/>
  <c r="Z66" i="1"/>
  <c r="AA66" i="1"/>
  <c r="AB66" i="1"/>
  <c r="AC66" i="1"/>
  <c r="Y67" i="1"/>
  <c r="Z67" i="1"/>
  <c r="AA67" i="1"/>
  <c r="AB67" i="1"/>
  <c r="AC67" i="1"/>
  <c r="Y68" i="1"/>
  <c r="Z68" i="1"/>
  <c r="AA68" i="1"/>
  <c r="AB68" i="1"/>
  <c r="AC68" i="1"/>
  <c r="AD68" i="1"/>
  <c r="Y69" i="1"/>
  <c r="Z69" i="1"/>
  <c r="AA69" i="1"/>
  <c r="AB69" i="1"/>
  <c r="AC69" i="1"/>
  <c r="Y70" i="1"/>
  <c r="Z70" i="1"/>
  <c r="AA70" i="1"/>
  <c r="AB70" i="1"/>
  <c r="AC70" i="1"/>
  <c r="Y71" i="1"/>
  <c r="Z71" i="1"/>
  <c r="AA71" i="1"/>
  <c r="AB71" i="1"/>
  <c r="AC71" i="1"/>
  <c r="Y72" i="1"/>
  <c r="Z72" i="1"/>
  <c r="AA72" i="1"/>
  <c r="AB72" i="1"/>
  <c r="AC72" i="1"/>
  <c r="Y73" i="1"/>
  <c r="Z73" i="1"/>
  <c r="AA73" i="1"/>
  <c r="AB73" i="1"/>
  <c r="AC73" i="1"/>
  <c r="Y74" i="1"/>
  <c r="Z74" i="1"/>
  <c r="AA74" i="1"/>
  <c r="AB74" i="1"/>
  <c r="AC74" i="1"/>
  <c r="Y75" i="1"/>
  <c r="Z75" i="1"/>
  <c r="AA75" i="1"/>
  <c r="AB75" i="1"/>
  <c r="AC75" i="1"/>
  <c r="Y76" i="1"/>
  <c r="Z76" i="1"/>
  <c r="AA76" i="1"/>
  <c r="AB76" i="1"/>
  <c r="AC76" i="1"/>
  <c r="Y77" i="1"/>
  <c r="Z77" i="1"/>
  <c r="AA77" i="1"/>
  <c r="AB77" i="1"/>
  <c r="AC77" i="1"/>
  <c r="Y78" i="1"/>
  <c r="Z78" i="1"/>
  <c r="AA78" i="1"/>
  <c r="AB78" i="1"/>
  <c r="AC78" i="1"/>
  <c r="Y79" i="1"/>
  <c r="Z79" i="1"/>
  <c r="AA79" i="1"/>
  <c r="AB79" i="1"/>
  <c r="AC79" i="1"/>
  <c r="Y80" i="1"/>
  <c r="AD80" i="1" s="1"/>
  <c r="Z80" i="1"/>
  <c r="AA80" i="1"/>
  <c r="AB80" i="1"/>
  <c r="AC80" i="1"/>
  <c r="Y81" i="1"/>
  <c r="Z81" i="1"/>
  <c r="AA81" i="1"/>
  <c r="AB81" i="1"/>
  <c r="AC81" i="1"/>
  <c r="Y82" i="1"/>
  <c r="Z82" i="1"/>
  <c r="AA82" i="1"/>
  <c r="AB82" i="1"/>
  <c r="AC82" i="1"/>
  <c r="Y83" i="1"/>
  <c r="Z83" i="1"/>
  <c r="AA83" i="1"/>
  <c r="AB83" i="1"/>
  <c r="AC83" i="1"/>
  <c r="Y84" i="1"/>
  <c r="Z84" i="1"/>
  <c r="AA84" i="1"/>
  <c r="AB84" i="1"/>
  <c r="AC84" i="1"/>
  <c r="Y85" i="1"/>
  <c r="Z85" i="1"/>
  <c r="AA85" i="1"/>
  <c r="AB85" i="1"/>
  <c r="AC85" i="1"/>
  <c r="Y86" i="1"/>
  <c r="Z86" i="1"/>
  <c r="AA86" i="1"/>
  <c r="AB86" i="1"/>
  <c r="AC86" i="1"/>
  <c r="AD86" i="1"/>
  <c r="Y87" i="1"/>
  <c r="Z87" i="1"/>
  <c r="AA87" i="1"/>
  <c r="AB87" i="1"/>
  <c r="AD87" i="1" s="1"/>
  <c r="AC87" i="1"/>
  <c r="Y88" i="1"/>
  <c r="Z88" i="1"/>
  <c r="AA88" i="1"/>
  <c r="AB88" i="1"/>
  <c r="AC88" i="1"/>
  <c r="AD88" i="1"/>
  <c r="Y89" i="1"/>
  <c r="Z89" i="1"/>
  <c r="AA89" i="1"/>
  <c r="AB89" i="1"/>
  <c r="AC89" i="1"/>
  <c r="Y90" i="1"/>
  <c r="Z90" i="1"/>
  <c r="AA90" i="1"/>
  <c r="AB90" i="1"/>
  <c r="AC90" i="1"/>
  <c r="Y91" i="1"/>
  <c r="Z91" i="1"/>
  <c r="AA91" i="1"/>
  <c r="AB91" i="1"/>
  <c r="AC91" i="1"/>
  <c r="Y92" i="1"/>
  <c r="Z92" i="1"/>
  <c r="AA92" i="1"/>
  <c r="AB92" i="1"/>
  <c r="AC92" i="1"/>
  <c r="AD92" i="1"/>
  <c r="Y93" i="1"/>
  <c r="Z93" i="1"/>
  <c r="AA93" i="1"/>
  <c r="AB93" i="1"/>
  <c r="AD93" i="1" s="1"/>
  <c r="AC93" i="1"/>
  <c r="Y94" i="1"/>
  <c r="Z94" i="1"/>
  <c r="AA94" i="1"/>
  <c r="AB94" i="1"/>
  <c r="AC94" i="1"/>
  <c r="AD94" i="1"/>
  <c r="Y95" i="1"/>
  <c r="Z95" i="1"/>
  <c r="AA95" i="1"/>
  <c r="AB95" i="1"/>
  <c r="AC95" i="1"/>
  <c r="Y96" i="1"/>
  <c r="Z96" i="1"/>
  <c r="AA96" i="1"/>
  <c r="AB96" i="1"/>
  <c r="AC96" i="1"/>
  <c r="Y97" i="1"/>
  <c r="Z97" i="1"/>
  <c r="AA97" i="1"/>
  <c r="AB97" i="1"/>
  <c r="AC97" i="1"/>
  <c r="Y98" i="1"/>
  <c r="Z98" i="1"/>
  <c r="AA98" i="1"/>
  <c r="AB98" i="1"/>
  <c r="AC98" i="1"/>
  <c r="Y99" i="1"/>
  <c r="Z99" i="1"/>
  <c r="AA99" i="1"/>
  <c r="AB99" i="1"/>
  <c r="AC99" i="1"/>
  <c r="Y100" i="1"/>
  <c r="Z100" i="1"/>
  <c r="AA100" i="1"/>
  <c r="AB100" i="1"/>
  <c r="AC100" i="1"/>
  <c r="Y101" i="1"/>
  <c r="Z101" i="1"/>
  <c r="AA101" i="1"/>
  <c r="AB101" i="1"/>
  <c r="AC101" i="1"/>
  <c r="Y102" i="1"/>
  <c r="Z102" i="1"/>
  <c r="AA102" i="1"/>
  <c r="AB102" i="1"/>
  <c r="AC102" i="1"/>
  <c r="Y103" i="1"/>
  <c r="Z103" i="1"/>
  <c r="AA103" i="1"/>
  <c r="AB103" i="1"/>
  <c r="AC103" i="1"/>
  <c r="Y104" i="1"/>
  <c r="Z104" i="1"/>
  <c r="AA104" i="1"/>
  <c r="AB104" i="1"/>
  <c r="AC104" i="1"/>
  <c r="Y105" i="1"/>
  <c r="Z105" i="1"/>
  <c r="AA105" i="1"/>
  <c r="AB105" i="1"/>
  <c r="AC105" i="1"/>
  <c r="Y106" i="1"/>
  <c r="Z106" i="1"/>
  <c r="AA106" i="1"/>
  <c r="AB106" i="1"/>
  <c r="AC106" i="1"/>
  <c r="Y107" i="1"/>
  <c r="Z107" i="1"/>
  <c r="AA107" i="1"/>
  <c r="AB107" i="1"/>
  <c r="AC107" i="1"/>
  <c r="Y108" i="1"/>
  <c r="Z108" i="1"/>
  <c r="AA108" i="1"/>
  <c r="AB108" i="1"/>
  <c r="AC108" i="1"/>
  <c r="Y109" i="1"/>
  <c r="Z109" i="1"/>
  <c r="AA109" i="1"/>
  <c r="AB109" i="1"/>
  <c r="AC109" i="1"/>
  <c r="Y110" i="1"/>
  <c r="Z110" i="1"/>
  <c r="AA110" i="1"/>
  <c r="AB110" i="1"/>
  <c r="AC110" i="1"/>
  <c r="Y111" i="1"/>
  <c r="Z111" i="1"/>
  <c r="AA111" i="1"/>
  <c r="AB111" i="1"/>
  <c r="AC111" i="1"/>
  <c r="Y112" i="1"/>
  <c r="AD112" i="1" s="1"/>
  <c r="Z112" i="1"/>
  <c r="AA112" i="1"/>
  <c r="AB112" i="1"/>
  <c r="AC112" i="1"/>
  <c r="Y113" i="1"/>
  <c r="Z113" i="1"/>
  <c r="AA113" i="1"/>
  <c r="AB113" i="1"/>
  <c r="AC113" i="1"/>
  <c r="Y114" i="1"/>
  <c r="Z114" i="1"/>
  <c r="AA114" i="1"/>
  <c r="AB114" i="1"/>
  <c r="AC114" i="1"/>
  <c r="Y115" i="1"/>
  <c r="Z115" i="1"/>
  <c r="AA115" i="1"/>
  <c r="AB115" i="1"/>
  <c r="AC115" i="1"/>
  <c r="Y116" i="1"/>
  <c r="Z116" i="1"/>
  <c r="AA116" i="1"/>
  <c r="AB116" i="1"/>
  <c r="AC116" i="1"/>
  <c r="Y117" i="1"/>
  <c r="Z117" i="1"/>
  <c r="AA117" i="1"/>
  <c r="AB117" i="1"/>
  <c r="AC117" i="1"/>
  <c r="Y118" i="1"/>
  <c r="AD118" i="1" s="1"/>
  <c r="Z118" i="1"/>
  <c r="AA118" i="1"/>
  <c r="AB118" i="1"/>
  <c r="AC118" i="1"/>
  <c r="Y119" i="1"/>
  <c r="Z119" i="1"/>
  <c r="AA119" i="1"/>
  <c r="AB119" i="1"/>
  <c r="AC119" i="1"/>
  <c r="Y120" i="1"/>
  <c r="Z120" i="1"/>
  <c r="AA120" i="1"/>
  <c r="AB120" i="1"/>
  <c r="AC120" i="1"/>
  <c r="AD120" i="1"/>
  <c r="Y121" i="1"/>
  <c r="Z121" i="1"/>
  <c r="AA121" i="1"/>
  <c r="AB121" i="1"/>
  <c r="AC121" i="1"/>
  <c r="Y122" i="1"/>
  <c r="Z122" i="1"/>
  <c r="AA122" i="1"/>
  <c r="AB122" i="1"/>
  <c r="AC122" i="1"/>
  <c r="Y123" i="1"/>
  <c r="Z123" i="1"/>
  <c r="AA123" i="1"/>
  <c r="AB123" i="1"/>
  <c r="AC123" i="1"/>
  <c r="Y124" i="1"/>
  <c r="AD124" i="1" s="1"/>
  <c r="Z124" i="1"/>
  <c r="AA124" i="1"/>
  <c r="AB124" i="1"/>
  <c r="AC124" i="1"/>
  <c r="Y125" i="1"/>
  <c r="Z125" i="1"/>
  <c r="AA125" i="1"/>
  <c r="AB125" i="1"/>
  <c r="AC125" i="1"/>
  <c r="Y126" i="1"/>
  <c r="Z126" i="1"/>
  <c r="AD126" i="1" s="1"/>
  <c r="AA126" i="1"/>
  <c r="AB126" i="1"/>
  <c r="AC126" i="1"/>
  <c r="Y127" i="1"/>
  <c r="Z127" i="1"/>
  <c r="AA127" i="1"/>
  <c r="AB127" i="1"/>
  <c r="AC127" i="1"/>
  <c r="Y128" i="1"/>
  <c r="Z128" i="1"/>
  <c r="AA128" i="1"/>
  <c r="AB128" i="1"/>
  <c r="AC128" i="1"/>
  <c r="Y129" i="1"/>
  <c r="Z129" i="1"/>
  <c r="AA129" i="1"/>
  <c r="AB129" i="1"/>
  <c r="AC129" i="1"/>
  <c r="Y130" i="1"/>
  <c r="Z130" i="1"/>
  <c r="AA130" i="1"/>
  <c r="AB130" i="1"/>
  <c r="AC130" i="1"/>
  <c r="Y131" i="1"/>
  <c r="Z131" i="1"/>
  <c r="AA131" i="1"/>
  <c r="AB131" i="1"/>
  <c r="AC131" i="1"/>
  <c r="Y132" i="1"/>
  <c r="Z132" i="1"/>
  <c r="AA132" i="1"/>
  <c r="AB132" i="1"/>
  <c r="AC132" i="1"/>
  <c r="Y133" i="1"/>
  <c r="Z133" i="1"/>
  <c r="AA133" i="1"/>
  <c r="AB133" i="1"/>
  <c r="AC133" i="1"/>
  <c r="Y134" i="1"/>
  <c r="Z134" i="1"/>
  <c r="AA134" i="1"/>
  <c r="AB134" i="1"/>
  <c r="AC134" i="1"/>
  <c r="Y135" i="1"/>
  <c r="Z135" i="1"/>
  <c r="AA135" i="1"/>
  <c r="AB135" i="1"/>
  <c r="AC135" i="1"/>
  <c r="Y136" i="1"/>
  <c r="Z136" i="1"/>
  <c r="AA136" i="1"/>
  <c r="AB136" i="1"/>
  <c r="AC136" i="1"/>
  <c r="Y137" i="1"/>
  <c r="Z137" i="1"/>
  <c r="AA137" i="1"/>
  <c r="AB137" i="1"/>
  <c r="AC137" i="1"/>
  <c r="Y138" i="1"/>
  <c r="Z138" i="1"/>
  <c r="AA138" i="1"/>
  <c r="AB138" i="1"/>
  <c r="AC138" i="1"/>
  <c r="Y139" i="1"/>
  <c r="Z139" i="1"/>
  <c r="AA139" i="1"/>
  <c r="AB139" i="1"/>
  <c r="AC139" i="1"/>
  <c r="Y140" i="1"/>
  <c r="Z140" i="1"/>
  <c r="AA140" i="1"/>
  <c r="AB140" i="1"/>
  <c r="AC140" i="1"/>
  <c r="Y141" i="1"/>
  <c r="Z141" i="1"/>
  <c r="AA141" i="1"/>
  <c r="AB141" i="1"/>
  <c r="AC141" i="1"/>
  <c r="Y142" i="1"/>
  <c r="Z142" i="1"/>
  <c r="AA142" i="1"/>
  <c r="AB142" i="1"/>
  <c r="AC142" i="1"/>
  <c r="Y143" i="1"/>
  <c r="Z143" i="1"/>
  <c r="AA143" i="1"/>
  <c r="AB143" i="1"/>
  <c r="AC143" i="1"/>
  <c r="Y144" i="1"/>
  <c r="Z144" i="1"/>
  <c r="AA144" i="1"/>
  <c r="AB144" i="1"/>
  <c r="AC144" i="1"/>
  <c r="Y145" i="1"/>
  <c r="Z145" i="1"/>
  <c r="AA145" i="1"/>
  <c r="AB145" i="1"/>
  <c r="AC145" i="1"/>
  <c r="Y146" i="1"/>
  <c r="Z146" i="1"/>
  <c r="AA146" i="1"/>
  <c r="AB146" i="1"/>
  <c r="AC146" i="1"/>
  <c r="Y147" i="1"/>
  <c r="Z147" i="1"/>
  <c r="AA147" i="1"/>
  <c r="AB147" i="1"/>
  <c r="AC147" i="1"/>
  <c r="Y148" i="1"/>
  <c r="Z148" i="1"/>
  <c r="AA148" i="1"/>
  <c r="AB148" i="1"/>
  <c r="AC148" i="1"/>
  <c r="Y149" i="1"/>
  <c r="Z149" i="1"/>
  <c r="AA149" i="1"/>
  <c r="AB149" i="1"/>
  <c r="AC149" i="1"/>
  <c r="Y150" i="1"/>
  <c r="Z150" i="1"/>
  <c r="AA150" i="1"/>
  <c r="AB150" i="1"/>
  <c r="AC150" i="1"/>
  <c r="AD150" i="1"/>
  <c r="Y151" i="1"/>
  <c r="Z151" i="1"/>
  <c r="AA151" i="1"/>
  <c r="AB151" i="1"/>
  <c r="AD151" i="1" s="1"/>
  <c r="AC151" i="1"/>
  <c r="Y152" i="1"/>
  <c r="Z152" i="1"/>
  <c r="AA152" i="1"/>
  <c r="AB152" i="1"/>
  <c r="AC152" i="1"/>
  <c r="AD152" i="1"/>
  <c r="Y153" i="1"/>
  <c r="Z153" i="1"/>
  <c r="AA153" i="1"/>
  <c r="AB153" i="1"/>
  <c r="AC153" i="1"/>
  <c r="Y154" i="1"/>
  <c r="Z154" i="1"/>
  <c r="AA154" i="1"/>
  <c r="AB154" i="1"/>
  <c r="AC154" i="1"/>
  <c r="Y155" i="1"/>
  <c r="Z155" i="1"/>
  <c r="AA155" i="1"/>
  <c r="AB155" i="1"/>
  <c r="AC155" i="1"/>
  <c r="Y156" i="1"/>
  <c r="Z156" i="1"/>
  <c r="AA156" i="1"/>
  <c r="AB156" i="1"/>
  <c r="AC156" i="1"/>
  <c r="AD156" i="1"/>
  <c r="Y157" i="1"/>
  <c r="Z157" i="1"/>
  <c r="AA157" i="1"/>
  <c r="AB157" i="1"/>
  <c r="AD157" i="1" s="1"/>
  <c r="AC157" i="1"/>
  <c r="Y158" i="1"/>
  <c r="Z158" i="1"/>
  <c r="AA158" i="1"/>
  <c r="AB158" i="1"/>
  <c r="AC158" i="1"/>
  <c r="AD158" i="1"/>
  <c r="Y159" i="1"/>
  <c r="Z159" i="1"/>
  <c r="AA159" i="1"/>
  <c r="AB159" i="1"/>
  <c r="AC159" i="1"/>
  <c r="Y160" i="1"/>
  <c r="Z160" i="1"/>
  <c r="AA160" i="1"/>
  <c r="AB160" i="1"/>
  <c r="AC160" i="1"/>
  <c r="Y161" i="1"/>
  <c r="Z161" i="1"/>
  <c r="AA161" i="1"/>
  <c r="AB161" i="1"/>
  <c r="AC161" i="1"/>
  <c r="Y162" i="1"/>
  <c r="Z162" i="1"/>
  <c r="AA162" i="1"/>
  <c r="AB162" i="1"/>
  <c r="AC162" i="1"/>
  <c r="Y163" i="1"/>
  <c r="Z163" i="1"/>
  <c r="AA163" i="1"/>
  <c r="AB163" i="1"/>
  <c r="AC163" i="1"/>
  <c r="Y164" i="1"/>
  <c r="AD164" i="1" s="1"/>
  <c r="Z164" i="1"/>
  <c r="AA164" i="1"/>
  <c r="AB164" i="1"/>
  <c r="AC164" i="1"/>
  <c r="Y165" i="1"/>
  <c r="Z165" i="1"/>
  <c r="AA165" i="1"/>
  <c r="AB165" i="1"/>
  <c r="AC165" i="1"/>
  <c r="Y166" i="1"/>
  <c r="AD166" i="1" s="1"/>
  <c r="Z166" i="1"/>
  <c r="AA166" i="1"/>
  <c r="AB166" i="1"/>
  <c r="AC166" i="1"/>
  <c r="Y167" i="1"/>
  <c r="Z167" i="1"/>
  <c r="AA167" i="1"/>
  <c r="AB167" i="1"/>
  <c r="AC167" i="1"/>
  <c r="Y168" i="1"/>
  <c r="Z168" i="1"/>
  <c r="AA168" i="1"/>
  <c r="AB168" i="1"/>
  <c r="AC168" i="1"/>
  <c r="Y169" i="1"/>
  <c r="Z169" i="1"/>
  <c r="AA169" i="1"/>
  <c r="AB169" i="1"/>
  <c r="AC169" i="1"/>
  <c r="Y170" i="1"/>
  <c r="Z170" i="1"/>
  <c r="AA170" i="1"/>
  <c r="AB170" i="1"/>
  <c r="AC170" i="1"/>
  <c r="Y171" i="1"/>
  <c r="Z171" i="1"/>
  <c r="AA171" i="1"/>
  <c r="AB171" i="1"/>
  <c r="AC171" i="1"/>
  <c r="Y172" i="1"/>
  <c r="Z172" i="1"/>
  <c r="AA172" i="1"/>
  <c r="AB172" i="1"/>
  <c r="AC172" i="1"/>
  <c r="Y173" i="1"/>
  <c r="Z173" i="1"/>
  <c r="AA173" i="1"/>
  <c r="AB173" i="1"/>
  <c r="AC173" i="1"/>
  <c r="Y174" i="1"/>
  <c r="Z174" i="1"/>
  <c r="AA174" i="1"/>
  <c r="AB174" i="1"/>
  <c r="AC174" i="1"/>
  <c r="Y175" i="1"/>
  <c r="Z175" i="1"/>
  <c r="AA175" i="1"/>
  <c r="AB175" i="1"/>
  <c r="AC175" i="1"/>
  <c r="Y176" i="1"/>
  <c r="Z176" i="1"/>
  <c r="AA176" i="1"/>
  <c r="AB176" i="1"/>
  <c r="AC176" i="1"/>
  <c r="AD176" i="1"/>
  <c r="Y177" i="1"/>
  <c r="Z177" i="1"/>
  <c r="AA177" i="1"/>
  <c r="AB177" i="1"/>
  <c r="AC177" i="1"/>
  <c r="Y178" i="1"/>
  <c r="Z178" i="1"/>
  <c r="AA178" i="1"/>
  <c r="AB178" i="1"/>
  <c r="AC178" i="1"/>
  <c r="Y179" i="1"/>
  <c r="Z179" i="1"/>
  <c r="AA179" i="1"/>
  <c r="AB179" i="1"/>
  <c r="AC179" i="1"/>
  <c r="Y180" i="1"/>
  <c r="Z180" i="1"/>
  <c r="AA180" i="1"/>
  <c r="AB180" i="1"/>
  <c r="AC180" i="1"/>
  <c r="Y181" i="1"/>
  <c r="Z181" i="1"/>
  <c r="AA181" i="1"/>
  <c r="AB181" i="1"/>
  <c r="AC181" i="1"/>
  <c r="Y182" i="1"/>
  <c r="AD182" i="1" s="1"/>
  <c r="Z182" i="1"/>
  <c r="AA182" i="1"/>
  <c r="AB182" i="1"/>
  <c r="AC182" i="1"/>
  <c r="Y183" i="1"/>
  <c r="Z183" i="1"/>
  <c r="AA183" i="1"/>
  <c r="AB183" i="1"/>
  <c r="AC183" i="1"/>
  <c r="Y184" i="1"/>
  <c r="Z184" i="1"/>
  <c r="AA184" i="1"/>
  <c r="AB184" i="1"/>
  <c r="AC184" i="1"/>
  <c r="Y185" i="1"/>
  <c r="Z185" i="1"/>
  <c r="AA185" i="1"/>
  <c r="AB185" i="1"/>
  <c r="AC185" i="1"/>
  <c r="Y186" i="1"/>
  <c r="Z186" i="1"/>
  <c r="AA186" i="1"/>
  <c r="AB186" i="1"/>
  <c r="AC186" i="1"/>
  <c r="Y187" i="1"/>
  <c r="Z187" i="1"/>
  <c r="AD187" i="1" s="1"/>
  <c r="AA187" i="1"/>
  <c r="AB187" i="1"/>
  <c r="AC187" i="1"/>
  <c r="Y188" i="1"/>
  <c r="Z188" i="1"/>
  <c r="AA188" i="1"/>
  <c r="AB188" i="1"/>
  <c r="AC188" i="1"/>
  <c r="Y189" i="1"/>
  <c r="Z189" i="1"/>
  <c r="AA189" i="1"/>
  <c r="AB189" i="1"/>
  <c r="AC189" i="1"/>
  <c r="Y190" i="1"/>
  <c r="Z190" i="1"/>
  <c r="AA190" i="1"/>
  <c r="AB190" i="1"/>
  <c r="AC190" i="1"/>
  <c r="Y191" i="1"/>
  <c r="Z191" i="1"/>
  <c r="AA191" i="1"/>
  <c r="AB191" i="1"/>
  <c r="AC191" i="1"/>
  <c r="Y192" i="1"/>
  <c r="Z192" i="1"/>
  <c r="AA192" i="1"/>
  <c r="AB192" i="1"/>
  <c r="AC192" i="1"/>
  <c r="Y193" i="1"/>
  <c r="Z193" i="1"/>
  <c r="AA193" i="1"/>
  <c r="AB193" i="1"/>
  <c r="AC193" i="1"/>
  <c r="Y194" i="1"/>
  <c r="Z194" i="1"/>
  <c r="AA194" i="1"/>
  <c r="AB194" i="1"/>
  <c r="AC194" i="1"/>
  <c r="Y195" i="1"/>
  <c r="Z195" i="1"/>
  <c r="AA195" i="1"/>
  <c r="AB195" i="1"/>
  <c r="AC195" i="1"/>
  <c r="AD195" i="1"/>
  <c r="Y196" i="1"/>
  <c r="Z196" i="1"/>
  <c r="AA196" i="1"/>
  <c r="AB196" i="1"/>
  <c r="AC196" i="1"/>
  <c r="Y197" i="1"/>
  <c r="Z197" i="1"/>
  <c r="AA197" i="1"/>
  <c r="AB197" i="1"/>
  <c r="AC197" i="1"/>
  <c r="Y198" i="1"/>
  <c r="Z198" i="1"/>
  <c r="AA198" i="1"/>
  <c r="AB198" i="1"/>
  <c r="AC198" i="1"/>
  <c r="Y199" i="1"/>
  <c r="Z199" i="1"/>
  <c r="AA199" i="1"/>
  <c r="AB199" i="1"/>
  <c r="AC199" i="1"/>
  <c r="Y200" i="1"/>
  <c r="Z200" i="1"/>
  <c r="AA200" i="1"/>
  <c r="AB200" i="1"/>
  <c r="AC200" i="1"/>
  <c r="Y201" i="1"/>
  <c r="Z201" i="1"/>
  <c r="AA201" i="1"/>
  <c r="AB201" i="1"/>
  <c r="AC201" i="1"/>
  <c r="AD201" i="1"/>
  <c r="Y202" i="1"/>
  <c r="Z202" i="1"/>
  <c r="AA202" i="1"/>
  <c r="AB202" i="1"/>
  <c r="AC202" i="1"/>
  <c r="Y203" i="1"/>
  <c r="AD203" i="1" s="1"/>
  <c r="Z203" i="1"/>
  <c r="AA203" i="1"/>
  <c r="AB203" i="1"/>
  <c r="AC203" i="1"/>
  <c r="Y204" i="1"/>
  <c r="Z204" i="1"/>
  <c r="AA204" i="1"/>
  <c r="AB204" i="1"/>
  <c r="AC204" i="1"/>
  <c r="Y205" i="1"/>
  <c r="AD205" i="1" s="1"/>
  <c r="Z205" i="1"/>
  <c r="AA205" i="1"/>
  <c r="AB205" i="1"/>
  <c r="AC205" i="1"/>
  <c r="Y206" i="1"/>
  <c r="Z206" i="1"/>
  <c r="AA206" i="1"/>
  <c r="AB206" i="1"/>
  <c r="AC206" i="1"/>
  <c r="Y207" i="1"/>
  <c r="Z207" i="1"/>
  <c r="AA207" i="1"/>
  <c r="AB207" i="1"/>
  <c r="AC207" i="1"/>
  <c r="Y208" i="1"/>
  <c r="Z208" i="1"/>
  <c r="AA208" i="1"/>
  <c r="AB208" i="1"/>
  <c r="AC208" i="1"/>
  <c r="Y209" i="1"/>
  <c r="Z209" i="1"/>
  <c r="AA209" i="1"/>
  <c r="AB209" i="1"/>
  <c r="AC209" i="1"/>
  <c r="Y210" i="1"/>
  <c r="Z210" i="1"/>
  <c r="AA210" i="1"/>
  <c r="AB210" i="1"/>
  <c r="AC210" i="1"/>
  <c r="Y211" i="1"/>
  <c r="Z211" i="1"/>
  <c r="AA211" i="1"/>
  <c r="AB211" i="1"/>
  <c r="AC211" i="1"/>
  <c r="Y212" i="1"/>
  <c r="Z212" i="1"/>
  <c r="AA212" i="1"/>
  <c r="AB212" i="1"/>
  <c r="AC212" i="1"/>
  <c r="Y213" i="1"/>
  <c r="Z213" i="1"/>
  <c r="AA213" i="1"/>
  <c r="AB213" i="1"/>
  <c r="AC213" i="1"/>
  <c r="Y214" i="1"/>
  <c r="Z214" i="1"/>
  <c r="AA214" i="1"/>
  <c r="AB214" i="1"/>
  <c r="AC214" i="1"/>
  <c r="Y215" i="1"/>
  <c r="Z215" i="1"/>
  <c r="AA215" i="1"/>
  <c r="AB215" i="1"/>
  <c r="AC215" i="1"/>
  <c r="AD215" i="1"/>
  <c r="Y216" i="1"/>
  <c r="Z216" i="1"/>
  <c r="AA216" i="1"/>
  <c r="AB216" i="1"/>
  <c r="AC216" i="1"/>
  <c r="Y217" i="1"/>
  <c r="Z217" i="1"/>
  <c r="AA217" i="1"/>
  <c r="AB217" i="1"/>
  <c r="AC217" i="1"/>
  <c r="Y218" i="1"/>
  <c r="Z218" i="1"/>
  <c r="AA218" i="1"/>
  <c r="AB218" i="1"/>
  <c r="AC218" i="1"/>
  <c r="Y219" i="1"/>
  <c r="Z219" i="1"/>
  <c r="AA219" i="1"/>
  <c r="AB219" i="1"/>
  <c r="AC219" i="1"/>
  <c r="Y220" i="1"/>
  <c r="Z220" i="1"/>
  <c r="AA220" i="1"/>
  <c r="AB220" i="1"/>
  <c r="AC220" i="1"/>
  <c r="Y221" i="1"/>
  <c r="AD221" i="1" s="1"/>
  <c r="Z221" i="1"/>
  <c r="AA221" i="1"/>
  <c r="AB221" i="1"/>
  <c r="AC221" i="1"/>
  <c r="Y222" i="1"/>
  <c r="Z222" i="1"/>
  <c r="AA222" i="1"/>
  <c r="AB222" i="1"/>
  <c r="AC222" i="1"/>
  <c r="Y223" i="1"/>
  <c r="AD223" i="1" s="1"/>
  <c r="Z223" i="1"/>
  <c r="AA223" i="1"/>
  <c r="AB223" i="1"/>
  <c r="AC223" i="1"/>
  <c r="Y224" i="1"/>
  <c r="Z224" i="1"/>
  <c r="AA224" i="1"/>
  <c r="AB224" i="1"/>
  <c r="AC224" i="1"/>
  <c r="Y225" i="1"/>
  <c r="Z225" i="1"/>
  <c r="AA225" i="1"/>
  <c r="AB225" i="1"/>
  <c r="AC225" i="1"/>
  <c r="Y226" i="1"/>
  <c r="Z226" i="1"/>
  <c r="AA226" i="1"/>
  <c r="AB226" i="1"/>
  <c r="AC226" i="1"/>
  <c r="Y227" i="1"/>
  <c r="Z227" i="1"/>
  <c r="AA227" i="1"/>
  <c r="AB227" i="1"/>
  <c r="AC227" i="1"/>
  <c r="Y228" i="1"/>
  <c r="Z228" i="1"/>
  <c r="AA228" i="1"/>
  <c r="AB228" i="1"/>
  <c r="AC228" i="1"/>
  <c r="Y229" i="1"/>
  <c r="Z229" i="1"/>
  <c r="AA229" i="1"/>
  <c r="AB229" i="1"/>
  <c r="AC229" i="1"/>
  <c r="AD229" i="1"/>
  <c r="Y230" i="1"/>
  <c r="Z230" i="1"/>
  <c r="AA230" i="1"/>
  <c r="AB230" i="1"/>
  <c r="AC230" i="1"/>
  <c r="Y231" i="1"/>
  <c r="Z231" i="1"/>
  <c r="AA231" i="1"/>
  <c r="AB231" i="1"/>
  <c r="AC231" i="1"/>
  <c r="AD231" i="1"/>
  <c r="Y232" i="1"/>
  <c r="Z232" i="1"/>
  <c r="AA232" i="1"/>
  <c r="AB232" i="1"/>
  <c r="AC232" i="1"/>
  <c r="Y233" i="1"/>
  <c r="Z233" i="1"/>
  <c r="AA233" i="1"/>
  <c r="AB233" i="1"/>
  <c r="AD233" i="1" s="1"/>
  <c r="AC233" i="1"/>
  <c r="Y234" i="1"/>
  <c r="Z234" i="1"/>
  <c r="AA234" i="1"/>
  <c r="AB234" i="1"/>
  <c r="AC234" i="1"/>
  <c r="Y235" i="1"/>
  <c r="Z235" i="1"/>
  <c r="AA235" i="1"/>
  <c r="AB235" i="1"/>
  <c r="AC235" i="1"/>
  <c r="Y236" i="1"/>
  <c r="Z236" i="1"/>
  <c r="AA236" i="1"/>
  <c r="AB236" i="1"/>
  <c r="AC236" i="1"/>
  <c r="Y237" i="1"/>
  <c r="AD237" i="1" s="1"/>
  <c r="Z237" i="1"/>
  <c r="AA237" i="1"/>
  <c r="AB237" i="1"/>
  <c r="AC237" i="1"/>
  <c r="Y238" i="1"/>
  <c r="Z238" i="1"/>
  <c r="AA238" i="1"/>
  <c r="AB238" i="1"/>
  <c r="AC238" i="1"/>
  <c r="Y239" i="1"/>
  <c r="AD239" i="1" s="1"/>
  <c r="Z239" i="1"/>
  <c r="AA239" i="1"/>
  <c r="AB239" i="1"/>
  <c r="AC239" i="1"/>
  <c r="Y240" i="1"/>
  <c r="Z240" i="1"/>
  <c r="AA240" i="1"/>
  <c r="AB240" i="1"/>
  <c r="AC240" i="1"/>
  <c r="Y241" i="1"/>
  <c r="Z241" i="1"/>
  <c r="AA241" i="1"/>
  <c r="AB241" i="1"/>
  <c r="AC241" i="1"/>
  <c r="Y242" i="1"/>
  <c r="Z242" i="1"/>
  <c r="AA242" i="1"/>
  <c r="AB242" i="1"/>
  <c r="AC242" i="1"/>
  <c r="Y243" i="1"/>
  <c r="Z243" i="1"/>
  <c r="AA243" i="1"/>
  <c r="AB243" i="1"/>
  <c r="AC243" i="1"/>
  <c r="Y244" i="1"/>
  <c r="Z244" i="1"/>
  <c r="AA244" i="1"/>
  <c r="AB244" i="1"/>
  <c r="AC244" i="1"/>
  <c r="Y245" i="1"/>
  <c r="Z245" i="1"/>
  <c r="AD245" i="1" s="1"/>
  <c r="AA245" i="1"/>
  <c r="AB245" i="1"/>
  <c r="AC245" i="1"/>
  <c r="Y246" i="1"/>
  <c r="Z246" i="1"/>
  <c r="AA246" i="1"/>
  <c r="AB246" i="1"/>
  <c r="AC246" i="1"/>
  <c r="Y247" i="1"/>
  <c r="AD247" i="1" s="1"/>
  <c r="Z247" i="1"/>
  <c r="AA247" i="1"/>
  <c r="AB247" i="1"/>
  <c r="AC247" i="1"/>
  <c r="Y248" i="1"/>
  <c r="Z248" i="1"/>
  <c r="AA248" i="1"/>
  <c r="AB248" i="1"/>
  <c r="AC248" i="1"/>
  <c r="Y249" i="1"/>
  <c r="Z249" i="1"/>
  <c r="AA249" i="1"/>
  <c r="AB249" i="1"/>
  <c r="AC249" i="1"/>
  <c r="Y250" i="1"/>
  <c r="Z250" i="1"/>
  <c r="AA250" i="1"/>
  <c r="AB250" i="1"/>
  <c r="AC250" i="1"/>
  <c r="Y251" i="1"/>
  <c r="Z251" i="1"/>
  <c r="AA251" i="1"/>
  <c r="AB251" i="1"/>
  <c r="AC251" i="1"/>
  <c r="Y252" i="1"/>
  <c r="Z252" i="1"/>
  <c r="AA252" i="1"/>
  <c r="AB252" i="1"/>
  <c r="AC252" i="1"/>
  <c r="Y253" i="1"/>
  <c r="Z253" i="1"/>
  <c r="AA253" i="1"/>
  <c r="AB253" i="1"/>
  <c r="AC253" i="1"/>
  <c r="Y254" i="1"/>
  <c r="Z254" i="1"/>
  <c r="AA254" i="1"/>
  <c r="AB254" i="1"/>
  <c r="AC254" i="1"/>
  <c r="Y255" i="1"/>
  <c r="Z255" i="1"/>
  <c r="AA255" i="1"/>
  <c r="AB255" i="1"/>
  <c r="AC255" i="1"/>
  <c r="AD255" i="1"/>
  <c r="Y256" i="1"/>
  <c r="Z256" i="1"/>
  <c r="AA256" i="1"/>
  <c r="AB256" i="1"/>
  <c r="AC256" i="1"/>
  <c r="Y257" i="1"/>
  <c r="Z257" i="1"/>
  <c r="AA257" i="1"/>
  <c r="AB257" i="1"/>
  <c r="AD257" i="1" s="1"/>
  <c r="AC257" i="1"/>
  <c r="Y258" i="1"/>
  <c r="Z258" i="1"/>
  <c r="AA258" i="1"/>
  <c r="AB258" i="1"/>
  <c r="AC258" i="1"/>
  <c r="Y259" i="1"/>
  <c r="Z259" i="1"/>
  <c r="AA259" i="1"/>
  <c r="AB259" i="1"/>
  <c r="AC259" i="1"/>
  <c r="Y260" i="1"/>
  <c r="Z260" i="1"/>
  <c r="AA260" i="1"/>
  <c r="AB260" i="1"/>
  <c r="AC260" i="1"/>
  <c r="Y261" i="1"/>
  <c r="Z261" i="1"/>
  <c r="AA261" i="1"/>
  <c r="AB261" i="1"/>
  <c r="AC261" i="1"/>
  <c r="Y262" i="1"/>
  <c r="Z262" i="1"/>
  <c r="AA262" i="1"/>
  <c r="AB262" i="1"/>
  <c r="AC262" i="1"/>
  <c r="Y263" i="1"/>
  <c r="Z263" i="1"/>
  <c r="AD263" i="1" s="1"/>
  <c r="AA263" i="1"/>
  <c r="AB263" i="1"/>
  <c r="AC263" i="1"/>
  <c r="Y264" i="1"/>
  <c r="Z264" i="1"/>
  <c r="AA264" i="1"/>
  <c r="AB264" i="1"/>
  <c r="AC264" i="1"/>
  <c r="Y265" i="1"/>
  <c r="Z265" i="1"/>
  <c r="AA265" i="1"/>
  <c r="AB265" i="1"/>
  <c r="AD265" i="1" s="1"/>
  <c r="AC265" i="1"/>
  <c r="Y266" i="1"/>
  <c r="Z266" i="1"/>
  <c r="AA266" i="1"/>
  <c r="AB266" i="1"/>
  <c r="AC266" i="1"/>
  <c r="Y267" i="1"/>
  <c r="Z267" i="1"/>
  <c r="AA267" i="1"/>
  <c r="AB267" i="1"/>
  <c r="AC267" i="1"/>
  <c r="Y268" i="1"/>
  <c r="Z268" i="1"/>
  <c r="AA268" i="1"/>
  <c r="AB268" i="1"/>
  <c r="AC268" i="1"/>
  <c r="Y269" i="1"/>
  <c r="Z269" i="1"/>
  <c r="AA269" i="1"/>
  <c r="AB269" i="1"/>
  <c r="AC269" i="1"/>
  <c r="Y270" i="1"/>
  <c r="Z270" i="1"/>
  <c r="AA270" i="1"/>
  <c r="AB270" i="1"/>
  <c r="AC270" i="1"/>
  <c r="Y271" i="1"/>
  <c r="Z271" i="1"/>
  <c r="AA271" i="1"/>
  <c r="AB271" i="1"/>
  <c r="AC271" i="1"/>
  <c r="AD271" i="1"/>
  <c r="Y272" i="1"/>
  <c r="Z272" i="1"/>
  <c r="AA272" i="1"/>
  <c r="AB272" i="1"/>
  <c r="AC272" i="1"/>
  <c r="Y273" i="1"/>
  <c r="Z273" i="1"/>
  <c r="AA273" i="1"/>
  <c r="AB273" i="1"/>
  <c r="AC273" i="1"/>
  <c r="Y274" i="1"/>
  <c r="Z274" i="1"/>
  <c r="AA274" i="1"/>
  <c r="AB274" i="1"/>
  <c r="AC274" i="1"/>
  <c r="Y275" i="1"/>
  <c r="Z275" i="1"/>
  <c r="AA275" i="1"/>
  <c r="AB275" i="1"/>
  <c r="AC275" i="1"/>
  <c r="Y276" i="1"/>
  <c r="Z276" i="1"/>
  <c r="AA276" i="1"/>
  <c r="AB276" i="1"/>
  <c r="AC276" i="1"/>
  <c r="Y277" i="1"/>
  <c r="Z277" i="1"/>
  <c r="AA277" i="1"/>
  <c r="AB277" i="1"/>
  <c r="AC277" i="1"/>
  <c r="AD277" i="1"/>
  <c r="Y278" i="1"/>
  <c r="Z278" i="1"/>
  <c r="AA278" i="1"/>
  <c r="AB278" i="1"/>
  <c r="AC278" i="1"/>
  <c r="Y279" i="1"/>
  <c r="AD279" i="1" s="1"/>
  <c r="Z279" i="1"/>
  <c r="AA279" i="1"/>
  <c r="AB279" i="1"/>
  <c r="AC279" i="1"/>
  <c r="AD20" i="1" l="1"/>
  <c r="AD163" i="1"/>
  <c r="AD102" i="1"/>
  <c r="AD98" i="1"/>
  <c r="AD64" i="1"/>
  <c r="AD269" i="1"/>
  <c r="AD261" i="1"/>
  <c r="AD241" i="1"/>
  <c r="AD193" i="1"/>
  <c r="AD183" i="1"/>
  <c r="AD172" i="1"/>
  <c r="AD144" i="1"/>
  <c r="AD132" i="1"/>
  <c r="AD113" i="1"/>
  <c r="AD100" i="1"/>
  <c r="AD70" i="1"/>
  <c r="AD62" i="1"/>
  <c r="AD38" i="1"/>
  <c r="AD29" i="1"/>
  <c r="AD23" i="1"/>
  <c r="AD264" i="1"/>
  <c r="AD249" i="1"/>
  <c r="AD225" i="1"/>
  <c r="AD177" i="1"/>
  <c r="AD134" i="1"/>
  <c r="AD131" i="1"/>
  <c r="AD99" i="1"/>
  <c r="AD61" i="1"/>
  <c r="AD32" i="1"/>
  <c r="AD273" i="1"/>
  <c r="AD253" i="1"/>
  <c r="AD209" i="1"/>
  <c r="AD196" i="1"/>
  <c r="AD189" i="1"/>
  <c r="AD184" i="1"/>
  <c r="AD160" i="1"/>
  <c r="AD145" i="1"/>
  <c r="AD140" i="1"/>
  <c r="AD128" i="1"/>
  <c r="AD125" i="1"/>
  <c r="AD119" i="1"/>
  <c r="AD81" i="1"/>
  <c r="AD67" i="1"/>
  <c r="AD49" i="1"/>
  <c r="AD35" i="1"/>
  <c r="AD274" i="1"/>
  <c r="AD248" i="1"/>
  <c r="AD242" i="1"/>
  <c r="AD232" i="1"/>
  <c r="AD213" i="1"/>
  <c r="AD206" i="1"/>
  <c r="AD190" i="1"/>
  <c r="AD168" i="1"/>
  <c r="AD142" i="1"/>
  <c r="AD130" i="1"/>
  <c r="AD110" i="1"/>
  <c r="AD251" i="1"/>
  <c r="AD235" i="1"/>
  <c r="AD148" i="1"/>
  <c r="AD46" i="1"/>
  <c r="AD272" i="1"/>
  <c r="AD266" i="1"/>
  <c r="AD240" i="1"/>
  <c r="AD234" i="1"/>
  <c r="AD224" i="1"/>
  <c r="AD218" i="1"/>
  <c r="AD204" i="1"/>
  <c r="AD198" i="1"/>
  <c r="AD188" i="1"/>
  <c r="AD174" i="1"/>
  <c r="AD136" i="1"/>
  <c r="AD108" i="1"/>
  <c r="AD104" i="1"/>
  <c r="AD96" i="1"/>
  <c r="AD84" i="1"/>
  <c r="AD66" i="1"/>
  <c r="AD52" i="1"/>
  <c r="AD34" i="1"/>
  <c r="AD258" i="1"/>
  <c r="AD226" i="1"/>
  <c r="AD216" i="1"/>
  <c r="AD267" i="1"/>
  <c r="AD219" i="1"/>
  <c r="AD212" i="1"/>
  <c r="AD199" i="1"/>
  <c r="AD116" i="1"/>
  <c r="AD78" i="1"/>
  <c r="AD256" i="1"/>
  <c r="AD250" i="1"/>
  <c r="AD275" i="1"/>
  <c r="AD259" i="1"/>
  <c r="AD243" i="1"/>
  <c r="AD227" i="1"/>
  <c r="AD217" i="1"/>
  <c r="AD207" i="1"/>
  <c r="AD197" i="1"/>
  <c r="AD191" i="1"/>
  <c r="AD180" i="1"/>
  <c r="AD162" i="1"/>
  <c r="AD76" i="1"/>
  <c r="AD72" i="1"/>
  <c r="AD44" i="1"/>
  <c r="AD40" i="1"/>
  <c r="AD170" i="1"/>
  <c r="AD159" i="1"/>
  <c r="AD133" i="1"/>
  <c r="AD127" i="1"/>
  <c r="AD121" i="1"/>
  <c r="AD107" i="1"/>
  <c r="AD106" i="1"/>
  <c r="AD101" i="1"/>
  <c r="AD89" i="1"/>
  <c r="AD74" i="1"/>
  <c r="AD63" i="1"/>
  <c r="AD57" i="1"/>
  <c r="AD25" i="1"/>
  <c r="AD260" i="1"/>
  <c r="AD252" i="1"/>
  <c r="AD244" i="1"/>
  <c r="AD236" i="1"/>
  <c r="AD228" i="1"/>
  <c r="AD220" i="1"/>
  <c r="AD211" i="1"/>
  <c r="AD208" i="1"/>
  <c r="AD200" i="1"/>
  <c r="AD192" i="1"/>
  <c r="AD179" i="1"/>
  <c r="AD178" i="1"/>
  <c r="AD173" i="1"/>
  <c r="AD167" i="1"/>
  <c r="AD161" i="1"/>
  <c r="AD147" i="1"/>
  <c r="AD146" i="1"/>
  <c r="AD141" i="1"/>
  <c r="AD135" i="1"/>
  <c r="AD129" i="1"/>
  <c r="AD115" i="1"/>
  <c r="AD114" i="1"/>
  <c r="AD109" i="1"/>
  <c r="AD103" i="1"/>
  <c r="AD97" i="1"/>
  <c r="AD83" i="1"/>
  <c r="AD82" i="1"/>
  <c r="AD77" i="1"/>
  <c r="AD71" i="1"/>
  <c r="AD65" i="1"/>
  <c r="AD51" i="1"/>
  <c r="AD50" i="1"/>
  <c r="AD45" i="1"/>
  <c r="AD39" i="1"/>
  <c r="AD33" i="1"/>
  <c r="AD19" i="1"/>
  <c r="AD18" i="1"/>
  <c r="AD185" i="1"/>
  <c r="AD171" i="1"/>
  <c r="AD165" i="1"/>
  <c r="AD153" i="1"/>
  <c r="AD139" i="1"/>
  <c r="AD138" i="1"/>
  <c r="AD95" i="1"/>
  <c r="AD75" i="1"/>
  <c r="AD69" i="1"/>
  <c r="AD43" i="1"/>
  <c r="AD42" i="1"/>
  <c r="AD37" i="1"/>
  <c r="AD31" i="1"/>
  <c r="AD276" i="1"/>
  <c r="AD268" i="1"/>
  <c r="AD278" i="1"/>
  <c r="AD270" i="1"/>
  <c r="AD262" i="1"/>
  <c r="AD254" i="1"/>
  <c r="AD246" i="1"/>
  <c r="AD238" i="1"/>
  <c r="AD230" i="1"/>
  <c r="AD222" i="1"/>
  <c r="AD214" i="1"/>
  <c r="AD210" i="1"/>
  <c r="AD202" i="1"/>
  <c r="AD194" i="1"/>
  <c r="AD186" i="1"/>
  <c r="AD181" i="1"/>
  <c r="AD175" i="1"/>
  <c r="AD169" i="1"/>
  <c r="AD155" i="1"/>
  <c r="AD154" i="1"/>
  <c r="AD149" i="1"/>
  <c r="AD143" i="1"/>
  <c r="AD137" i="1"/>
  <c r="AD123" i="1"/>
  <c r="AD122" i="1"/>
  <c r="AD117" i="1"/>
  <c r="AD111" i="1"/>
  <c r="AD105" i="1"/>
  <c r="AD91" i="1"/>
  <c r="AD90" i="1"/>
  <c r="AD85" i="1"/>
  <c r="AD79" i="1"/>
  <c r="AD73" i="1"/>
  <c r="AD59" i="1"/>
  <c r="AD58" i="1"/>
  <c r="AD53" i="1"/>
  <c r="AD47" i="1"/>
  <c r="AD41" i="1"/>
  <c r="AD27" i="1"/>
  <c r="AD26" i="1"/>
  <c r="AD21" i="1"/>
  <c r="AA16" i="1"/>
  <c r="AJ16" i="1"/>
  <c r="AF20" i="1"/>
  <c r="AG23" i="1"/>
  <c r="AH26" i="1"/>
  <c r="AI29" i="1"/>
  <c r="AJ32" i="1"/>
  <c r="AF36" i="1"/>
  <c r="AG39" i="1"/>
  <c r="AH42" i="1"/>
  <c r="AI45" i="1"/>
  <c r="AJ48" i="1"/>
  <c r="AF52" i="1"/>
  <c r="AG55" i="1"/>
  <c r="AH58" i="1"/>
  <c r="AI61" i="1"/>
  <c r="AJ64" i="1"/>
  <c r="AF68" i="1"/>
  <c r="AG71" i="1"/>
  <c r="AH74" i="1"/>
  <c r="AI77" i="1"/>
  <c r="AJ80" i="1"/>
  <c r="AF84" i="1"/>
  <c r="AG87" i="1"/>
  <c r="AH90" i="1"/>
  <c r="AF18" i="1"/>
  <c r="AG21" i="1"/>
  <c r="AH24" i="1"/>
  <c r="AI27" i="1"/>
  <c r="AJ30" i="1"/>
  <c r="AF34" i="1"/>
  <c r="AG37" i="1"/>
  <c r="AH40" i="1"/>
  <c r="AI43" i="1"/>
  <c r="AJ46" i="1"/>
  <c r="AF50" i="1"/>
  <c r="AG53" i="1"/>
  <c r="AH56" i="1"/>
  <c r="AI59" i="1"/>
  <c r="AJ62" i="1"/>
  <c r="AF66" i="1"/>
  <c r="AG69" i="1"/>
  <c r="AH72" i="1"/>
  <c r="AI75" i="1"/>
  <c r="AJ78" i="1"/>
  <c r="AF82" i="1"/>
  <c r="AG85" i="1"/>
  <c r="AH88" i="1"/>
  <c r="AI91" i="1"/>
  <c r="AJ94" i="1"/>
  <c r="AF98" i="1"/>
  <c r="AG101" i="1"/>
  <c r="AH104" i="1"/>
  <c r="AI107" i="1"/>
  <c r="AJ110" i="1"/>
  <c r="AF114" i="1"/>
  <c r="AG117" i="1"/>
  <c r="AF21" i="1"/>
  <c r="AH27" i="1"/>
  <c r="AJ33" i="1"/>
  <c r="AG40" i="1"/>
  <c r="AI46" i="1"/>
  <c r="AF53" i="1"/>
  <c r="AH59" i="1"/>
  <c r="AJ65" i="1"/>
  <c r="AG72" i="1"/>
  <c r="AI78" i="1"/>
  <c r="AF85" i="1"/>
  <c r="AH91" i="1"/>
  <c r="AJ95" i="1"/>
  <c r="AF100" i="1"/>
  <c r="AG104" i="1"/>
  <c r="AI108" i="1"/>
  <c r="AJ112" i="1"/>
  <c r="AF117" i="1"/>
  <c r="AH120" i="1"/>
  <c r="AI123" i="1"/>
  <c r="AJ126" i="1"/>
  <c r="AF130" i="1"/>
  <c r="AG133" i="1"/>
  <c r="AH136" i="1"/>
  <c r="AI139" i="1"/>
  <c r="AJ142" i="1"/>
  <c r="AF146" i="1"/>
  <c r="AG149" i="1"/>
  <c r="AH152" i="1"/>
  <c r="AI155" i="1"/>
  <c r="AJ158" i="1"/>
  <c r="AF17" i="1"/>
  <c r="AH23" i="1"/>
  <c r="AJ29" i="1"/>
  <c r="AG36" i="1"/>
  <c r="AI42" i="1"/>
  <c r="AF49" i="1"/>
  <c r="AH55" i="1"/>
  <c r="AJ61" i="1"/>
  <c r="AG68" i="1"/>
  <c r="AI74" i="1"/>
  <c r="AF81" i="1"/>
  <c r="AH87" i="1"/>
  <c r="AF93" i="1"/>
  <c r="AH97" i="1"/>
  <c r="AI101" i="1"/>
  <c r="AJ105" i="1"/>
  <c r="AG110" i="1"/>
  <c r="AH114" i="1"/>
  <c r="AH118" i="1"/>
  <c r="AI121" i="1"/>
  <c r="AJ124" i="1"/>
  <c r="AF128" i="1"/>
  <c r="AG131" i="1"/>
  <c r="AH134" i="1"/>
  <c r="AI137" i="1"/>
  <c r="AJ140" i="1"/>
  <c r="AF144" i="1"/>
  <c r="AG147" i="1"/>
  <c r="AH150" i="1"/>
  <c r="AI153" i="1"/>
  <c r="AJ156" i="1"/>
  <c r="AF160" i="1"/>
  <c r="AG163" i="1"/>
  <c r="AH166" i="1"/>
  <c r="AI169" i="1"/>
  <c r="AJ172" i="1"/>
  <c r="AF176" i="1"/>
  <c r="AG179" i="1"/>
  <c r="AH182" i="1"/>
  <c r="AI185" i="1"/>
  <c r="AH18" i="1"/>
  <c r="AH22" i="1"/>
  <c r="AG27" i="1"/>
  <c r="AG31" i="1"/>
  <c r="AG35" i="1"/>
  <c r="AF40" i="1"/>
  <c r="AF44" i="1"/>
  <c r="AF48" i="1"/>
  <c r="AJ52" i="1"/>
  <c r="AJ56" i="1"/>
  <c r="AJ60" i="1"/>
  <c r="AI65" i="1"/>
  <c r="AI69" i="1"/>
  <c r="AI73" i="1"/>
  <c r="AH78" i="1"/>
  <c r="AH82" i="1"/>
  <c r="AH86" i="1"/>
  <c r="AG91" i="1"/>
  <c r="AI19" i="1"/>
  <c r="AI23" i="1"/>
  <c r="AH28" i="1"/>
  <c r="AH32" i="1"/>
  <c r="AH36" i="1"/>
  <c r="AG41" i="1"/>
  <c r="AG45" i="1"/>
  <c r="AG49" i="1"/>
  <c r="AF54" i="1"/>
  <c r="AF58" i="1"/>
  <c r="AF62" i="1"/>
  <c r="AJ66" i="1"/>
  <c r="AJ70" i="1"/>
  <c r="AJ74" i="1"/>
  <c r="AI79" i="1"/>
  <c r="AI83" i="1"/>
  <c r="AI87" i="1"/>
  <c r="AH92" i="1"/>
  <c r="AH96" i="1"/>
  <c r="AH100" i="1"/>
  <c r="AG105" i="1"/>
  <c r="AG109" i="1"/>
  <c r="AG113" i="1"/>
  <c r="AG16" i="1"/>
  <c r="AG24" i="1"/>
  <c r="AG32" i="1"/>
  <c r="AJ41" i="1"/>
  <c r="AJ49" i="1"/>
  <c r="AJ57" i="1"/>
  <c r="AH67" i="1"/>
  <c r="AH75" i="1"/>
  <c r="AH83" i="1"/>
  <c r="AI92" i="1"/>
  <c r="AJ97" i="1"/>
  <c r="AG103" i="1"/>
  <c r="AI109" i="1"/>
  <c r="AF115" i="1"/>
  <c r="AI119" i="1"/>
  <c r="AH124" i="1"/>
  <c r="AH128" i="1"/>
  <c r="AH132" i="1"/>
  <c r="AG137" i="1"/>
  <c r="AG141" i="1"/>
  <c r="AG145" i="1"/>
  <c r="AF150" i="1"/>
  <c r="AF154" i="1"/>
  <c r="AF158" i="1"/>
  <c r="AI18" i="1"/>
  <c r="AI26" i="1"/>
  <c r="AI34" i="1"/>
  <c r="AG44" i="1"/>
  <c r="AG52" i="1"/>
  <c r="AG60" i="1"/>
  <c r="AJ69" i="1"/>
  <c r="AJ77" i="1"/>
  <c r="AJ85" i="1"/>
  <c r="AG94" i="1"/>
  <c r="AH99" i="1"/>
  <c r="AJ104" i="1"/>
  <c r="AG111" i="1"/>
  <c r="AI116" i="1"/>
  <c r="AJ120" i="1"/>
  <c r="AI125" i="1"/>
  <c r="AI129" i="1"/>
  <c r="AI133" i="1"/>
  <c r="AH138" i="1"/>
  <c r="AH142" i="1"/>
  <c r="AH146" i="1"/>
  <c r="AG151" i="1"/>
  <c r="AG155" i="1"/>
  <c r="AG159" i="1"/>
  <c r="AF164" i="1"/>
  <c r="AF168" i="1"/>
  <c r="AF172" i="1"/>
  <c r="AJ176" i="1"/>
  <c r="AJ180" i="1"/>
  <c r="AJ184" i="1"/>
  <c r="AJ188" i="1"/>
  <c r="AF192" i="1"/>
  <c r="AG195" i="1"/>
  <c r="AH198" i="1"/>
  <c r="AI201" i="1"/>
  <c r="AJ204" i="1"/>
  <c r="AF208" i="1"/>
  <c r="AG211" i="1"/>
  <c r="AG26" i="1"/>
  <c r="AF39" i="1"/>
  <c r="AJ51" i="1"/>
  <c r="AI64" i="1"/>
  <c r="AH77" i="1"/>
  <c r="AG90" i="1"/>
  <c r="AG99" i="1"/>
  <c r="AJ107" i="1"/>
  <c r="AG116" i="1"/>
  <c r="AF123" i="1"/>
  <c r="AH129" i="1"/>
  <c r="AJ135" i="1"/>
  <c r="AG142" i="1"/>
  <c r="AI148" i="1"/>
  <c r="AF155" i="1"/>
  <c r="AH161" i="1"/>
  <c r="AJ165" i="1"/>
  <c r="AF170" i="1"/>
  <c r="AG174" i="1"/>
  <c r="AI178" i="1"/>
  <c r="AJ182" i="1"/>
  <c r="AF187" i="1"/>
  <c r="AH191" i="1"/>
  <c r="AI195" i="1"/>
  <c r="AJ199" i="1"/>
  <c r="AG204" i="1"/>
  <c r="AH208" i="1"/>
  <c r="AH212" i="1"/>
  <c r="AI215" i="1"/>
  <c r="AJ218" i="1"/>
  <c r="AF222" i="1"/>
  <c r="AG225" i="1"/>
  <c r="AH228" i="1"/>
  <c r="AI231" i="1"/>
  <c r="AJ234" i="1"/>
  <c r="AF238" i="1"/>
  <c r="AG241" i="1"/>
  <c r="AH244" i="1"/>
  <c r="AI247" i="1"/>
  <c r="AJ250" i="1"/>
  <c r="AF254" i="1"/>
  <c r="AG257" i="1"/>
  <c r="AH260" i="1"/>
  <c r="AI263" i="1"/>
  <c r="AJ266" i="1"/>
  <c r="AF270" i="1"/>
  <c r="AG273" i="1"/>
  <c r="AH276" i="1"/>
  <c r="AI279" i="1"/>
  <c r="AF27" i="1"/>
  <c r="AJ39" i="1"/>
  <c r="AI52" i="1"/>
  <c r="AH65" i="1"/>
  <c r="AG78" i="1"/>
  <c r="AF91" i="1"/>
  <c r="AJ99" i="1"/>
  <c r="AG108" i="1"/>
  <c r="AJ116" i="1"/>
  <c r="AH123" i="1"/>
  <c r="AJ129" i="1"/>
  <c r="AG136" i="1"/>
  <c r="AI142" i="1"/>
  <c r="AF149" i="1"/>
  <c r="AG18" i="1"/>
  <c r="AF31" i="1"/>
  <c r="AJ43" i="1"/>
  <c r="AI56" i="1"/>
  <c r="AH69" i="1"/>
  <c r="AG82" i="1"/>
  <c r="AJ93" i="1"/>
  <c r="AH102" i="1"/>
  <c r="AF111" i="1"/>
  <c r="AF19" i="1"/>
  <c r="AG70" i="1"/>
  <c r="AH111" i="1"/>
  <c r="AI128" i="1"/>
  <c r="AH141" i="1"/>
  <c r="AG154" i="1"/>
  <c r="AG162" i="1"/>
  <c r="AG168" i="1"/>
  <c r="AJ173" i="1"/>
  <c r="AH179" i="1"/>
  <c r="AG185" i="1"/>
  <c r="AJ190" i="1"/>
  <c r="AH196" i="1"/>
  <c r="AG202" i="1"/>
  <c r="AJ207" i="1"/>
  <c r="AF213" i="1"/>
  <c r="AH217" i="1"/>
  <c r="AI221" i="1"/>
  <c r="AJ225" i="1"/>
  <c r="AG230" i="1"/>
  <c r="AH234" i="1"/>
  <c r="AI238" i="1"/>
  <c r="AF243" i="1"/>
  <c r="AG247" i="1"/>
  <c r="AH251" i="1"/>
  <c r="AJ255" i="1"/>
  <c r="AF260" i="1"/>
  <c r="AG264" i="1"/>
  <c r="AI268" i="1"/>
  <c r="AJ272" i="1"/>
  <c r="AF277" i="1"/>
  <c r="AF35" i="1"/>
  <c r="AG86" i="1"/>
  <c r="AH119" i="1"/>
  <c r="AG132" i="1"/>
  <c r="AF145" i="1"/>
  <c r="AF157" i="1"/>
  <c r="AG164" i="1"/>
  <c r="AJ169" i="1"/>
  <c r="AI175" i="1"/>
  <c r="AG181" i="1"/>
  <c r="AJ186" i="1"/>
  <c r="AI192" i="1"/>
  <c r="AG198" i="1"/>
  <c r="AJ203" i="1"/>
  <c r="AJ209" i="1"/>
  <c r="AH214" i="1"/>
  <c r="AI218" i="1"/>
  <c r="AF223" i="1"/>
  <c r="AG227" i="1"/>
  <c r="AH231" i="1"/>
  <c r="AJ235" i="1"/>
  <c r="AF240" i="1"/>
  <c r="AG244" i="1"/>
  <c r="AI248" i="1"/>
  <c r="AJ252" i="1"/>
  <c r="AF257" i="1"/>
  <c r="AH261" i="1"/>
  <c r="AI265" i="1"/>
  <c r="AJ269" i="1"/>
  <c r="AG274" i="1"/>
  <c r="AH278" i="1"/>
  <c r="AF51" i="1"/>
  <c r="AI98" i="1"/>
  <c r="AJ123" i="1"/>
  <c r="AI136" i="1"/>
  <c r="AH149" i="1"/>
  <c r="AH159" i="1"/>
  <c r="AF166" i="1"/>
  <c r="AI171" i="1"/>
  <c r="AG177" i="1"/>
  <c r="AF183" i="1"/>
  <c r="AI188" i="1"/>
  <c r="AG194" i="1"/>
  <c r="AG200" i="1"/>
  <c r="AJ205" i="1"/>
  <c r="AH211" i="1"/>
  <c r="AJ215" i="1"/>
  <c r="AF220" i="1"/>
  <c r="AG224" i="1"/>
  <c r="AJ20" i="1"/>
  <c r="AI25" i="1"/>
  <c r="AF32" i="1"/>
  <c r="AI37" i="1"/>
  <c r="AG43" i="1"/>
  <c r="AI49" i="1"/>
  <c r="AH54" i="1"/>
  <c r="AF60" i="1"/>
  <c r="AH66" i="1"/>
  <c r="AF72" i="1"/>
  <c r="AJ76" i="1"/>
  <c r="AG83" i="1"/>
  <c r="AJ88" i="1"/>
  <c r="AJ18" i="1"/>
  <c r="AG25" i="1"/>
  <c r="AF30" i="1"/>
  <c r="AI35" i="1"/>
  <c r="AF42" i="1"/>
  <c r="AI47" i="1"/>
  <c r="AH52" i="1"/>
  <c r="AJ58" i="1"/>
  <c r="AH64" i="1"/>
  <c r="AF70" i="1"/>
  <c r="AH76" i="1"/>
  <c r="AG81" i="1"/>
  <c r="AJ86" i="1"/>
  <c r="AG93" i="1"/>
  <c r="AJ98" i="1"/>
  <c r="AI103" i="1"/>
  <c r="AF110" i="1"/>
  <c r="AI115" i="1"/>
  <c r="AI22" i="1"/>
  <c r="AH35" i="1"/>
  <c r="AF45" i="1"/>
  <c r="AG56" i="1"/>
  <c r="AF69" i="1"/>
  <c r="AG80" i="1"/>
  <c r="AJ89" i="1"/>
  <c r="AF99" i="1"/>
  <c r="AH106" i="1"/>
  <c r="AJ113" i="1"/>
  <c r="AG121" i="1"/>
  <c r="AF126" i="1"/>
  <c r="AI131" i="1"/>
  <c r="AF138" i="1"/>
  <c r="AI143" i="1"/>
  <c r="AH148" i="1"/>
  <c r="AJ154" i="1"/>
  <c r="AH160" i="1"/>
  <c r="AF25" i="1"/>
  <c r="AJ37" i="1"/>
  <c r="AH47" i="1"/>
  <c r="AI58" i="1"/>
  <c r="AH71" i="1"/>
  <c r="AI82" i="1"/>
  <c r="AF92" i="1"/>
  <c r="AI100" i="1"/>
  <c r="AF108" i="1"/>
  <c r="AH115" i="1"/>
  <c r="AH122" i="1"/>
  <c r="AG127" i="1"/>
  <c r="AJ132" i="1"/>
  <c r="AG139" i="1"/>
  <c r="AJ144" i="1"/>
  <c r="AI149" i="1"/>
  <c r="AF156" i="1"/>
  <c r="AI161" i="1"/>
  <c r="AG167" i="1"/>
  <c r="AI173" i="1"/>
  <c r="AH178" i="1"/>
  <c r="AF184" i="1"/>
  <c r="AI189" i="1"/>
  <c r="AI193" i="1"/>
  <c r="AI197" i="1"/>
  <c r="AH202" i="1"/>
  <c r="AH206" i="1"/>
  <c r="AH210" i="1"/>
  <c r="AH29" i="1"/>
  <c r="AH45" i="1"/>
  <c r="AH61" i="1"/>
  <c r="AI80" i="1"/>
  <c r="AF95" i="1"/>
  <c r="AI105" i="1"/>
  <c r="AG118" i="1"/>
  <c r="AG126" i="1"/>
  <c r="AG134" i="1"/>
  <c r="AJ143" i="1"/>
  <c r="AJ151" i="1"/>
  <c r="AJ159" i="1"/>
  <c r="AJ166" i="1"/>
  <c r="AG172" i="1"/>
  <c r="AH177" i="1"/>
  <c r="AJ183" i="1"/>
  <c r="AG189" i="1"/>
  <c r="AI194" i="1"/>
  <c r="AF201" i="1"/>
  <c r="AG206" i="1"/>
  <c r="AI211" i="1"/>
  <c r="AH216" i="1"/>
  <c r="AH220" i="1"/>
  <c r="AH224" i="1"/>
  <c r="AG229" i="1"/>
  <c r="AG233" i="1"/>
  <c r="AG237" i="1"/>
  <c r="AF242" i="1"/>
  <c r="AF246" i="1"/>
  <c r="AF250" i="1"/>
  <c r="AJ254" i="1"/>
  <c r="AJ258" i="1"/>
  <c r="AJ262" i="1"/>
  <c r="AI267" i="1"/>
  <c r="AI271" i="1"/>
  <c r="AI275" i="1"/>
  <c r="AH17" i="1"/>
  <c r="AH33" i="1"/>
  <c r="AH49" i="1"/>
  <c r="AI68" i="1"/>
  <c r="AI84" i="1"/>
  <c r="AI97" i="1"/>
  <c r="AH110" i="1"/>
  <c r="AG120" i="1"/>
  <c r="AG128" i="1"/>
  <c r="AJ137" i="1"/>
  <c r="AJ145" i="1"/>
  <c r="AJ153" i="1"/>
  <c r="AG34" i="1"/>
  <c r="AG50" i="1"/>
  <c r="AG66" i="1"/>
  <c r="AH85" i="1"/>
  <c r="AG98" i="1"/>
  <c r="AJ108" i="1"/>
  <c r="AJ31" i="1"/>
  <c r="AH94" i="1"/>
  <c r="AH125" i="1"/>
  <c r="AI144" i="1"/>
  <c r="AI158" i="1"/>
  <c r="AI166" i="1"/>
  <c r="AF175" i="1"/>
  <c r="AG182" i="1"/>
  <c r="AH189" i="1"/>
  <c r="AF198" i="1"/>
  <c r="AF205" i="1"/>
  <c r="AF212" i="1"/>
  <c r="AH218" i="1"/>
  <c r="AJ223" i="1"/>
  <c r="AF229" i="1"/>
  <c r="AH235" i="1"/>
  <c r="AJ240" i="1"/>
  <c r="AG246" i="1"/>
  <c r="AI252" i="1"/>
  <c r="AJ257" i="1"/>
  <c r="AG263" i="1"/>
  <c r="AI269" i="1"/>
  <c r="AF275" i="1"/>
  <c r="AG22" i="1"/>
  <c r="AI96" i="1"/>
  <c r="AJ125" i="1"/>
  <c r="AJ141" i="1"/>
  <c r="AF159" i="1"/>
  <c r="AF167" i="1"/>
  <c r="AF174" i="1"/>
  <c r="AI182" i="1"/>
  <c r="AJ189" i="1"/>
  <c r="AF197" i="1"/>
  <c r="AH205" i="1"/>
  <c r="AG212" i="1"/>
  <c r="AI217" i="1"/>
  <c r="AF224" i="1"/>
  <c r="AH229" i="1"/>
  <c r="AI234" i="1"/>
  <c r="AF241" i="1"/>
  <c r="AH246" i="1"/>
  <c r="AJ251" i="1"/>
  <c r="AG258" i="1"/>
  <c r="AH263" i="1"/>
  <c r="AJ268" i="1"/>
  <c r="AG275" i="1"/>
  <c r="AH25" i="1"/>
  <c r="AH89" i="1"/>
  <c r="AF127" i="1"/>
  <c r="AF143" i="1"/>
  <c r="AH157" i="1"/>
  <c r="AH167" i="1"/>
  <c r="AI174" i="1"/>
  <c r="AH181" i="1"/>
  <c r="AF190" i="1"/>
  <c r="AG197" i="1"/>
  <c r="AH204" i="1"/>
  <c r="AI212" i="1"/>
  <c r="AJ217" i="1"/>
  <c r="AG223" i="1"/>
  <c r="AI228" i="1"/>
  <c r="AJ232" i="1"/>
  <c r="AF237" i="1"/>
  <c r="AH241" i="1"/>
  <c r="AI245" i="1"/>
  <c r="AJ249" i="1"/>
  <c r="AG254" i="1"/>
  <c r="AH258" i="1"/>
  <c r="AI262" i="1"/>
  <c r="AF267" i="1"/>
  <c r="AG271" i="1"/>
  <c r="AH275" i="1"/>
  <c r="AJ279" i="1"/>
  <c r="AF67" i="1"/>
  <c r="AH109" i="1"/>
  <c r="AH127" i="1"/>
  <c r="AG140" i="1"/>
  <c r="AF153" i="1"/>
  <c r="AF162" i="1"/>
  <c r="AI167" i="1"/>
  <c r="AH173" i="1"/>
  <c r="AF179" i="1"/>
  <c r="AI184" i="1"/>
  <c r="AI190" i="1"/>
  <c r="AG196" i="1"/>
  <c r="AJ201" i="1"/>
  <c r="AI207" i="1"/>
  <c r="AJ212" i="1"/>
  <c r="AF217" i="1"/>
  <c r="AH221" i="1"/>
  <c r="AI225" i="1"/>
  <c r="AJ229" i="1"/>
  <c r="AG234" i="1"/>
  <c r="AH238" i="1"/>
  <c r="AI242" i="1"/>
  <c r="AF247" i="1"/>
  <c r="AG251" i="1"/>
  <c r="AH255" i="1"/>
  <c r="AJ259" i="1"/>
  <c r="AF264" i="1"/>
  <c r="AG268" i="1"/>
  <c r="AI272" i="1"/>
  <c r="AJ276" i="1"/>
  <c r="AE21" i="1"/>
  <c r="AE37" i="1"/>
  <c r="AE53" i="1"/>
  <c r="AE69" i="1"/>
  <c r="AE85" i="1"/>
  <c r="AE101" i="1"/>
  <c r="AE117" i="1"/>
  <c r="AE133" i="1"/>
  <c r="AE149" i="1"/>
  <c r="AE165" i="1"/>
  <c r="AE181" i="1"/>
  <c r="AE197" i="1"/>
  <c r="AE213" i="1"/>
  <c r="AE229" i="1"/>
  <c r="AE245" i="1"/>
  <c r="AE261" i="1"/>
  <c r="AE277" i="1"/>
  <c r="AE30" i="1"/>
  <c r="AE46" i="1"/>
  <c r="AE62" i="1"/>
  <c r="AE78" i="1"/>
  <c r="AE94" i="1"/>
  <c r="AE110" i="1"/>
  <c r="AE126" i="1"/>
  <c r="AE31" i="1"/>
  <c r="AE47" i="1"/>
  <c r="AE63" i="1"/>
  <c r="AE79" i="1"/>
  <c r="AE95" i="1"/>
  <c r="AE111" i="1"/>
  <c r="AE127" i="1"/>
  <c r="AE143" i="1"/>
  <c r="AE159" i="1"/>
  <c r="AE175" i="1"/>
  <c r="AE191" i="1"/>
  <c r="AE207" i="1"/>
  <c r="AE223" i="1"/>
  <c r="AE239" i="1"/>
  <c r="AE255" i="1"/>
  <c r="AE271" i="1"/>
  <c r="AE24" i="1"/>
  <c r="AE40" i="1"/>
  <c r="AE56" i="1"/>
  <c r="AE72" i="1"/>
  <c r="AE88" i="1"/>
  <c r="AE104" i="1"/>
  <c r="AE120" i="1"/>
  <c r="AE136" i="1"/>
  <c r="AE152" i="1"/>
  <c r="AE168" i="1"/>
  <c r="AE184" i="1"/>
  <c r="AE200" i="1"/>
  <c r="AE216" i="1"/>
  <c r="AE232" i="1"/>
  <c r="AE248" i="1"/>
  <c r="AE130" i="1"/>
  <c r="AE194" i="1"/>
  <c r="AE258" i="1"/>
  <c r="AE230" i="1"/>
  <c r="AE170" i="1"/>
  <c r="AE142" i="1"/>
  <c r="AE266" i="1"/>
  <c r="AE166" i="1"/>
  <c r="AE270" i="1"/>
  <c r="AE250" i="1"/>
  <c r="AE222" i="1"/>
  <c r="AF286" i="1"/>
  <c r="AJ296" i="1"/>
  <c r="AH307" i="1"/>
  <c r="AF318" i="1"/>
  <c r="AJ328" i="1"/>
  <c r="AH339" i="1"/>
  <c r="AJ293" i="1"/>
  <c r="AE308" i="1"/>
  <c r="AG322" i="1"/>
  <c r="AH336" i="1"/>
  <c r="AG291" i="1"/>
  <c r="AI305" i="1"/>
  <c r="AF290" i="1"/>
  <c r="AJ300" i="1"/>
  <c r="AH311" i="1"/>
  <c r="AF322" i="1"/>
  <c r="AJ332" i="1"/>
  <c r="AE285" i="1"/>
  <c r="AF299" i="1"/>
  <c r="AG313" i="1"/>
  <c r="AI327" i="1"/>
  <c r="AH282" i="1"/>
  <c r="AI296" i="1"/>
  <c r="AE311" i="1"/>
  <c r="AF325" i="1"/>
  <c r="AG339" i="1"/>
  <c r="AG293" i="1"/>
  <c r="AI307" i="1"/>
  <c r="AJ321" i="1"/>
  <c r="AE336" i="1"/>
  <c r="AE290" i="1"/>
  <c r="AG304" i="1"/>
  <c r="AH318" i="1"/>
  <c r="AI332" i="1"/>
  <c r="AH289" i="1"/>
  <c r="AJ310" i="1"/>
  <c r="AF332" i="1"/>
  <c r="AG298" i="1"/>
  <c r="AI326" i="1"/>
  <c r="AJ295" i="1"/>
  <c r="AF296" i="1"/>
  <c r="AF324" i="1"/>
  <c r="AH296" i="1"/>
  <c r="AI335" i="1"/>
  <c r="AE310" i="1"/>
  <c r="AI329" i="1"/>
  <c r="AE288" i="1"/>
  <c r="AI306" i="1"/>
  <c r="AG326" i="1"/>
  <c r="AI284" i="1"/>
  <c r="AG303" i="1"/>
  <c r="AE323" i="1"/>
  <c r="AH285" i="1"/>
  <c r="AF328" i="1"/>
  <c r="AG321" i="1"/>
  <c r="AF317" i="1"/>
  <c r="AI290" i="1"/>
  <c r="AI323" i="1"/>
  <c r="AE306" i="1"/>
  <c r="AF280" i="1"/>
  <c r="AF336" i="1"/>
  <c r="AF301" i="1"/>
  <c r="AJ281" i="1"/>
  <c r="AI315" i="1"/>
  <c r="AH302" i="1"/>
  <c r="AG335" i="1"/>
  <c r="AF304" i="1"/>
  <c r="AH333" i="1"/>
  <c r="AE309" i="1"/>
  <c r="AE287" i="1"/>
  <c r="AG316" i="1"/>
  <c r="AE335" i="1"/>
  <c r="AG294" i="1"/>
  <c r="AE313" i="1"/>
  <c r="AI331" i="1"/>
  <c r="AE291" i="1"/>
  <c r="AI309" i="1"/>
  <c r="AG328" i="1"/>
  <c r="AH313" i="1"/>
  <c r="AG299" i="1"/>
  <c r="AG285" i="1"/>
  <c r="AE328" i="1"/>
  <c r="AI301" i="1"/>
  <c r="AE339" i="1"/>
  <c r="AH329" i="1"/>
  <c r="AE332" i="1"/>
  <c r="AJ327" i="1"/>
  <c r="AG310" i="1"/>
  <c r="AJ283" i="1"/>
  <c r="AI316" i="1"/>
  <c r="AF16" i="1"/>
  <c r="AI21" i="1"/>
  <c r="AF28" i="1"/>
  <c r="AI33" i="1"/>
  <c r="AH38" i="1"/>
  <c r="AJ44" i="1"/>
  <c r="AH50" i="1"/>
  <c r="AF56" i="1"/>
  <c r="AH62" i="1"/>
  <c r="AG67" i="1"/>
  <c r="AJ72" i="1"/>
  <c r="AG79" i="1"/>
  <c r="AJ84" i="1"/>
  <c r="AI89" i="1"/>
  <c r="AH20" i="1"/>
  <c r="AF26" i="1"/>
  <c r="AI31" i="1"/>
  <c r="AF38" i="1"/>
  <c r="AJ42" i="1"/>
  <c r="AH48" i="1"/>
  <c r="AJ54" i="1"/>
  <c r="AH60" i="1"/>
  <c r="AG65" i="1"/>
  <c r="AI71" i="1"/>
  <c r="AG77" i="1"/>
  <c r="AJ82" i="1"/>
  <c r="AG89" i="1"/>
  <c r="AF94" i="1"/>
  <c r="AI99" i="1"/>
  <c r="AF106" i="1"/>
  <c r="AI111" i="1"/>
  <c r="AH116" i="1"/>
  <c r="AJ25" i="1"/>
  <c r="AF37" i="1"/>
  <c r="AG48" i="1"/>
  <c r="AF61" i="1"/>
  <c r="AI70" i="1"/>
  <c r="AJ81" i="1"/>
  <c r="AI93" i="1"/>
  <c r="AF101" i="1"/>
  <c r="AH107" i="1"/>
  <c r="AF116" i="1"/>
  <c r="AF122" i="1"/>
  <c r="AI127" i="1"/>
  <c r="AF134" i="1"/>
  <c r="AJ138" i="1"/>
  <c r="AH144" i="1"/>
  <c r="AJ150" i="1"/>
  <c r="AH156" i="1"/>
  <c r="AG161" i="1"/>
  <c r="AG28" i="1"/>
  <c r="AH39" i="1"/>
  <c r="AI50" i="1"/>
  <c r="AH63" i="1"/>
  <c r="AF73" i="1"/>
  <c r="AG84" i="1"/>
  <c r="AG95" i="1"/>
  <c r="AI102" i="1"/>
  <c r="AF109" i="1"/>
  <c r="AI117" i="1"/>
  <c r="AG123" i="1"/>
  <c r="AJ128" i="1"/>
  <c r="AG135" i="1"/>
  <c r="AF140" i="1"/>
  <c r="AI145" i="1"/>
  <c r="AF152" i="1"/>
  <c r="AI157" i="1"/>
  <c r="AH162" i="1"/>
  <c r="AJ168" i="1"/>
  <c r="AH174" i="1"/>
  <c r="AF180" i="1"/>
  <c r="AH186" i="1"/>
  <c r="AH190" i="1"/>
  <c r="AH194" i="1"/>
  <c r="AG199" i="1"/>
  <c r="AG203" i="1"/>
  <c r="AG207" i="1"/>
  <c r="AI16" i="1"/>
  <c r="AI32" i="1"/>
  <c r="AI48" i="1"/>
  <c r="AJ67" i="1"/>
  <c r="AJ83" i="1"/>
  <c r="AF97" i="1"/>
  <c r="AJ109" i="1"/>
  <c r="AJ119" i="1"/>
  <c r="AJ127" i="1"/>
  <c r="AH137" i="1"/>
  <c r="AH145" i="1"/>
  <c r="AH153" i="1"/>
  <c r="AI162" i="1"/>
  <c r="AJ167" i="1"/>
  <c r="AG173" i="1"/>
  <c r="AI179" i="1"/>
  <c r="AF185" i="1"/>
  <c r="AG190" i="1"/>
  <c r="AI196" i="1"/>
  <c r="AF202" i="1"/>
  <c r="AH207" i="1"/>
  <c r="AG213" i="1"/>
  <c r="AG217" i="1"/>
  <c r="AG221" i="1"/>
  <c r="AF226" i="1"/>
  <c r="AF230" i="1"/>
  <c r="AF234" i="1"/>
  <c r="AJ238" i="1"/>
  <c r="AJ242" i="1"/>
  <c r="AJ246" i="1"/>
  <c r="AI251" i="1"/>
  <c r="AI255" i="1"/>
  <c r="AI259" i="1"/>
  <c r="AH264" i="1"/>
  <c r="AH268" i="1"/>
  <c r="AH272" i="1"/>
  <c r="AG277" i="1"/>
  <c r="AI20" i="1"/>
  <c r="AI36" i="1"/>
  <c r="AJ55" i="1"/>
  <c r="AJ71" i="1"/>
  <c r="AJ87" i="1"/>
  <c r="AJ101" i="1"/>
  <c r="AI112" i="1"/>
  <c r="AG19" i="1"/>
  <c r="AH30" i="1"/>
  <c r="AI41" i="1"/>
  <c r="AI53" i="1"/>
  <c r="AF64" i="1"/>
  <c r="AF76" i="1"/>
  <c r="AF88" i="1"/>
  <c r="AJ22" i="1"/>
  <c r="AJ34" i="1"/>
  <c r="AF46" i="1"/>
  <c r="AG57" i="1"/>
  <c r="AH68" i="1"/>
  <c r="AH80" i="1"/>
  <c r="AJ90" i="1"/>
  <c r="AJ102" i="1"/>
  <c r="AJ114" i="1"/>
  <c r="AI30" i="1"/>
  <c r="AI54" i="1"/>
  <c r="AF77" i="1"/>
  <c r="AJ96" i="1"/>
  <c r="AJ111" i="1"/>
  <c r="AG125" i="1"/>
  <c r="AI135" i="1"/>
  <c r="AI147" i="1"/>
  <c r="AI159" i="1"/>
  <c r="AF33" i="1"/>
  <c r="AF57" i="1"/>
  <c r="AH79" i="1"/>
  <c r="AH98" i="1"/>
  <c r="AH113" i="1"/>
  <c r="AH126" i="1"/>
  <c r="AJ136" i="1"/>
  <c r="AJ148" i="1"/>
  <c r="AJ160" i="1"/>
  <c r="AG171" i="1"/>
  <c r="AG183" i="1"/>
  <c r="AJ192" i="1"/>
  <c r="AJ200" i="1"/>
  <c r="AI209" i="1"/>
  <c r="AG42" i="1"/>
  <c r="AG74" i="1"/>
  <c r="AH103" i="1"/>
  <c r="AI124" i="1"/>
  <c r="AI140" i="1"/>
  <c r="AG158" i="1"/>
  <c r="AF171" i="1"/>
  <c r="AJ181" i="1"/>
  <c r="AH193" i="1"/>
  <c r="AG205" i="1"/>
  <c r="AJ214" i="1"/>
  <c r="AI223" i="1"/>
  <c r="AH232" i="1"/>
  <c r="AH240" i="1"/>
  <c r="AG249" i="1"/>
  <c r="AF258" i="1"/>
  <c r="AF266" i="1"/>
  <c r="AJ274" i="1"/>
  <c r="AG30" i="1"/>
  <c r="AG62" i="1"/>
  <c r="AH95" i="1"/>
  <c r="AI118" i="1"/>
  <c r="AH131" i="1"/>
  <c r="AF141" i="1"/>
  <c r="AG152" i="1"/>
  <c r="AH37" i="1"/>
  <c r="AJ59" i="1"/>
  <c r="AF79" i="1"/>
  <c r="AG100" i="1"/>
  <c r="AG115" i="1"/>
  <c r="AF83" i="1"/>
  <c r="AJ131" i="1"/>
  <c r="AF151" i="1"/>
  <c r="AG165" i="1"/>
  <c r="AI176" i="1"/>
  <c r="AI186" i="1"/>
  <c r="AF195" i="1"/>
  <c r="AI206" i="1"/>
  <c r="AG215" i="1"/>
  <c r="AI222" i="1"/>
  <c r="AG231" i="1"/>
  <c r="AI237" i="1"/>
  <c r="AF245" i="1"/>
  <c r="AI253" i="1"/>
  <c r="AF261" i="1"/>
  <c r="AH267" i="1"/>
  <c r="AF276" i="1"/>
  <c r="AI60" i="1"/>
  <c r="AI122" i="1"/>
  <c r="AG148" i="1"/>
  <c r="AJ162" i="1"/>
  <c r="AI172" i="1"/>
  <c r="AG184" i="1"/>
  <c r="AF194" i="1"/>
  <c r="AI202" i="1"/>
  <c r="AH213" i="1"/>
  <c r="AJ220" i="1"/>
  <c r="AG228" i="1"/>
  <c r="AJ236" i="1"/>
  <c r="AG243" i="1"/>
  <c r="AI250" i="1"/>
  <c r="AG259" i="1"/>
  <c r="AI266" i="1"/>
  <c r="AF273" i="1"/>
  <c r="AG38" i="1"/>
  <c r="AJ115" i="1"/>
  <c r="AJ139" i="1"/>
  <c r="AJ161" i="1"/>
  <c r="AG170" i="1"/>
  <c r="AG180" i="1"/>
  <c r="AI191" i="1"/>
  <c r="AH201" i="1"/>
  <c r="AF210" i="1"/>
  <c r="AF219" i="1"/>
  <c r="AH226" i="1"/>
  <c r="AJ231" i="1"/>
  <c r="AG238" i="1"/>
  <c r="AH243" i="1"/>
  <c r="AJ248" i="1"/>
  <c r="AG255" i="1"/>
  <c r="AI260" i="1"/>
  <c r="AJ265" i="1"/>
  <c r="AG272" i="1"/>
  <c r="AI277" i="1"/>
  <c r="AG54" i="1"/>
  <c r="AJ117" i="1"/>
  <c r="AJ133" i="1"/>
  <c r="AJ149" i="1"/>
  <c r="AH163" i="1"/>
  <c r="AI170" i="1"/>
  <c r="AJ177" i="1"/>
  <c r="AG186" i="1"/>
  <c r="AG193" i="1"/>
  <c r="AH200" i="1"/>
  <c r="AF209" i="1"/>
  <c r="AF215" i="1"/>
  <c r="AG220" i="1"/>
  <c r="AI226" i="1"/>
  <c r="AF232" i="1"/>
  <c r="AH237" i="1"/>
  <c r="AJ243" i="1"/>
  <c r="AF249" i="1"/>
  <c r="AH254" i="1"/>
  <c r="AJ260" i="1"/>
  <c r="AG266" i="1"/>
  <c r="AH271" i="1"/>
  <c r="AJ277" i="1"/>
  <c r="AE29" i="1"/>
  <c r="AE49" i="1"/>
  <c r="AE73" i="1"/>
  <c r="AE93" i="1"/>
  <c r="AE113" i="1"/>
  <c r="AE137" i="1"/>
  <c r="AE157" i="1"/>
  <c r="AE177" i="1"/>
  <c r="AE201" i="1"/>
  <c r="AE221" i="1"/>
  <c r="AE241" i="1"/>
  <c r="AE265" i="1"/>
  <c r="AE22" i="1"/>
  <c r="AE42" i="1"/>
  <c r="AE66" i="1"/>
  <c r="AE86" i="1"/>
  <c r="AE106" i="1"/>
  <c r="AE19" i="1"/>
  <c r="AE39" i="1"/>
  <c r="AE59" i="1"/>
  <c r="AE83" i="1"/>
  <c r="AE103" i="1"/>
  <c r="AE123" i="1"/>
  <c r="AE147" i="1"/>
  <c r="AE167" i="1"/>
  <c r="AE187" i="1"/>
  <c r="AE211" i="1"/>
  <c r="AE231" i="1"/>
  <c r="AE251" i="1"/>
  <c r="AE275" i="1"/>
  <c r="AE32" i="1"/>
  <c r="AE52" i="1"/>
  <c r="AE76" i="1"/>
  <c r="AE96" i="1"/>
  <c r="AE116" i="1"/>
  <c r="AE140" i="1"/>
  <c r="AE160" i="1"/>
  <c r="AE180" i="1"/>
  <c r="AE204" i="1"/>
  <c r="AE224" i="1"/>
  <c r="AE244" i="1"/>
  <c r="AE146" i="1"/>
  <c r="AE226" i="1"/>
  <c r="AE198" i="1"/>
  <c r="AE202" i="1"/>
  <c r="AE206" i="1"/>
  <c r="AE150" i="1"/>
  <c r="AE154" i="1"/>
  <c r="AE158" i="1"/>
  <c r="AH283" i="1"/>
  <c r="AH299" i="1"/>
  <c r="AJ312" i="1"/>
  <c r="AF326" i="1"/>
  <c r="AF283" i="1"/>
  <c r="AE301" i="1"/>
  <c r="AI318" i="1"/>
  <c r="AI280" i="1"/>
  <c r="AH298" i="1"/>
  <c r="AH287" i="1"/>
  <c r="AH303" i="1"/>
  <c r="AJ316" i="1"/>
  <c r="AF330" i="1"/>
  <c r="AH288" i="1"/>
  <c r="AG306" i="1"/>
  <c r="AE324" i="1"/>
  <c r="AE286" i="1"/>
  <c r="AJ303" i="1"/>
  <c r="AI321" i="1"/>
  <c r="AI282" i="1"/>
  <c r="AH300" i="1"/>
  <c r="AG318" i="1"/>
  <c r="AI339" i="1"/>
  <c r="AF297" i="1"/>
  <c r="AE315" i="1"/>
  <c r="AG336" i="1"/>
  <c r="AF300" i="1"/>
  <c r="AJ326" i="1"/>
  <c r="AG305" i="1"/>
  <c r="AI281" i="1"/>
  <c r="AF288" i="1"/>
  <c r="AJ330" i="1"/>
  <c r="AE316" i="1"/>
  <c r="AI304" i="1"/>
  <c r="AE334" i="1"/>
  <c r="AJ297" i="1"/>
  <c r="AE321" i="1"/>
  <c r="AF289" i="1"/>
  <c r="AF313" i="1"/>
  <c r="AF337" i="1"/>
  <c r="AG282" i="1"/>
  <c r="AH290" i="1"/>
  <c r="AE281" i="1"/>
  <c r="AG333" i="1"/>
  <c r="AI324" i="1"/>
  <c r="AJ322" i="1"/>
  <c r="AI313" i="1"/>
  <c r="AE296" i="1"/>
  <c r="AI292" i="1"/>
  <c r="AJ282" i="1"/>
  <c r="AJ318" i="1"/>
  <c r="AE300" i="1"/>
  <c r="AI297" i="1"/>
  <c r="AE326" i="1"/>
  <c r="AE289" i="1"/>
  <c r="AG317" i="1"/>
  <c r="AF281" i="1"/>
  <c r="AF305" i="1"/>
  <c r="AI333" i="1"/>
  <c r="AJ301" i="1"/>
  <c r="AI336" i="1"/>
  <c r="AJ337" i="1"/>
  <c r="AG320" i="1"/>
  <c r="AJ314" i="1"/>
  <c r="AG292" i="1"/>
  <c r="AI291" i="1"/>
  <c r="AG334" i="1"/>
  <c r="AH326" i="1"/>
  <c r="AF24" i="1"/>
  <c r="AH34" i="1"/>
  <c r="AH46" i="1"/>
  <c r="AI57" i="1"/>
  <c r="AJ68" i="1"/>
  <c r="AF80" i="1"/>
  <c r="AH16" i="1"/>
  <c r="AJ26" i="1"/>
  <c r="AJ38" i="1"/>
  <c r="AJ50" i="1"/>
  <c r="AG61" i="1"/>
  <c r="AG73" i="1"/>
  <c r="AH84" i="1"/>
  <c r="AI95" i="1"/>
  <c r="AJ106" i="1"/>
  <c r="AJ17" i="1"/>
  <c r="AI38" i="1"/>
  <c r="AI62" i="1"/>
  <c r="AI86" i="1"/>
  <c r="AG102" i="1"/>
  <c r="AF118" i="1"/>
  <c r="AG129" i="1"/>
  <c r="AH140" i="1"/>
  <c r="AI151" i="1"/>
  <c r="AG20" i="1"/>
  <c r="AF41" i="1"/>
  <c r="AF65" i="1"/>
  <c r="AF89" i="1"/>
  <c r="AJ103" i="1"/>
  <c r="AG119" i="1"/>
  <c r="AH130" i="1"/>
  <c r="AI141" i="1"/>
  <c r="AJ152" i="1"/>
  <c r="AJ164" i="1"/>
  <c r="AG175" i="1"/>
  <c r="AG187" i="1"/>
  <c r="AF196" i="1"/>
  <c r="AF204" i="1"/>
  <c r="AJ19" i="1"/>
  <c r="AF55" i="1"/>
  <c r="AF87" i="1"/>
  <c r="AF112" i="1"/>
  <c r="AF131" i="1"/>
  <c r="AF147" i="1"/>
  <c r="AI163" i="1"/>
  <c r="AH175" i="1"/>
  <c r="AF186" i="1"/>
  <c r="AJ197" i="1"/>
  <c r="AH209" i="1"/>
  <c r="AF218" i="1"/>
  <c r="AJ226" i="1"/>
  <c r="AI235" i="1"/>
  <c r="AI243" i="1"/>
  <c r="AH252" i="1"/>
  <c r="AG261" i="1"/>
  <c r="AG269" i="1"/>
  <c r="AF278" i="1"/>
  <c r="AF43" i="1"/>
  <c r="AF75" i="1"/>
  <c r="AF104" i="1"/>
  <c r="AJ121" i="1"/>
  <c r="AF133" i="1"/>
  <c r="AG144" i="1"/>
  <c r="AH21" i="1"/>
  <c r="AI40" i="1"/>
  <c r="AF63" i="1"/>
  <c r="AI88" i="1"/>
  <c r="AI104" i="1"/>
  <c r="AH117" i="1"/>
  <c r="AF103" i="1"/>
  <c r="AF135" i="1"/>
  <c r="AG156" i="1"/>
  <c r="AH169" i="1"/>
  <c r="AF178" i="1"/>
  <c r="AJ187" i="1"/>
  <c r="AH199" i="1"/>
  <c r="AG209" i="1"/>
  <c r="AG216" i="1"/>
  <c r="AJ224" i="1"/>
  <c r="AG232" i="1"/>
  <c r="AJ239" i="1"/>
  <c r="AG248" i="1"/>
  <c r="AI254" i="1"/>
  <c r="AG262" i="1"/>
  <c r="AI270" i="1"/>
  <c r="AG278" i="1"/>
  <c r="AH73" i="1"/>
  <c r="AF129" i="1"/>
  <c r="AH151" i="1"/>
  <c r="AH165" i="1"/>
  <c r="AF177" i="1"/>
  <c r="AH185" i="1"/>
  <c r="AH195" i="1"/>
  <c r="AJ206" i="1"/>
  <c r="AH215" i="1"/>
  <c r="AJ221" i="1"/>
  <c r="AH230" i="1"/>
  <c r="AJ237" i="1"/>
  <c r="AH245" i="1"/>
  <c r="AJ253" i="1"/>
  <c r="AG260" i="1"/>
  <c r="AJ267" i="1"/>
  <c r="AG276" i="1"/>
  <c r="AJ63" i="1"/>
  <c r="AI120" i="1"/>
  <c r="AG146" i="1"/>
  <c r="AF163" i="1"/>
  <c r="AF173" i="1"/>
  <c r="AH184" i="1"/>
  <c r="AF193" i="1"/>
  <c r="AJ202" i="1"/>
  <c r="AI213" i="1"/>
  <c r="AF221" i="1"/>
  <c r="AH227" i="1"/>
  <c r="AJ233" i="1"/>
  <c r="AG239" i="1"/>
  <c r="AI244" i="1"/>
  <c r="AF251" i="1"/>
  <c r="AG256" i="1"/>
  <c r="AI261" i="1"/>
  <c r="AF268" i="1"/>
  <c r="AH273" i="1"/>
  <c r="AI278" i="1"/>
  <c r="AJ79" i="1"/>
  <c r="AF121" i="1"/>
  <c r="AF137" i="1"/>
  <c r="AJ155" i="1"/>
  <c r="AF165" i="1"/>
  <c r="AJ171" i="1"/>
  <c r="AH180" i="1"/>
  <c r="AI187" i="1"/>
  <c r="AJ194" i="1"/>
  <c r="AH203" i="1"/>
  <c r="AG210" i="1"/>
  <c r="AF216" i="1"/>
  <c r="AH222" i="1"/>
  <c r="AJ227" i="1"/>
  <c r="AF233" i="1"/>
  <c r="AH239" i="1"/>
  <c r="AJ244" i="1"/>
  <c r="AG250" i="1"/>
  <c r="AI256" i="1"/>
  <c r="AJ261" i="1"/>
  <c r="AG267" i="1"/>
  <c r="AI273" i="1"/>
  <c r="AF279" i="1"/>
  <c r="AE33" i="1"/>
  <c r="AE57" i="1"/>
  <c r="AE77" i="1"/>
  <c r="AE97" i="1"/>
  <c r="AE121" i="1"/>
  <c r="AE141" i="1"/>
  <c r="AE161" i="1"/>
  <c r="AE185" i="1"/>
  <c r="AE205" i="1"/>
  <c r="AE225" i="1"/>
  <c r="AE249" i="1"/>
  <c r="AE269" i="1"/>
  <c r="AE26" i="1"/>
  <c r="AE50" i="1"/>
  <c r="AE70" i="1"/>
  <c r="AE90" i="1"/>
  <c r="AE114" i="1"/>
  <c r="AE23" i="1"/>
  <c r="AE43" i="1"/>
  <c r="AE67" i="1"/>
  <c r="AE87" i="1"/>
  <c r="AE107" i="1"/>
  <c r="AE131" i="1"/>
  <c r="AE151" i="1"/>
  <c r="AE171" i="1"/>
  <c r="AE195" i="1"/>
  <c r="AE215" i="1"/>
  <c r="AE235" i="1"/>
  <c r="AE259" i="1"/>
  <c r="AE279" i="1"/>
  <c r="AE36" i="1"/>
  <c r="AE60" i="1"/>
  <c r="AE80" i="1"/>
  <c r="AE100" i="1"/>
  <c r="AE124" i="1"/>
  <c r="AE144" i="1"/>
  <c r="AE164" i="1"/>
  <c r="AE188" i="1"/>
  <c r="AE208" i="1"/>
  <c r="AE228" i="1"/>
  <c r="AE252" i="1"/>
  <c r="AE162" i="1"/>
  <c r="AE242" i="1"/>
  <c r="AE262" i="1"/>
  <c r="AE234" i="1"/>
  <c r="AE238" i="1"/>
  <c r="AE182" i="1"/>
  <c r="AE186" i="1"/>
  <c r="AE190" i="1"/>
  <c r="AJ288" i="1"/>
  <c r="AF302" i="1"/>
  <c r="AH315" i="1"/>
  <c r="AH331" i="1"/>
  <c r="AI286" i="1"/>
  <c r="AH304" i="1"/>
  <c r="AJ325" i="1"/>
  <c r="AG284" i="1"/>
  <c r="AE302" i="1"/>
  <c r="AJ292" i="1"/>
  <c r="AF306" i="1"/>
  <c r="AH319" i="1"/>
  <c r="AH335" i="1"/>
  <c r="AE292" i="1"/>
  <c r="AJ309" i="1"/>
  <c r="AF331" i="1"/>
  <c r="AI289" i="1"/>
  <c r="AG307" i="1"/>
  <c r="AI328" i="1"/>
  <c r="AG286" i="1"/>
  <c r="AE304" i="1"/>
  <c r="AG325" i="1"/>
  <c r="AE283" i="1"/>
  <c r="AI300" i="1"/>
  <c r="AE322" i="1"/>
  <c r="AJ339" i="1"/>
  <c r="AH305" i="1"/>
  <c r="AH337" i="1"/>
  <c r="AH312" i="1"/>
  <c r="AI288" i="1"/>
  <c r="AJ302" i="1"/>
  <c r="AJ338" i="1"/>
  <c r="AE325" i="1"/>
  <c r="AG315" i="1"/>
  <c r="AH338" i="1"/>
  <c r="AG302" i="1"/>
  <c r="AI330" i="1"/>
  <c r="AH294" i="1"/>
  <c r="AI317" i="1"/>
  <c r="AJ298" i="1"/>
  <c r="AE293" i="1"/>
  <c r="AG308" i="1"/>
  <c r="AF295" i="1"/>
  <c r="AE282" i="1"/>
  <c r="AH334" i="1"/>
  <c r="AI294" i="1"/>
  <c r="AG323" i="1"/>
  <c r="AJ305" i="1"/>
  <c r="AG312" i="1"/>
  <c r="AJ290" i="1"/>
  <c r="AH325" i="1"/>
  <c r="AJ317" i="1"/>
  <c r="AH306" i="1"/>
  <c r="AH330" i="1"/>
  <c r="AI298" i="1"/>
  <c r="AI322" i="1"/>
  <c r="AI285" i="1"/>
  <c r="AE314" i="1"/>
  <c r="AE338" i="1"/>
  <c r="AG330" i="1"/>
  <c r="AI299" i="1"/>
  <c r="AG287" i="1"/>
  <c r="AE330" i="1"/>
  <c r="AJ285" i="1"/>
  <c r="AF309" i="1"/>
  <c r="AG301" i="1"/>
  <c r="AG288" i="1"/>
  <c r="AJ24" i="1"/>
  <c r="AJ36" i="1"/>
  <c r="AG47" i="1"/>
  <c r="AG59" i="1"/>
  <c r="AH70" i="1"/>
  <c r="AI81" i="1"/>
  <c r="AG17" i="1"/>
  <c r="AG29" i="1"/>
  <c r="AI39" i="1"/>
  <c r="AI51" i="1"/>
  <c r="AI63" i="1"/>
  <c r="AF74" i="1"/>
  <c r="AF86" i="1"/>
  <c r="AG97" i="1"/>
  <c r="AH108" i="1"/>
  <c r="AH19" i="1"/>
  <c r="AH43" i="1"/>
  <c r="AG64" i="1"/>
  <c r="AG88" i="1"/>
  <c r="AH105" i="1"/>
  <c r="AJ118" i="1"/>
  <c r="AJ130" i="1"/>
  <c r="AF142" i="1"/>
  <c r="AG153" i="1"/>
  <c r="AJ21" i="1"/>
  <c r="AJ45" i="1"/>
  <c r="AI66" i="1"/>
  <c r="AI90" i="1"/>
  <c r="AF107" i="1"/>
  <c r="AF120" i="1"/>
  <c r="AF132" i="1"/>
  <c r="AG143" i="1"/>
  <c r="AH154" i="1"/>
  <c r="AI165" i="1"/>
  <c r="AI177" i="1"/>
  <c r="AF188" i="1"/>
  <c r="AJ196" i="1"/>
  <c r="AI205" i="1"/>
  <c r="AF23" i="1"/>
  <c r="AG58" i="1"/>
  <c r="AJ92" i="1"/>
  <c r="AG114" i="1"/>
  <c r="AI132" i="1"/>
  <c r="AG150" i="1"/>
  <c r="AI164" i="1"/>
  <c r="AH176" i="1"/>
  <c r="AG188" i="1"/>
  <c r="AJ198" i="1"/>
  <c r="AI210" i="1"/>
  <c r="AI219" i="1"/>
  <c r="AI227" i="1"/>
  <c r="AH236" i="1"/>
  <c r="AG245" i="1"/>
  <c r="AG253" i="1"/>
  <c r="AF262" i="1"/>
  <c r="AJ270" i="1"/>
  <c r="AJ278" i="1"/>
  <c r="AG46" i="1"/>
  <c r="AH81" i="1"/>
  <c r="AG106" i="1"/>
  <c r="AF125" i="1"/>
  <c r="AI134" i="1"/>
  <c r="AH147" i="1"/>
  <c r="AI24" i="1"/>
  <c r="AF47" i="1"/>
  <c r="AI72" i="1"/>
  <c r="AJ91" i="1"/>
  <c r="AI106" i="1"/>
  <c r="AI44" i="1"/>
  <c r="AF119" i="1"/>
  <c r="AG138" i="1"/>
  <c r="AI160" i="1"/>
  <c r="AJ170" i="1"/>
  <c r="AF181" i="1"/>
  <c r="AG192" i="1"/>
  <c r="AI200" i="1"/>
  <c r="AJ210" i="1"/>
  <c r="AH219" i="1"/>
  <c r="AF227" i="1"/>
  <c r="AH233" i="1"/>
  <c r="AJ241" i="1"/>
  <c r="AH249" i="1"/>
  <c r="AJ256" i="1"/>
  <c r="AH265" i="1"/>
  <c r="AJ271" i="1"/>
  <c r="AG279" i="1"/>
  <c r="AF105" i="1"/>
  <c r="AH135" i="1"/>
  <c r="AI154" i="1"/>
  <c r="AH168" i="1"/>
  <c r="AG178" i="1"/>
  <c r="AH188" i="1"/>
  <c r="AI199" i="1"/>
  <c r="AG208" i="1"/>
  <c r="AI216" i="1"/>
  <c r="AF225" i="1"/>
  <c r="AI232" i="1"/>
  <c r="AF239" i="1"/>
  <c r="AH247" i="1"/>
  <c r="AF255" i="1"/>
  <c r="AH262" i="1"/>
  <c r="AF271" i="1"/>
  <c r="AH277" i="1"/>
  <c r="AI76" i="1"/>
  <c r="AG130" i="1"/>
  <c r="AI152" i="1"/>
  <c r="AH164" i="1"/>
  <c r="AJ175" i="1"/>
  <c r="AJ185" i="1"/>
  <c r="AJ195" i="1"/>
  <c r="AF207" i="1"/>
  <c r="AI214" i="1"/>
  <c r="AG222" i="1"/>
  <c r="AI229" i="1"/>
  <c r="AF235" i="1"/>
  <c r="AG240" i="1"/>
  <c r="AI246" i="1"/>
  <c r="AF252" i="1"/>
  <c r="AH257" i="1"/>
  <c r="AJ263" i="1"/>
  <c r="AF269" i="1"/>
  <c r="AH274" i="1"/>
  <c r="AI28" i="1"/>
  <c r="AG92" i="1"/>
  <c r="AG124" i="1"/>
  <c r="AH143" i="1"/>
  <c r="AJ157" i="1"/>
  <c r="AG166" i="1"/>
  <c r="AJ174" i="1"/>
  <c r="AF182" i="1"/>
  <c r="AF189" i="1"/>
  <c r="AH197" i="1"/>
  <c r="AI204" i="1"/>
  <c r="AJ211" i="1"/>
  <c r="AG218" i="1"/>
  <c r="AH223" i="1"/>
  <c r="AJ228" i="1"/>
  <c r="AG235" i="1"/>
  <c r="AI240" i="1"/>
  <c r="AJ245" i="1"/>
  <c r="AG252" i="1"/>
  <c r="AI257" i="1"/>
  <c r="AF263" i="1"/>
  <c r="AH269" i="1"/>
  <c r="AI274" i="1"/>
  <c r="AE17" i="1"/>
  <c r="AE41" i="1"/>
  <c r="AE61" i="1"/>
  <c r="AE81" i="1"/>
  <c r="AE105" i="1"/>
  <c r="AE125" i="1"/>
  <c r="AE145" i="1"/>
  <c r="AE169" i="1"/>
  <c r="AE189" i="1"/>
  <c r="AE209" i="1"/>
  <c r="AE233" i="1"/>
  <c r="AE253" i="1"/>
  <c r="AE273" i="1"/>
  <c r="AE34" i="1"/>
  <c r="AE54" i="1"/>
  <c r="AE74" i="1"/>
  <c r="AE98" i="1"/>
  <c r="AE118" i="1"/>
  <c r="AE27" i="1"/>
  <c r="AE51" i="1"/>
  <c r="AE71" i="1"/>
  <c r="AE91" i="1"/>
  <c r="AE115" i="1"/>
  <c r="AE135" i="1"/>
  <c r="AE155" i="1"/>
  <c r="AE179" i="1"/>
  <c r="AE199" i="1"/>
  <c r="AE219" i="1"/>
  <c r="AE243" i="1"/>
  <c r="AE263" i="1"/>
  <c r="AE20" i="1"/>
  <c r="AE44" i="1"/>
  <c r="AE64" i="1"/>
  <c r="AE84" i="1"/>
  <c r="AE108" i="1"/>
  <c r="AE128" i="1"/>
  <c r="AE148" i="1"/>
  <c r="AE172" i="1"/>
  <c r="AE192" i="1"/>
  <c r="AE212" i="1"/>
  <c r="AE236" i="1"/>
  <c r="AE256" i="1"/>
  <c r="AE178" i="1"/>
  <c r="AE268" i="1"/>
  <c r="AE278" i="1"/>
  <c r="AE272" i="1"/>
  <c r="AE274" i="1"/>
  <c r="AE214" i="1"/>
  <c r="AE218" i="1"/>
  <c r="AE254" i="1"/>
  <c r="AH291" i="1"/>
  <c r="AJ304" i="1"/>
  <c r="AJ320" i="1"/>
  <c r="AF334" i="1"/>
  <c r="AG290" i="1"/>
  <c r="AI311" i="1"/>
  <c r="AG329" i="1"/>
  <c r="AJ287" i="1"/>
  <c r="AF282" i="1"/>
  <c r="AH295" i="1"/>
  <c r="AJ308" i="1"/>
  <c r="AJ324" i="1"/>
  <c r="AF338" i="1"/>
  <c r="AI295" i="1"/>
  <c r="AE317" i="1"/>
  <c r="AI334" i="1"/>
  <c r="AF293" i="1"/>
  <c r="AH314" i="1"/>
  <c r="AG332" i="1"/>
  <c r="AJ289" i="1"/>
  <c r="AF311" i="1"/>
  <c r="AE329" i="1"/>
  <c r="AH286" i="1"/>
  <c r="AJ307" i="1"/>
  <c r="AI325" i="1"/>
  <c r="AF284" i="1"/>
  <c r="AF316" i="1"/>
  <c r="AE284" i="1"/>
  <c r="AI319" i="1"/>
  <c r="AE303" i="1"/>
  <c r="AH309" i="1"/>
  <c r="AI287" i="1"/>
  <c r="AF285" i="1"/>
  <c r="AJ319" i="1"/>
  <c r="AI283" i="1"/>
  <c r="AE312" i="1"/>
  <c r="AF335" i="1"/>
  <c r="AE299" i="1"/>
  <c r="AG327" i="1"/>
  <c r="AJ306" i="1"/>
  <c r="AI310" i="1"/>
  <c r="AH322" i="1"/>
  <c r="AE305" i="1"/>
  <c r="AG296" i="1"/>
  <c r="AH293" i="1"/>
  <c r="AG314" i="1"/>
  <c r="AF333" i="1"/>
  <c r="AH324" i="1"/>
  <c r="AF321" i="1"/>
  <c r="AH297" i="1"/>
  <c r="AH280" i="1"/>
  <c r="AH328" i="1"/>
  <c r="AJ311" i="1"/>
  <c r="AE280" i="1"/>
  <c r="AF303" i="1"/>
  <c r="AF327" i="1"/>
  <c r="AG295" i="1"/>
  <c r="AG319" i="1"/>
  <c r="AF292" i="1"/>
  <c r="AI312" i="1"/>
  <c r="AG309" i="1"/>
  <c r="AJ291" i="1"/>
  <c r="AJ286" i="1"/>
  <c r="AI303" i="1"/>
  <c r="AE319" i="1"/>
  <c r="AE320" i="1"/>
  <c r="AE298" i="1"/>
  <c r="AI17" i="1"/>
  <c r="AJ28" i="1"/>
  <c r="AJ40" i="1"/>
  <c r="AG51" i="1"/>
  <c r="AG63" i="1"/>
  <c r="AG75" i="1"/>
  <c r="AI85" i="1"/>
  <c r="AF22" i="1"/>
  <c r="AG33" i="1"/>
  <c r="AH44" i="1"/>
  <c r="AI55" i="1"/>
  <c r="AI67" i="1"/>
  <c r="AF78" i="1"/>
  <c r="AF90" i="1"/>
  <c r="AF102" i="1"/>
  <c r="AH112" i="1"/>
  <c r="AF29" i="1"/>
  <c r="AH51" i="1"/>
  <c r="AJ73" i="1"/>
  <c r="AI94" i="1"/>
  <c r="AI110" i="1"/>
  <c r="AJ122" i="1"/>
  <c r="AJ134" i="1"/>
  <c r="AJ146" i="1"/>
  <c r="AG157" i="1"/>
  <c r="AH31" i="1"/>
  <c r="AJ53" i="1"/>
  <c r="AG76" i="1"/>
  <c r="AG96" i="1"/>
  <c r="AG112" i="1"/>
  <c r="AF124" i="1"/>
  <c r="AF136" i="1"/>
  <c r="AF148" i="1"/>
  <c r="AH158" i="1"/>
  <c r="AH170" i="1"/>
  <c r="AI181" i="1"/>
  <c r="AG191" i="1"/>
  <c r="AF200" i="1"/>
  <c r="AJ208" i="1"/>
  <c r="AJ35" i="1"/>
  <c r="AF71" i="1"/>
  <c r="AH101" i="1"/>
  <c r="AH121" i="1"/>
  <c r="AF139" i="1"/>
  <c r="AI156" i="1"/>
  <c r="AF169" i="1"/>
  <c r="AI180" i="1"/>
  <c r="AH192" i="1"/>
  <c r="AF203" i="1"/>
  <c r="AF214" i="1"/>
  <c r="AJ222" i="1"/>
  <c r="AJ230" i="1"/>
  <c r="AI239" i="1"/>
  <c r="AH248" i="1"/>
  <c r="AH256" i="1"/>
  <c r="AG265" i="1"/>
  <c r="AF274" i="1"/>
  <c r="AJ23" i="1"/>
  <c r="AF59" i="1"/>
  <c r="AH93" i="1"/>
  <c r="AI114" i="1"/>
  <c r="AI126" i="1"/>
  <c r="AH139" i="1"/>
  <c r="AI150" i="1"/>
  <c r="AJ27" i="1"/>
  <c r="AH53" i="1"/>
  <c r="AJ75" i="1"/>
  <c r="AF96" i="1"/>
  <c r="AF113" i="1"/>
  <c r="AH57" i="1"/>
  <c r="AG122" i="1"/>
  <c r="AJ147" i="1"/>
  <c r="AJ163" i="1"/>
  <c r="AH172" i="1"/>
  <c r="AI183" i="1"/>
  <c r="AJ193" i="1"/>
  <c r="AI203" i="1"/>
  <c r="AG214" i="1"/>
  <c r="AI220" i="1"/>
  <c r="AF228" i="1"/>
  <c r="AI236" i="1"/>
  <c r="AF244" i="1"/>
  <c r="AH250" i="1"/>
  <c r="AF259" i="1"/>
  <c r="AH266" i="1"/>
  <c r="AJ273" i="1"/>
  <c r="AJ47" i="1"/>
  <c r="AI113" i="1"/>
  <c r="AI138" i="1"/>
  <c r="AF161" i="1"/>
  <c r="AH171" i="1"/>
  <c r="AJ179" i="1"/>
  <c r="AF191" i="1"/>
  <c r="AG201" i="1"/>
  <c r="AF211" i="1"/>
  <c r="AJ219" i="1"/>
  <c r="AG226" i="1"/>
  <c r="AI233" i="1"/>
  <c r="AG242" i="1"/>
  <c r="AI249" i="1"/>
  <c r="AF256" i="1"/>
  <c r="AI264" i="1"/>
  <c r="AF272" i="1"/>
  <c r="AH279" i="1"/>
  <c r="AG107" i="1"/>
  <c r="AH133" i="1"/>
  <c r="AH155" i="1"/>
  <c r="AI168" i="1"/>
  <c r="AJ178" i="1"/>
  <c r="AH187" i="1"/>
  <c r="AI198" i="1"/>
  <c r="AI208" i="1"/>
  <c r="AJ216" i="1"/>
  <c r="AH225" i="1"/>
  <c r="AI230" i="1"/>
  <c r="AF236" i="1"/>
  <c r="AH242" i="1"/>
  <c r="AJ247" i="1"/>
  <c r="AF253" i="1"/>
  <c r="AH259" i="1"/>
  <c r="AJ264" i="1"/>
  <c r="AG270" i="1"/>
  <c r="AI276" i="1"/>
  <c r="AH41" i="1"/>
  <c r="AJ100" i="1"/>
  <c r="AI130" i="1"/>
  <c r="AI146" i="1"/>
  <c r="AG160" i="1"/>
  <c r="AG169" i="1"/>
  <c r="AG176" i="1"/>
  <c r="AH183" i="1"/>
  <c r="AJ191" i="1"/>
  <c r="AF199" i="1"/>
  <c r="AF206" i="1"/>
  <c r="AJ213" i="1"/>
  <c r="AG219" i="1"/>
  <c r="AI224" i="1"/>
  <c r="AF231" i="1"/>
  <c r="AG236" i="1"/>
  <c r="AI241" i="1"/>
  <c r="AF248" i="1"/>
  <c r="AH253" i="1"/>
  <c r="AI258" i="1"/>
  <c r="AF265" i="1"/>
  <c r="AH270" i="1"/>
  <c r="AJ275" i="1"/>
  <c r="AE25" i="1"/>
  <c r="AE45" i="1"/>
  <c r="AE65" i="1"/>
  <c r="AE89" i="1"/>
  <c r="AE109" i="1"/>
  <c r="AE129" i="1"/>
  <c r="AE153" i="1"/>
  <c r="AE173" i="1"/>
  <c r="AE193" i="1"/>
  <c r="AE217" i="1"/>
  <c r="AE237" i="1"/>
  <c r="AE257" i="1"/>
  <c r="AE18" i="1"/>
  <c r="AE38" i="1"/>
  <c r="AE58" i="1"/>
  <c r="AE82" i="1"/>
  <c r="AE102" i="1"/>
  <c r="AE122" i="1"/>
  <c r="AE35" i="1"/>
  <c r="AE55" i="1"/>
  <c r="AE75" i="1"/>
  <c r="AE99" i="1"/>
  <c r="AE119" i="1"/>
  <c r="AE139" i="1"/>
  <c r="AE163" i="1"/>
  <c r="AE183" i="1"/>
  <c r="AE203" i="1"/>
  <c r="AE227" i="1"/>
  <c r="AE247" i="1"/>
  <c r="AE267" i="1"/>
  <c r="AE28" i="1"/>
  <c r="AE48" i="1"/>
  <c r="AE68" i="1"/>
  <c r="AE92" i="1"/>
  <c r="AE112" i="1"/>
  <c r="AE132" i="1"/>
  <c r="AE156" i="1"/>
  <c r="AE176" i="1"/>
  <c r="AE196" i="1"/>
  <c r="AE220" i="1"/>
  <c r="AE240" i="1"/>
  <c r="AE260" i="1"/>
  <c r="AE210" i="1"/>
  <c r="AE276" i="1"/>
  <c r="AE138" i="1"/>
  <c r="AE174" i="1"/>
  <c r="AE134" i="1"/>
  <c r="AE246" i="1"/>
  <c r="AE264" i="1"/>
  <c r="AJ280" i="1"/>
  <c r="AF294" i="1"/>
  <c r="AF310" i="1"/>
  <c r="AH323" i="1"/>
  <c r="AJ336" i="1"/>
  <c r="AG297" i="1"/>
  <c r="AF315" i="1"/>
  <c r="AE333" i="1"/>
  <c r="AE295" i="1"/>
  <c r="AJ284" i="1"/>
  <c r="AF298" i="1"/>
  <c r="AF314" i="1"/>
  <c r="AH327" i="1"/>
  <c r="AG281" i="1"/>
  <c r="AI302" i="1"/>
  <c r="AH320" i="1"/>
  <c r="AG338" i="1"/>
  <c r="AG300" i="1"/>
  <c r="AE318" i="1"/>
  <c r="AJ335" i="1"/>
  <c r="AE297" i="1"/>
  <c r="AI314" i="1"/>
  <c r="AH332" i="1"/>
  <c r="AI293" i="1"/>
  <c r="AG311" i="1"/>
  <c r="AF329" i="1"/>
  <c r="AJ294" i="1"/>
  <c r="AH321" i="1"/>
  <c r="AF291" i="1"/>
  <c r="AJ333" i="1"/>
  <c r="AH281" i="1"/>
  <c r="AH317" i="1"/>
  <c r="AF307" i="1"/>
  <c r="AE294" i="1"/>
  <c r="AG324" i="1"/>
  <c r="AH292" i="1"/>
  <c r="AH316" i="1"/>
  <c r="AG280" i="1"/>
  <c r="AI308" i="1"/>
  <c r="AJ331" i="1"/>
  <c r="AF320" i="1"/>
  <c r="AF339" i="1"/>
  <c r="AF308" i="1"/>
  <c r="AE331" i="1"/>
  <c r="AI320" i="1"/>
  <c r="AJ299" i="1"/>
  <c r="AF319" i="1"/>
  <c r="AI337" i="1"/>
  <c r="AG331" i="1"/>
  <c r="AG283" i="1"/>
  <c r="AF312" i="1"/>
  <c r="AH284" i="1"/>
  <c r="AJ323" i="1"/>
  <c r="AH310" i="1"/>
  <c r="AJ329" i="1"/>
  <c r="AJ313" i="1"/>
  <c r="AF287" i="1"/>
  <c r="AG289" i="1"/>
  <c r="AH308" i="1"/>
  <c r="AJ334" i="1"/>
  <c r="AH301" i="1"/>
  <c r="AE307" i="1"/>
  <c r="AJ315" i="1"/>
  <c r="AI338" i="1"/>
  <c r="AG337" i="1"/>
  <c r="AE337" i="1"/>
  <c r="AE327" i="1"/>
  <c r="AF323" i="1"/>
  <c r="AC16" i="1" l="1"/>
  <c r="Y16" i="1"/>
  <c r="Z16" i="1"/>
  <c r="AB16" i="1"/>
  <c r="AE16" i="1"/>
  <c r="AD16" i="1" l="1"/>
</calcChain>
</file>

<file path=xl/sharedStrings.xml><?xml version="1.0" encoding="utf-8"?>
<sst xmlns="http://schemas.openxmlformats.org/spreadsheetml/2006/main" count="6695" uniqueCount="1092">
  <si>
    <t>Nom de la variable</t>
  </si>
  <si>
    <t>Libellé</t>
  </si>
  <si>
    <t>Type</t>
  </si>
  <si>
    <t>Unité</t>
  </si>
  <si>
    <t>Géométrie</t>
  </si>
  <si>
    <t>Propulsion</t>
  </si>
  <si>
    <t>Aérodynamique</t>
  </si>
  <si>
    <t>Structure</t>
  </si>
  <si>
    <t>Mission</t>
  </si>
  <si>
    <t>QdV</t>
  </si>
  <si>
    <t>Corde2</t>
  </si>
  <si>
    <t>Corde3</t>
  </si>
  <si>
    <t>m</t>
  </si>
  <si>
    <t>double</t>
  </si>
  <si>
    <t>Y03</t>
  </si>
  <si>
    <t>Corde0</t>
  </si>
  <si>
    <t>Corde1</t>
  </si>
  <si>
    <t>Y3x</t>
  </si>
  <si>
    <t>Groupe</t>
  </si>
  <si>
    <t>Sous-groupe</t>
  </si>
  <si>
    <t>Planeur</t>
  </si>
  <si>
    <t>Cabine</t>
  </si>
  <si>
    <t>Lcockpit</t>
  </si>
  <si>
    <t>Longueur du cockpit</t>
  </si>
  <si>
    <t>Epaisseur de la paroi cabine (bulkhead)</t>
  </si>
  <si>
    <t>Lcabinetriangulaire</t>
  </si>
  <si>
    <t>Lcabinerectangulaire</t>
  </si>
  <si>
    <t>Longueur de la zone triangulaire avant de la cabine</t>
  </si>
  <si>
    <t>Longueur de la zone rectangulaire arrière de la cabine</t>
  </si>
  <si>
    <t>ycloison</t>
  </si>
  <si>
    <t>Position latérale de la cloison interne</t>
  </si>
  <si>
    <t>ecloison</t>
  </si>
  <si>
    <t>hcabine</t>
  </si>
  <si>
    <t>Hauteur de la cabine</t>
  </si>
  <si>
    <t>Soute</t>
  </si>
  <si>
    <t>Lsoute</t>
  </si>
  <si>
    <t>Longueur de la soute</t>
  </si>
  <si>
    <t>hsoute</t>
  </si>
  <si>
    <t>Hauteur de la soute</t>
  </si>
  <si>
    <t>Epaisseur d'une cloison interne</t>
  </si>
  <si>
    <t>eplanchercabine</t>
  </si>
  <si>
    <t>Epaisseur du plancher cabine</t>
  </si>
  <si>
    <t>degré</t>
  </si>
  <si>
    <t>ycockpit</t>
  </si>
  <si>
    <t>Largeur du cockpit</t>
  </si>
  <si>
    <t>xBAcloison</t>
  </si>
  <si>
    <t>Position longitudinale du bord d'attaque de la cloison interne</t>
  </si>
  <si>
    <t>Moteurs</t>
  </si>
  <si>
    <t>Nombre</t>
  </si>
  <si>
    <t>Nmoteur</t>
  </si>
  <si>
    <t>Nombre de moteurs</t>
  </si>
  <si>
    <t>(-)</t>
  </si>
  <si>
    <t>Dmoteur</t>
  </si>
  <si>
    <t>Lmoteur</t>
  </si>
  <si>
    <t>Trains</t>
  </si>
  <si>
    <t>yplan1</t>
  </si>
  <si>
    <t>yplan2</t>
  </si>
  <si>
    <t>yplan3</t>
  </si>
  <si>
    <t>xBAplan1</t>
  </si>
  <si>
    <t>xBAplan2</t>
  </si>
  <si>
    <t>xBAplan3</t>
  </si>
  <si>
    <t>htrainavant</t>
  </si>
  <si>
    <t>Masse</t>
  </si>
  <si>
    <t>kg</t>
  </si>
  <si>
    <t>Volume total des réservoirs</t>
  </si>
  <si>
    <t>Volume des réservoirs situés dans les voilures (gauche + droite)</t>
  </si>
  <si>
    <t>Volume des réservoirs situés dans le corps central (gauche + droite)</t>
  </si>
  <si>
    <t>Vreservoirtotal</t>
  </si>
  <si>
    <t>Vreservoirvoilure</t>
  </si>
  <si>
    <t>Vreservoirfuselage</t>
  </si>
  <si>
    <t>Lreservoirfuselage</t>
  </si>
  <si>
    <t>Profils</t>
  </si>
  <si>
    <t>table</t>
  </si>
  <si>
    <t>X3</t>
  </si>
  <si>
    <t>Y23</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</si>
  <si>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</si>
  <si>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</si>
  <si>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</si>
  <si>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</si>
  <si>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</si>
  <si>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</si>
  <si>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</si>
  <si>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</si>
  <si>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Y30</t>
  </si>
  <si>
    <t>ecabine</t>
  </si>
  <si>
    <t>zplancher</t>
  </si>
  <si>
    <t>Position verticale du plancher cabine</t>
  </si>
  <si>
    <t>Angle de la cabine par rapport à l'axe longitudinal</t>
  </si>
  <si>
    <t>X1</t>
  </si>
  <si>
    <t>Mmoteur</t>
  </si>
  <si>
    <t>Masse d'un moteur</t>
  </si>
  <si>
    <t>Y13</t>
  </si>
  <si>
    <t>Y43</t>
  </si>
  <si>
    <t>Repartitionportance</t>
  </si>
  <si>
    <t>N/m</t>
  </si>
  <si>
    <t>Structural design altitude</t>
  </si>
  <si>
    <t>m/s</t>
  </si>
  <si>
    <t>altitudefinmontee</t>
  </si>
  <si>
    <t>altitudecroisiere</t>
  </si>
  <si>
    <t>Altitude de fin de montée</t>
  </si>
  <si>
    <t>Altitude de croisière</t>
  </si>
  <si>
    <t>Czalphaloadcase</t>
  </si>
  <si>
    <t>Czmaxloadcase</t>
  </si>
  <si>
    <t>MTOW</t>
  </si>
  <si>
    <t>Maximum Take Off Weight</t>
  </si>
  <si>
    <t>Inerties</t>
  </si>
  <si>
    <t>nzloadcase</t>
  </si>
  <si>
    <t>Maillage</t>
  </si>
  <si>
    <t>Mesh</t>
  </si>
  <si>
    <t>Maillage de la structure</t>
  </si>
  <si>
    <t>Facteurs de charge nz calculés pour le dimensionnement de la structure</t>
  </si>
  <si>
    <t xml:space="preserve">Mission </t>
  </si>
  <si>
    <t>X4</t>
  </si>
  <si>
    <t>Etat</t>
  </si>
  <si>
    <t>Y4x</t>
  </si>
  <si>
    <t>Tableaero</t>
  </si>
  <si>
    <t>N</t>
  </si>
  <si>
    <t>Y14</t>
  </si>
  <si>
    <t>X2</t>
  </si>
  <si>
    <t>Cx</t>
  </si>
  <si>
    <t>Y24</t>
  </si>
  <si>
    <t>Poussée</t>
  </si>
  <si>
    <t>Wi</t>
  </si>
  <si>
    <t>Masse par postes i, d'après la norme AIR 2001</t>
  </si>
  <si>
    <t>InertieMTOW</t>
  </si>
  <si>
    <t>Matrice d'inertie à la MTOW</t>
  </si>
  <si>
    <t>InertieZFW</t>
  </si>
  <si>
    <t>Matrice d'inertie à la ZFW</t>
  </si>
  <si>
    <t>Sref</t>
  </si>
  <si>
    <t>Surface de référence totale du véhicule</t>
  </si>
  <si>
    <t>X0</t>
  </si>
  <si>
    <t>Allongement</t>
  </si>
  <si>
    <t>Allongement de la voilure externe, entre les plans 2 et 3</t>
  </si>
  <si>
    <t>Effilement</t>
  </si>
  <si>
    <t>Effilement de la voilure externe, entre les plans 2 et 3</t>
  </si>
  <si>
    <t>PhiBAplan0</t>
  </si>
  <si>
    <t>Flèche du bord d'attaque au plan 0</t>
  </si>
  <si>
    <t>PhiBAplan1</t>
  </si>
  <si>
    <t>Flèche du bord d'attaque au plan 1</t>
  </si>
  <si>
    <t>PhiBAplan2</t>
  </si>
  <si>
    <t>Flèche du bord d'attaque au plan 2</t>
  </si>
  <si>
    <t>EpaisseurRelativeplan0</t>
  </si>
  <si>
    <t>EpaisseurRelativeplan1</t>
  </si>
  <si>
    <t>EpaisseurRelativeplan2</t>
  </si>
  <si>
    <t>EpaisseurRelativeplan3</t>
  </si>
  <si>
    <t>Epaisseur relative du profil aérodynamique dans le plan 2</t>
  </si>
  <si>
    <t>Epaisseur relative du profil aérodynamique dans le plan 3</t>
  </si>
  <si>
    <t>Diedre</t>
  </si>
  <si>
    <t>Dièdre de la voilure externe, entre les plans 2 et 3</t>
  </si>
  <si>
    <t>zBAplan0</t>
  </si>
  <si>
    <t>Position verticale du bord d'attaque au plan 0</t>
  </si>
  <si>
    <t>zBAplan1</t>
  </si>
  <si>
    <t>Position verticale du bord d'attaque au plan 1</t>
  </si>
  <si>
    <t>zBAplan2</t>
  </si>
  <si>
    <t>Position verticale du bord d'attaque au plan 2</t>
  </si>
  <si>
    <t>zBAplan3</t>
  </si>
  <si>
    <t>Position verticale du bord d'attaque au plan 3</t>
  </si>
  <si>
    <t>Y21</t>
  </si>
  <si>
    <t>Rayoncourburenez</t>
  </si>
  <si>
    <t>Rayon de courbure aux raccordements des surfaces</t>
  </si>
  <si>
    <t>Envergure</t>
  </si>
  <si>
    <t>Envergure totale du véhicule</t>
  </si>
  <si>
    <t>Contrôle</t>
  </si>
  <si>
    <t>Y2x</t>
  </si>
  <si>
    <t>Charge Utile</t>
  </si>
  <si>
    <t>Npax</t>
  </si>
  <si>
    <t>Vsoute</t>
  </si>
  <si>
    <t>NLD3</t>
  </si>
  <si>
    <t>Vvrac</t>
  </si>
  <si>
    <t>Nombre de passagers (aménagement homogène 100% classe économique)</t>
  </si>
  <si>
    <t>Nombre de cloisons internes dans la cabine</t>
  </si>
  <si>
    <t>Volume total de la soute</t>
  </si>
  <si>
    <t>Nombre de conteneurs LD3 (remplissage des soutes uniquement en LD3)</t>
  </si>
  <si>
    <t>Volume de vrac</t>
  </si>
  <si>
    <t>Anglecabine</t>
  </si>
  <si>
    <t>BLI</t>
  </si>
  <si>
    <t>Consommation spécifique</t>
  </si>
  <si>
    <t>Fxdimensionnementmoteur</t>
  </si>
  <si>
    <t>Machdimensionnementmoteur</t>
  </si>
  <si>
    <t>Zdimensionnementmoteur</t>
  </si>
  <si>
    <t>Traînée au point de dimensionnement de la propulsion</t>
  </si>
  <si>
    <t>Mach au point de dimensionnement de la propulsion</t>
  </si>
  <si>
    <t>Altitude au point de dimensionnement de la propulsion</t>
  </si>
  <si>
    <t>Facteur d'échelle</t>
  </si>
  <si>
    <t>ESF</t>
  </si>
  <si>
    <t>Y1x</t>
  </si>
  <si>
    <t>Facteur d'échelle sur le moteur de référence</t>
  </si>
  <si>
    <t>Débit</t>
  </si>
  <si>
    <t>kg/s</t>
  </si>
  <si>
    <t>Y12</t>
  </si>
  <si>
    <t>Vrillages et raccordements</t>
  </si>
  <si>
    <t>Répartition de portance</t>
  </si>
  <si>
    <t>Czdimensionnementmoteur</t>
  </si>
  <si>
    <t>Cz au point de dimensionnement de la propulsion</t>
  </si>
  <si>
    <t>Y42</t>
  </si>
  <si>
    <t>Finesse</t>
  </si>
  <si>
    <t>f</t>
  </si>
  <si>
    <t>Finesse aux points Tableaero</t>
  </si>
  <si>
    <t>Points de vol pour l'analyse des QdV</t>
  </si>
  <si>
    <t>TableQdV</t>
  </si>
  <si>
    <t>X5</t>
  </si>
  <si>
    <t>Modèle aérodynamique complet</t>
  </si>
  <si>
    <t>ModèleAeroComplet</t>
  </si>
  <si>
    <t>Y25</t>
  </si>
  <si>
    <t>Répartition de portance en envergure pour le dimensionnement de la structure</t>
  </si>
  <si>
    <t>Vecteur d'état de l'avion sur la trajectoire sur la mission opérationnelle</t>
  </si>
  <si>
    <t>Surfaces verticales</t>
  </si>
  <si>
    <t>Surface de référence de la surface verticale</t>
  </si>
  <si>
    <t>Srefsurfaceverticale</t>
  </si>
  <si>
    <t>Allongementsurfaceverticale</t>
  </si>
  <si>
    <t>Effilement de la surface verticale</t>
  </si>
  <si>
    <t>PhiBAsurfaceverticale</t>
  </si>
  <si>
    <t>EpaisseurRelativesurfaceverticale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</si>
  <si>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</si>
  <si>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</si>
  <si>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</si>
  <si>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</si>
  <si>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</si>
  <si>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</si>
  <si>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xemplanturesurfaceverticale</t>
  </si>
  <si>
    <t>yemplanturesurfaceverticale</t>
  </si>
  <si>
    <t>zemplanturesurfaceverticale</t>
  </si>
  <si>
    <t>Diedresurfaceverticale</t>
  </si>
  <si>
    <t>Dièdre de la surface verticale</t>
  </si>
  <si>
    <t>Corde à l'emplanture de la surface verticale</t>
  </si>
  <si>
    <t>Cordeemplanturesurfaceverticale</t>
  </si>
  <si>
    <t>Cordesaumonsurfaceverticale</t>
  </si>
  <si>
    <t>Corde au saumon de la surface verticale</t>
  </si>
  <si>
    <t>ysaumonsurfaceverticale</t>
  </si>
  <si>
    <t>Position latérale du bord d'attaque du saumon de la surface verticale</t>
  </si>
  <si>
    <t>Valeurs propres des modes avion</t>
  </si>
  <si>
    <t>Y5x</t>
  </si>
  <si>
    <t>Modes avions</t>
  </si>
  <si>
    <t>Lambda</t>
  </si>
  <si>
    <t>InertieMLW</t>
  </si>
  <si>
    <t>Matrice d'inertie à la MLW</t>
  </si>
  <si>
    <t>ZFW</t>
  </si>
  <si>
    <t>Zero Fuel Weight</t>
  </si>
  <si>
    <t>MLW</t>
  </si>
  <si>
    <t>Maximum Landing Weight</t>
  </si>
  <si>
    <t>Y35</t>
  </si>
  <si>
    <t>htrainprincipal</t>
  </si>
  <si>
    <t>Vecteur d'état complet - arborescence des variables</t>
  </si>
  <si>
    <t xml:space="preserve">PRF CICAV </t>
  </si>
  <si>
    <t>Modèle aérodynamique complet (Cz, Cx, Cm, etc. en fonction de M ,α ,β, dl, etc.)</t>
  </si>
  <si>
    <t>Composants de la cabine passagers</t>
  </si>
  <si>
    <t>Codes associés 
aux modules</t>
  </si>
  <si>
    <t>Angle d'inclinaison des moteurs par rapport à l'axe longitudinal</t>
  </si>
  <si>
    <t>TauxBLImoteur</t>
  </si>
  <si>
    <t>Taux d'enfouissement des moteurs</t>
  </si>
  <si>
    <t>Débitmoteur</t>
  </si>
  <si>
    <t>Débit d'air des moteurs aux points Tablepropulsion</t>
  </si>
  <si>
    <t>Inclinaisonmoteur</t>
  </si>
  <si>
    <t>Raccordement</t>
  </si>
  <si>
    <t>Vrillageplan2</t>
  </si>
  <si>
    <t>Vrillageplan3</t>
  </si>
  <si>
    <t>Profil aérodynamique au plan 0, coordonnées de l'extrados (BA vers BF)</t>
  </si>
  <si>
    <t>Extradosairfoilplan0</t>
  </si>
  <si>
    <t>Intradosairfoilplan0</t>
  </si>
  <si>
    <t>Extradosairfoilplan1</t>
  </si>
  <si>
    <t>Intradosairfoilplan1</t>
  </si>
  <si>
    <t>Extradosairfoilplan2</t>
  </si>
  <si>
    <t>Intradosairfoilplan2</t>
  </si>
  <si>
    <t>Extradosairfoilplan3</t>
  </si>
  <si>
    <t>Intradosairfoilplan3</t>
  </si>
  <si>
    <t>Extradosairfoilsurfaceverticale</t>
  </si>
  <si>
    <t>Intradosairfoilsurfaceverticale</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</si>
  <si>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</si>
  <si>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</si>
  <si>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</si>
  <si>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</si>
  <si>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</si>
  <si>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</si>
  <si>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</si>
  <si>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</si>
  <si>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</si>
  <si>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Npointairfoil</t>
  </si>
  <si>
    <t>Npointairfoilsurfaceverticale</t>
  </si>
  <si>
    <t>Nombre de points des tables de profil aérodynamique</t>
  </si>
  <si>
    <t>Nombre de points des tables de profil aérodynamique de la surface verticale</t>
  </si>
  <si>
    <t>NPNC</t>
  </si>
  <si>
    <t>NPNT</t>
  </si>
  <si>
    <t>NWC</t>
  </si>
  <si>
    <t>Nombre de sièges</t>
  </si>
  <si>
    <t>Nombre de WC</t>
  </si>
  <si>
    <t>Nombre de galleys</t>
  </si>
  <si>
    <t>Nombre de portes</t>
  </si>
  <si>
    <t>xyWC</t>
  </si>
  <si>
    <t>Position longitudinale et latérale du CdG des sièges passagers</t>
  </si>
  <si>
    <t>Position longitudinale et latérale du CdG des WC</t>
  </si>
  <si>
    <t>Position longitudinale et latérale du CdG des galleys</t>
  </si>
  <si>
    <t>Position longitudinale et latérale du CdG des portes</t>
  </si>
  <si>
    <t>xyzmoteur</t>
  </si>
  <si>
    <t>Position longitudinale, latérale et verticale du CdG des moteurs</t>
  </si>
  <si>
    <t>xyzCdGMTOW</t>
  </si>
  <si>
    <t>xyzCdGZFW</t>
  </si>
  <si>
    <t>xyzCdGMLW</t>
  </si>
  <si>
    <t>Position longitudinale, latérale et verticale du CdG à la MTOW</t>
  </si>
  <si>
    <t>Position longitudinale, latérale et verticale du CdG à la ZFW</t>
  </si>
  <si>
    <t>Position longitudinale, latérale et verticale du CdG à la MLW</t>
  </si>
  <si>
    <t>Gouvernes</t>
  </si>
  <si>
    <t>Nombre de gouvernes</t>
  </si>
  <si>
    <t>Corde des gouvernes</t>
  </si>
  <si>
    <t>Position latérale de l'emplanture des gouvernes</t>
  </si>
  <si>
    <t>Position latérale du saumon des gouvernes</t>
  </si>
  <si>
    <t>Affectation du rôle des gouvernes</t>
  </si>
  <si>
    <t>Cordegouvernesurfaceverticale</t>
  </si>
  <si>
    <t>Rôlegouvernesurfaceverticale</t>
  </si>
  <si>
    <t>Gouverne surface verticale</t>
  </si>
  <si>
    <t>Corde de la gouverne de la surface verticale</t>
  </si>
  <si>
    <t>Affectation du rôle de la gouverne de la surface verticale</t>
  </si>
  <si>
    <t>Tsortiefluxprimaire</t>
  </si>
  <si>
    <t>Tsortiefluxsecondaire</t>
  </si>
  <si>
    <t>Température de sortie du flux primaire</t>
  </si>
  <si>
    <t>K</t>
  </si>
  <si>
    <t>Température de sortie du flux secondaire</t>
  </si>
  <si>
    <t>Débitfluxprimaire</t>
  </si>
  <si>
    <t>Débitfluxsecondaire</t>
  </si>
  <si>
    <t>Débit du flux primaire</t>
  </si>
  <si>
    <t>Débit du flux secondaire</t>
  </si>
  <si>
    <t>Régimerotationfan</t>
  </si>
  <si>
    <t>tr/s</t>
  </si>
  <si>
    <t>Ncloison</t>
  </si>
  <si>
    <t>Npalette</t>
  </si>
  <si>
    <t>Nsiège</t>
  </si>
  <si>
    <t>Ngalley</t>
  </si>
  <si>
    <t>Nporte</t>
  </si>
  <si>
    <t>Ngouverne</t>
  </si>
  <si>
    <t>Vitesse de sortie du flux primaire</t>
  </si>
  <si>
    <t>Vitesse de sortie du flux secondaire</t>
  </si>
  <si>
    <t>Vfluxprimaire</t>
  </si>
  <si>
    <t>Vfluxsecondaire</t>
  </si>
  <si>
    <t>Nombre de personnel navigant commercial</t>
  </si>
  <si>
    <t>Nombre de personnel navigant technique</t>
  </si>
  <si>
    <t>xysiège</t>
  </si>
  <si>
    <t>xygalley</t>
  </si>
  <si>
    <t>xyporte</t>
  </si>
  <si>
    <t>Cordegouverne</t>
  </si>
  <si>
    <t>yemplanturegouverne</t>
  </si>
  <si>
    <t>ysaumongouverne</t>
  </si>
  <si>
    <t>Rôlegouverne</t>
  </si>
  <si>
    <t>Dimension</t>
  </si>
  <si>
    <t>Points de vol de la table de propulsion</t>
  </si>
  <si>
    <t>Points de vol de la table aérodynamique</t>
  </si>
  <si>
    <t>Décomposition de la masse par postes (A à G)</t>
  </si>
  <si>
    <t>Points de vol 
pour le dimensionnement de la propulsion</t>
  </si>
  <si>
    <t>Points de vol 
pour le dimensionnement de la structure</t>
  </si>
  <si>
    <t>scalaire</t>
  </si>
  <si>
    <t>xyzreservoirvoilure</t>
  </si>
  <si>
    <t>xyzreservoirfuselage</t>
  </si>
  <si>
    <t>Réservoirs</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</si>
  <si>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</si>
  <si>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</si>
  <si>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</si>
  <si>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x/CLongeronBA</t>
  </si>
  <si>
    <t>Position du longeron de bord d'attaque dans la voilure externe, en % de la corde</t>
  </si>
  <si>
    <t>x/CLongeronBF</t>
  </si>
  <si>
    <t>Position du longeron de bord de fuite dans la voilure externe, en % de la corde</t>
  </si>
  <si>
    <t>ELongeronBAplan2</t>
  </si>
  <si>
    <t>Epaisseur du longeron de bord d'attaque au plan 2</t>
  </si>
  <si>
    <t>ELongeronBFplan2</t>
  </si>
  <si>
    <t>Epaisseur du longeron de bord de fuite au plan 2</t>
  </si>
  <si>
    <t>ELongeronBAplan3</t>
  </si>
  <si>
    <t>Epaisseur du longeron de bord d'attaque au plan 3</t>
  </si>
  <si>
    <t>ELongeronBFplan3</t>
  </si>
  <si>
    <t>Epaisseur du longeron de bord de fuite au plan 3</t>
  </si>
  <si>
    <t>Corde au plan 0</t>
  </si>
  <si>
    <t>Corde au plan 1</t>
  </si>
  <si>
    <t>Corde au plan 2</t>
  </si>
  <si>
    <t>Diamètre total d'un moteur</t>
  </si>
  <si>
    <t>Longueur totale d'un moteur</t>
  </si>
  <si>
    <t>Dfan</t>
  </si>
  <si>
    <t>Diamètre du fan d'un moteur (correspond au diamètre du moteur si Nflux = 1)</t>
  </si>
  <si>
    <t>Lfan</t>
  </si>
  <si>
    <t>Longueur du fan d'un moteur (correspond à la longueur du moteur si Nflux = 1)</t>
  </si>
  <si>
    <t>Dturbine</t>
  </si>
  <si>
    <t>Diamètre de la turbine d'un moteur</t>
  </si>
  <si>
    <t>Lturbine</t>
  </si>
  <si>
    <t>Longueur de la turbine d'un moteur</t>
  </si>
  <si>
    <t>Dtuyèreprimaire</t>
  </si>
  <si>
    <t>Diamètre de la tuyère primaire</t>
  </si>
  <si>
    <t>Dtuyèresecondaire</t>
  </si>
  <si>
    <t>Diamètre de la tuyère secondaire</t>
  </si>
  <si>
    <t>Effilementsurfaceverticale</t>
  </si>
  <si>
    <t>Ltrainavant</t>
  </si>
  <si>
    <t>Longueur de la case du train avant, suivant l'axe x</t>
  </si>
  <si>
    <t>ltrainavant</t>
  </si>
  <si>
    <t>Largeur de la case du train avant, suivant l'axe y</t>
  </si>
  <si>
    <t>Hauteur de la case du train avant, suivant l'axe z</t>
  </si>
  <si>
    <t>xyztrainavant</t>
  </si>
  <si>
    <t>Position longitudinale, latérale et verticale du CdG de la case du train avant</t>
  </si>
  <si>
    <t>xyztrainprincipal</t>
  </si>
  <si>
    <t>Ltrainprincipal</t>
  </si>
  <si>
    <t>Longueur de la case du train principal, suivant l'axe x</t>
  </si>
  <si>
    <t>ltrainprincipal</t>
  </si>
  <si>
    <t>Largeur de la case du train principal, suivant l'axe y</t>
  </si>
  <si>
    <t>Hauteur de la case du train principal, suivant l'axe z</t>
  </si>
  <si>
    <t>Longueur des réservoirs situés dans le corps central, suivant l'axe x</t>
  </si>
  <si>
    <t>lreservoirfuselage</t>
  </si>
  <si>
    <t>Largeur des réservoirs situés dans le corps central, suivant l'axe y</t>
  </si>
  <si>
    <t>hreservoirfuselage</t>
  </si>
  <si>
    <t>Hauteur des réservoirs situés dans le corps central, suivant l'axe z</t>
  </si>
  <si>
    <t>Extradosairfoilgouverne2</t>
  </si>
  <si>
    <t>Profil aérodynamique à l'emplanture de la gouverne 2, coordonnées de l'extrados</t>
  </si>
  <si>
    <t>Intradosairfoilgouverne2</t>
  </si>
  <si>
    <t>Profil aérodynamique à l'emplanture de la gouverne 2, coordonnées de l'intrados</t>
  </si>
  <si>
    <t>Extradosairfoilgouverne3</t>
  </si>
  <si>
    <t>Profil aérodynamique à l'emplanture de la gouverne 3, coordonnées de l'extrados</t>
  </si>
  <si>
    <t>Intradosairfoilgouverne3</t>
  </si>
  <si>
    <t>Profil aérodynamique à l'emplanture de la gouverne 3, coordonnées de l'intrados</t>
  </si>
  <si>
    <t>Corde au plan 3</t>
  </si>
  <si>
    <t>Position latérale du plan 1</t>
  </si>
  <si>
    <t>Position latérale du plan 2</t>
  </si>
  <si>
    <t>xyLD3</t>
  </si>
  <si>
    <t>Position longitudinale et latérale du CdG des conteneurs LD3</t>
  </si>
  <si>
    <t>xypalette</t>
  </si>
  <si>
    <t>Position longitudinale et latérale du CdG des palettes 96"</t>
  </si>
  <si>
    <t>Hauteursurfaceverticale</t>
  </si>
  <si>
    <t>Hauteur de la surface verticale</t>
  </si>
  <si>
    <t>Y02</t>
  </si>
  <si>
    <t>Tambiant</t>
  </si>
  <si>
    <t>Température de l'air ambiant</t>
  </si>
  <si>
    <t>Pambiant</t>
  </si>
  <si>
    <t>Pression de l'air ambiant</t>
  </si>
  <si>
    <t>Pa</t>
  </si>
  <si>
    <t>cambiant</t>
  </si>
  <si>
    <t>Vitesse du son de l'air ambiant</t>
  </si>
  <si>
    <t>rhoambiant</t>
  </si>
  <si>
    <t>Masse volumique de l'air ambiant</t>
  </si>
  <si>
    <t>kg/m3</t>
  </si>
  <si>
    <t>Rhofluxprimaire</t>
  </si>
  <si>
    <t>Masse volumique du flux primaire</t>
  </si>
  <si>
    <t>DeltaT</t>
  </si>
  <si>
    <t>Accroissement de température à travers la soufflante</t>
  </si>
  <si>
    <t>Mpale</t>
  </si>
  <si>
    <t>Mach en bout de pale</t>
  </si>
  <si>
    <t>Mrelatifpale</t>
  </si>
  <si>
    <t>Mach relatif en bout de pale</t>
  </si>
  <si>
    <t>Mrelatifpalenominal</t>
  </si>
  <si>
    <t>Mach relatif en bout de pale nominal</t>
  </si>
  <si>
    <t>Rss</t>
  </si>
  <si>
    <t>Distance entre le rotor et le stator du fan</t>
  </si>
  <si>
    <t>V</t>
  </si>
  <si>
    <t>Nombre de pales du stator du fan</t>
  </si>
  <si>
    <t>B</t>
  </si>
  <si>
    <t>Nombre de pales du rotor du fan</t>
  </si>
  <si>
    <t>Régime de rotation du rotor du fan</t>
  </si>
  <si>
    <t>Nflux</t>
  </si>
  <si>
    <t>Nombre de flux des moteurs</t>
  </si>
  <si>
    <t>Points de vol pour le calcul de l'aérodynamique (z, Mach)</t>
  </si>
  <si>
    <t>Alpha</t>
  </si>
  <si>
    <t>Incidence aux points Tableaero</t>
  </si>
  <si>
    <t>CMA</t>
  </si>
  <si>
    <t>Corde Moyenne Aérodynamique</t>
  </si>
  <si>
    <t>Structuraldesignaltitude</t>
  </si>
  <si>
    <t>Mcruise</t>
  </si>
  <si>
    <t>Mach de croisière</t>
  </si>
  <si>
    <t>Nombre de flux</t>
  </si>
  <si>
    <t>Incidence</t>
  </si>
  <si>
    <t>Corde Moyenne Aerodynamique</t>
  </si>
  <si>
    <t>Composants de la soute</t>
  </si>
  <si>
    <t>Données pour acoustique</t>
  </si>
  <si>
    <t>m2</t>
  </si>
  <si>
    <t>m3</t>
  </si>
  <si>
    <t>rad-1</t>
  </si>
  <si>
    <t>kg.m2</t>
  </si>
  <si>
    <t>rad</t>
  </si>
  <si>
    <t>PhiBAplan0.1</t>
  </si>
  <si>
    <t>PhiBAplan2.1</t>
  </si>
  <si>
    <t>EpaisseurRelativeplan0.1</t>
  </si>
  <si>
    <t>EpaisseurRelativeplan2.1</t>
  </si>
  <si>
    <t>ELongeronBAplan2.1</t>
  </si>
  <si>
    <t>ELongeronBFplan2.1</t>
  </si>
  <si>
    <t>Corde0.1</t>
  </si>
  <si>
    <t>Corde2.1</t>
  </si>
  <si>
    <t>yplan0.1</t>
  </si>
  <si>
    <t>yplan2.1</t>
  </si>
  <si>
    <t>xBAplan0.1</t>
  </si>
  <si>
    <t>xBAplan2.1</t>
  </si>
  <si>
    <t>zBAplan0.1</t>
  </si>
  <si>
    <t>zBAplan2.1</t>
  </si>
  <si>
    <t>PhiBFplan0</t>
  </si>
  <si>
    <t>PhiBFplan0.1</t>
  </si>
  <si>
    <t>PhiBFplan1</t>
  </si>
  <si>
    <t>PhiBFplan2</t>
  </si>
  <si>
    <t>PhiBFplan2.1</t>
  </si>
  <si>
    <t>lzonetransition</t>
  </si>
  <si>
    <t>lcassurevoilure</t>
  </si>
  <si>
    <t>lsoute</t>
  </si>
  <si>
    <t>Extradosairfoilplan0.1</t>
  </si>
  <si>
    <t>Intradosairfoilplan0.1</t>
  </si>
  <si>
    <t>Extradosairfoilplan2.1</t>
  </si>
  <si>
    <t>Intradosairfoilplan2.1</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</si>
  <si>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</si>
  <si>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</si>
  <si>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</si>
  <si>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</si>
  <si>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</si>
  <si>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</si>
  <si>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</si>
  <si>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Larrierefuselageplan0.1</t>
  </si>
  <si>
    <t>Longueur de la zone arrière du corps central au plan 0.1</t>
  </si>
  <si>
    <t>Y0x</t>
  </si>
  <si>
    <t>PousséeSol</t>
  </si>
  <si>
    <t>PousséeCruise</t>
  </si>
  <si>
    <t>SFCSol</t>
  </si>
  <si>
    <t>Poussée d'un moteur au sol</t>
  </si>
  <si>
    <t>SFCCruise</t>
  </si>
  <si>
    <t>PousséeDescent</t>
  </si>
  <si>
    <t>PousséeTakeOff</t>
  </si>
  <si>
    <t>PousséeClimb</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</si>
  <si>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</si>
  <si>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</si>
  <si>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</si>
  <si>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</si>
  <si>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</si>
  <si>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</si>
  <si>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</si>
  <si>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</si>
  <si>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SFCTakeOff</t>
  </si>
  <si>
    <t>SFCClimb</t>
  </si>
  <si>
    <t>SFCDescent</t>
  </si>
  <si>
    <t>Vrillageplan2.1</t>
  </si>
  <si>
    <t>OEW</t>
  </si>
  <si>
    <t>Operating Empty Weight</t>
  </si>
  <si>
    <t>Largeur de la soute ( = ycloison)</t>
  </si>
  <si>
    <t>Larrierefuselageplan0</t>
  </si>
  <si>
    <t>Longueur de la zone arrière du corps central au plan 0</t>
  </si>
  <si>
    <t>TablepropulsionTakeOff</t>
  </si>
  <si>
    <t>TablepropulsionClimb</t>
  </si>
  <si>
    <t>TablepropulsionCruise</t>
  </si>
  <si>
    <t>TablepropulsionDescent</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</si>
  <si>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</si>
  <si>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</si>
  <si>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</si>
  <si>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</si>
  <si>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</si>
  <si>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</si>
  <si>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</si>
  <si>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</si>
  <si>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</si>
  <si>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</si>
  <si>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</si>
  <si>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</si>
  <si>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</si>
  <si>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</si>
  <si>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</si>
  <si>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</si>
  <si>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</si>
  <si>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</si>
  <si>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</si>
  <si>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</si>
  <si>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</si>
  <si>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</si>
  <si>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</si>
  <si>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</si>
  <si>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</si>
  <si>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</si>
  <si>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 xml:space="preserve"> Y02</t>
  </si>
  <si>
    <t xml:space="preserve"> Y03</t>
  </si>
  <si>
    <t>Y10</t>
  </si>
  <si>
    <t>Y20</t>
  </si>
  <si>
    <t>Y34</t>
  </si>
  <si>
    <t xml:space="preserve"> Y43</t>
  </si>
  <si>
    <t xml:space="preserve"> Y35</t>
  </si>
  <si>
    <t xml:space="preserve"> X2</t>
  </si>
  <si>
    <t xml:space="preserve"> X4</t>
  </si>
  <si>
    <t>Flux 1</t>
  </si>
  <si>
    <t>Flux 2</t>
  </si>
  <si>
    <t>Flux 3</t>
  </si>
  <si>
    <t>Flux 4</t>
  </si>
  <si>
    <t>Flux 5</t>
  </si>
  <si>
    <t>Flux 6</t>
  </si>
  <si>
    <t>Déclaration de la variable dans Model Center</t>
  </si>
  <si>
    <t>integer</t>
  </si>
  <si>
    <t>X0,Y*0</t>
  </si>
  <si>
    <t>Y0*</t>
  </si>
  <si>
    <t>X1,Y*1</t>
  </si>
  <si>
    <t>Y1*</t>
  </si>
  <si>
    <t>X2,Y*2</t>
  </si>
  <si>
    <t>X3,Y*3</t>
  </si>
  <si>
    <t>Y2*</t>
  </si>
  <si>
    <t>Y3*</t>
  </si>
  <si>
    <t>X4,Y*4</t>
  </si>
  <si>
    <t>Y4*</t>
  </si>
  <si>
    <t>X5,Y*5</t>
  </si>
  <si>
    <t>Y5*</t>
  </si>
  <si>
    <t>double[]</t>
  </si>
  <si>
    <t>Groupes</t>
  </si>
  <si>
    <t>Quelques spécifications pour la création des wrapper model center</t>
  </si>
  <si>
    <t>Partie Génération des Wrappers ModelCenter</t>
  </si>
  <si>
    <t>+</t>
  </si>
  <si>
    <t>non</t>
  </si>
  <si>
    <t>Nom du Script</t>
  </si>
  <si>
    <t>Clefs</t>
  </si>
  <si>
    <t>Input_0</t>
  </si>
  <si>
    <t>Input_1</t>
  </si>
  <si>
    <t>Input_2</t>
  </si>
  <si>
    <t>Input_3</t>
  </si>
  <si>
    <t>Input_4</t>
  </si>
  <si>
    <t>Input_5</t>
  </si>
  <si>
    <t>Output_0</t>
  </si>
  <si>
    <t>Output_1</t>
  </si>
  <si>
    <t>Output_2</t>
  </si>
  <si>
    <t>Output_3</t>
  </si>
  <si>
    <t>Output_4</t>
  </si>
  <si>
    <t>Output_5</t>
  </si>
  <si>
    <t>Sheet Name</t>
  </si>
  <si>
    <t>Inputs Geometry</t>
  </si>
  <si>
    <t>Inputs Propulsion</t>
  </si>
  <si>
    <t>Inputs Aerodynamics</t>
  </si>
  <si>
    <t>Inputs Structure</t>
  </si>
  <si>
    <t>Inputs Mission</t>
  </si>
  <si>
    <t>Inputs QdV</t>
  </si>
  <si>
    <t>Outputs Geometry</t>
  </si>
  <si>
    <t>Outputs Aerodynamics</t>
  </si>
  <si>
    <t>Outputs Propulsion</t>
  </si>
  <si>
    <t>Outputs Structure</t>
  </si>
  <si>
    <t>Outputs Mission</t>
  </si>
  <si>
    <t>Outputs QdV</t>
  </si>
  <si>
    <t>Id</t>
  </si>
  <si>
    <t>unit</t>
  </si>
  <si>
    <t>description</t>
  </si>
  <si>
    <t>type</t>
  </si>
  <si>
    <t xml:space="preserve">Nom </t>
  </si>
  <si>
    <t xml:space="preserve">Nom de variable </t>
  </si>
  <si>
    <t>unité</t>
  </si>
  <si>
    <t>dim</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</si>
  <si>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</si>
  <si>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</si>
  <si>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</si>
  <si>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</si>
  <si>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</si>
  <si>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</si>
  <si>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</si>
  <si>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</si>
  <si>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</si>
  <si>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</si>
  <si>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</si>
  <si>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</si>
  <si>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</si>
  <si>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</si>
  <si>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</si>
  <si>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</si>
  <si>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</si>
  <si>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</si>
  <si>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</si>
  <si>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</si>
  <si>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</si>
  <si>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</si>
  <si>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</si>
  <si>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</si>
  <si>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</si>
  <si>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</si>
  <si>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</si>
  <si>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</si>
  <si>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</si>
  <si>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</si>
  <si>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</si>
  <si>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</si>
  <si>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</si>
  <si>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</si>
  <si>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</si>
  <si>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</si>
  <si>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</si>
  <si>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</si>
  <si>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</si>
  <si>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</si>
  <si>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</si>
  <si>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</si>
  <si>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</si>
  <si>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</si>
  <si>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</si>
  <si>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</si>
  <si>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</si>
  <si>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</si>
  <si>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</si>
  <si>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</si>
  <si>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</si>
  <si>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</si>
  <si>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</si>
  <si>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</si>
  <si>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</si>
  <si>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</si>
  <si>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mission</t>
  </si>
  <si>
    <t>engines</t>
  </si>
  <si>
    <t>lift</t>
  </si>
  <si>
    <t>thrust</t>
  </si>
  <si>
    <t>weight</t>
  </si>
  <si>
    <t>fuel_tanks</t>
  </si>
  <si>
    <t>cargo_hold</t>
  </si>
  <si>
    <t>cabin</t>
  </si>
  <si>
    <t>payload</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</si>
  <si>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</si>
  <si>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</si>
  <si>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</si>
  <si>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</si>
  <si>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</si>
  <si>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</si>
  <si>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</si>
  <si>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</si>
  <si>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</si>
  <si>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</si>
  <si>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</si>
  <si>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</si>
  <si>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</si>
  <si>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</si>
  <si>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</si>
  <si>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</si>
  <si>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</si>
  <si>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</si>
  <si>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</si>
  <si>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</si>
  <si>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</si>
  <si>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</si>
  <si>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</si>
  <si>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</si>
  <si>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</si>
  <si>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</si>
  <si>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</si>
  <si>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</si>
  <si>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</si>
  <si>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</si>
  <si>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</si>
  <si>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</si>
  <si>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</si>
  <si>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</si>
  <si>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</si>
  <si>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</si>
  <si>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</si>
  <si>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</si>
  <si>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</si>
  <si>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</si>
  <si>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</si>
  <si>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</si>
  <si>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</si>
  <si>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</si>
  <si>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</si>
  <si>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</si>
  <si>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</si>
  <si>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</si>
  <si>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</si>
  <si>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</si>
  <si>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</si>
  <si>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</si>
  <si>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</si>
  <si>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</si>
  <si>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</si>
  <si>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</si>
  <si>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</si>
  <si>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</si>
  <si>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</si>
  <si>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</si>
  <si>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</si>
  <si>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</si>
  <si>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</si>
  <si>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</si>
  <si>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</si>
  <si>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</si>
  <si>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</si>
  <si>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</si>
  <si>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</si>
  <si>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</si>
  <si>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</si>
  <si>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</si>
  <si>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</si>
  <si>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</si>
  <si>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</si>
  <si>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</si>
  <si>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</si>
  <si>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</si>
  <si>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</si>
  <si>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</si>
  <si>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</si>
  <si>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</si>
  <si>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</si>
  <si>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</si>
  <si>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</si>
  <si>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</si>
  <si>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</si>
  <si>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</si>
  <si>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</si>
  <si>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</si>
  <si>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</si>
  <si>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</si>
  <si>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</si>
  <si>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</si>
  <si>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</si>
  <si>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</si>
  <si>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</si>
  <si>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</si>
  <si>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</si>
  <si>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</si>
  <si>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</si>
  <si>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</si>
  <si>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</si>
  <si>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</si>
  <si>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</si>
  <si>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</si>
  <si>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</si>
  <si>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</si>
  <si>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</si>
  <si>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</si>
  <si>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</si>
  <si>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</si>
  <si>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</si>
  <si>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</si>
  <si>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</si>
  <si>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</si>
  <si>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</si>
  <si>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</si>
  <si>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</si>
  <si>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</si>
  <si>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</si>
  <si>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</si>
  <si>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</si>
  <si>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</si>
  <si>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</si>
  <si>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</si>
  <si>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</si>
  <si>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</si>
  <si>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</si>
  <si>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</si>
  <si>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</si>
  <si>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</si>
  <si>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</si>
  <si>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</si>
  <si>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</si>
  <si>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</si>
  <si>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</si>
  <si>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</si>
  <si>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</si>
  <si>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</si>
  <si>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</si>
  <si>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</si>
  <si>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</si>
  <si>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</si>
  <si>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</si>
  <si>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</si>
  <si>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</si>
  <si>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</si>
  <si>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wing_body</t>
  </si>
  <si>
    <t>geometry</t>
  </si>
  <si>
    <t>propulsion</t>
  </si>
  <si>
    <t>aerodynamics</t>
  </si>
  <si>
    <t>structure</t>
  </si>
  <si>
    <t>control</t>
  </si>
  <si>
    <t>weight_balance_inertia</t>
  </si>
  <si>
    <t>vertical_surfaces</t>
  </si>
  <si>
    <t>landing_gears</t>
  </si>
  <si>
    <t>inputs</t>
  </si>
  <si>
    <t>consumption</t>
  </si>
  <si>
    <t>flow</t>
  </si>
  <si>
    <t>acoustic_inputs</t>
  </si>
  <si>
    <t>airfoils</t>
  </si>
  <si>
    <t>twists_and_fillets</t>
  </si>
  <si>
    <t>drag</t>
  </si>
  <si>
    <t>angle_of_attack</t>
  </si>
  <si>
    <t>lift_over_drag</t>
  </si>
  <si>
    <t>MAC</t>
  </si>
  <si>
    <t>center_of_mass</t>
  </si>
  <si>
    <t>inertia</t>
  </si>
  <si>
    <t>engine_sizing</t>
  </si>
  <si>
    <t>control_surfaces</t>
  </si>
  <si>
    <t>Nom de la variable pour Model Center
(snake_case)</t>
  </si>
  <si>
    <t>Groupe ModelCenter
(snake_case)</t>
  </si>
  <si>
    <t>Sous-groupe ModelCenter
(snake_case)</t>
  </si>
  <si>
    <t>Masse 
Centrage 
et 
Inerties</t>
  </si>
  <si>
    <t>Sous-groupes</t>
  </si>
  <si>
    <t>Position longitudinale, latérale et verticale du CdG des cases du train principal</t>
  </si>
  <si>
    <t>Czmax</t>
  </si>
  <si>
    <t>twist_angle_p1</t>
  </si>
  <si>
    <t>twist_angle_p0_1</t>
  </si>
  <si>
    <t>twist_angle_p0</t>
  </si>
  <si>
    <t>mission_type</t>
  </si>
  <si>
    <t>Type de mission</t>
  </si>
  <si>
    <t>MisTyp</t>
  </si>
  <si>
    <t>NopDec</t>
  </si>
  <si>
    <t>TypPol</t>
  </si>
  <si>
    <t>Nsor</t>
  </si>
  <si>
    <t>Option de calcul des performances au décollage</t>
  </si>
  <si>
    <t>Niveau de détail des sorties du module mission</t>
  </si>
  <si>
    <t>take_off_option</t>
  </si>
  <si>
    <t>polar_type</t>
  </si>
  <si>
    <t>GaMt</t>
  </si>
  <si>
    <t>GaDe</t>
  </si>
  <si>
    <t>Vcmt</t>
  </si>
  <si>
    <t>AltAtt</t>
  </si>
  <si>
    <t>AltDec</t>
  </si>
  <si>
    <t>Tsdec</t>
  </si>
  <si>
    <t>Nzdec</t>
  </si>
  <si>
    <t>V2</t>
  </si>
  <si>
    <t>Dmis</t>
  </si>
  <si>
    <t>HcroD</t>
  </si>
  <si>
    <t>Minit</t>
  </si>
  <si>
    <t>Hcro</t>
  </si>
  <si>
    <t>Mcro</t>
  </si>
  <si>
    <t>McroD</t>
  </si>
  <si>
    <t>XcroiD</t>
  </si>
  <si>
    <t>TroD</t>
  </si>
  <si>
    <t>TroA</t>
  </si>
  <si>
    <t>Taa</t>
  </si>
  <si>
    <t>TCs</t>
  </si>
  <si>
    <t>CstMot</t>
  </si>
  <si>
    <t>CstCs</t>
  </si>
  <si>
    <t>Fmin</t>
  </si>
  <si>
    <t>Anm</t>
  </si>
  <si>
    <t>Anmr</t>
  </si>
  <si>
    <t>Dt</t>
  </si>
  <si>
    <t>Nmot</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</si>
  <si>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</si>
  <si>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</si>
  <si>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</si>
  <si>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</si>
  <si>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</si>
  <si>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</si>
  <si>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</si>
  <si>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</si>
  <si>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</si>
  <si>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</si>
  <si>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</si>
  <si>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</si>
  <si>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</si>
  <si>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</si>
  <si>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</si>
  <si>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</si>
  <si>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</si>
  <si>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</si>
  <si>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</si>
  <si>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</si>
  <si>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</si>
  <si>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NzExt</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</si>
  <si>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</si>
  <si>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</si>
  <si>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</si>
  <si>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</si>
  <si>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</si>
  <si>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</si>
  <si>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</si>
  <si>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</si>
  <si>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</si>
  <si>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</si>
  <si>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</si>
  <si>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</si>
  <si>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</si>
  <si>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</si>
  <si>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</si>
  <si>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</si>
  <si>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</si>
  <si>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</si>
  <si>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</si>
  <si>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</si>
  <si>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</si>
  <si>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</si>
  <si>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</si>
  <si>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</si>
  <si>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</si>
  <si>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</si>
  <si>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</si>
  <si>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Pas d'intégration</t>
  </si>
  <si>
    <t>time_step</t>
  </si>
  <si>
    <t>Type de polaire en entrée du module mission</t>
  </si>
  <si>
    <t>mission_output_features</t>
  </si>
  <si>
    <t>Commentaires</t>
  </si>
  <si>
    <t>Y32</t>
  </si>
  <si>
    <t>Y01</t>
  </si>
  <si>
    <t>Y04</t>
  </si>
  <si>
    <t>Y05</t>
  </si>
  <si>
    <t>Y15</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</si>
  <si>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</si>
  <si>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</si>
  <si>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</si>
  <si>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</si>
  <si>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</si>
  <si>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</si>
  <si>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</si>
  <si>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</si>
  <si>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</si>
  <si>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</si>
  <si>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</si>
  <si>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</si>
  <si>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</si>
  <si>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</si>
  <si>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</si>
  <si>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</si>
  <si>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</si>
  <si>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</si>
  <si>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</si>
  <si>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</si>
  <si>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</si>
  <si>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</si>
  <si>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</si>
  <si>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</si>
  <si>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</si>
  <si>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</si>
  <si>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</si>
  <si>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</si>
  <si>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</si>
  <si>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</si>
  <si>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</si>
  <si>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</si>
  <si>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</si>
  <si>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</si>
  <si>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</si>
  <si>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</si>
  <si>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</si>
  <si>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</si>
  <si>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</si>
  <si>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</si>
  <si>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</si>
  <si>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</si>
  <si>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</si>
  <si>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X0.weight_balance_inertia.center_of_mass</t>
  </si>
  <si>
    <t>Y30.weight_balance_inertia.center_of_mass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</si>
  <si>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</si>
  <si>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</si>
  <si>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</si>
  <si>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</si>
  <si>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</si>
  <si>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</si>
  <si>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</si>
  <si>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</si>
  <si>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</si>
  <si>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</si>
  <si>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</si>
  <si>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</si>
  <si>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</si>
  <si>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</si>
  <si>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</si>
  <si>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</si>
  <si>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</si>
  <si>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</si>
  <si>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</si>
  <si>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Y02.weight_balance_inertia.center_of_mass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</si>
  <si>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</si>
  <si>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</si>
  <si>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</si>
  <si>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</si>
  <si>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</si>
  <si>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</si>
  <si>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</si>
  <si>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</si>
  <si>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</si>
  <si>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</si>
  <si>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</si>
  <si>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</si>
  <si>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</si>
  <si>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</si>
  <si>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Y43.weight_balance_inertia.weight</t>
  </si>
  <si>
    <t>Y03.weight_balance_inertia.center_of_mass</t>
  </si>
  <si>
    <t>Y03.mission.payload</t>
  </si>
  <si>
    <t>X3.mission</t>
  </si>
  <si>
    <t>Y43.mission</t>
  </si>
  <si>
    <t>Y03.control.control_surfaces</t>
  </si>
  <si>
    <t>Y24.geometry.wing_body</t>
  </si>
  <si>
    <t>Y04.propulsion</t>
  </si>
  <si>
    <t>Y14.propulsion.thrust</t>
  </si>
  <si>
    <t>Y14.propulsion.consumption</t>
  </si>
  <si>
    <t>Y24.aerodynamics.drag</t>
  </si>
  <si>
    <t>Y24.aerodynamics.lift</t>
  </si>
  <si>
    <t>Y34.weight_balance_inertia.weight</t>
  </si>
  <si>
    <t>X4.mission.engine_sizing</t>
  </si>
  <si>
    <t>X4.mission</t>
  </si>
  <si>
    <t>X4.mission.inputs</t>
  </si>
  <si>
    <t>Y05.propulsion</t>
  </si>
  <si>
    <t>Y15.propulsion.thrust</t>
  </si>
  <si>
    <t>Y25.aerodynamics</t>
  </si>
  <si>
    <t>Y35.weight_balance_inertia.weight</t>
  </si>
  <si>
    <t>Y35.weight_balance_inertia.center_of_mass</t>
  </si>
  <si>
    <t>Y35.weight_balance_inertia.inertia</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</si>
  <si>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</si>
  <si>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</si>
  <si>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</si>
  <si>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</si>
  <si>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</si>
  <si>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</si>
  <si>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</si>
  <si>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</si>
  <si>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</si>
  <si>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Y3x.weight_balance_inertia.weight</t>
  </si>
  <si>
    <t>Y3x.mission</t>
  </si>
  <si>
    <t>Y3x.structure</t>
  </si>
  <si>
    <t>Y4x.mission</t>
  </si>
  <si>
    <t>Y5x.control</t>
  </si>
  <si>
    <t>Nombre de palettes 96 ppuces (remplissage des soutes uniquement en palettes 96p)</t>
  </si>
  <si>
    <t>oui</t>
  </si>
  <si>
    <t>Geometry</t>
  </si>
  <si>
    <t>Aerodynamics</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</si>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</sst>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
      <sz val="10"/>
      <color rgb="FFFF0000"/>
      <name val="Arial"/>
      <family val="2"/>
    </font>
    <font>
      <b/>
      <sz val="16"/>
      <color rgb="FFFF0000"/>
      <name val="Arial"/>
      <family val="2"/>
    </font>
  </fonts>
  <fills count="14">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4" tint="0.79998168889431442"/>
        <bgColor indexed="65"/>
      </patternFill>
    </fill>
    <fill>
      <patternFill patternType="solid">
        <fgColor theme="0" tint="-0.14999847407452621"/>
        <bgColor indexed="64"/>
      </patternFill>
    </fill>
  </fills>
  <borders count="83">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right/>
      <top/>
      <bottom style="medium">
        <color indexed="64"/>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medium">
        <color theme="3"/>
      </left>
      <right style="medium">
        <color theme="3"/>
      </right>
      <top style="medium">
        <color theme="3"/>
      </top>
      <bottom/>
      <diagonal/>
    </border>
    <border>
      <left style="medium">
        <color theme="3"/>
      </left>
      <right style="medium">
        <color theme="3"/>
      </right>
      <top/>
      <bottom/>
      <diagonal/>
    </border>
    <border>
      <left style="medium">
        <color theme="3"/>
      </left>
      <right style="medium">
        <color theme="3"/>
      </right>
      <top/>
      <bottom style="medium">
        <color theme="3"/>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s>
  <cellStyleXfs count="5">
    <xf numFmtId="0" fontId="0" fillId="0" borderId="0"/>
    <xf numFmtId="0" fontId="6" fillId="3" borderId="0" applyNumberFormat="0" applyBorder="0" applyAlignment="0" applyProtection="0"/>
    <xf numFmtId="0" fontId="10" fillId="0" borderId="55" applyNumberFormat="0" applyFill="0" applyAlignment="0" applyProtection="0"/>
    <xf numFmtId="0" fontId="11" fillId="0" borderId="56" applyNumberFormat="0" applyFill="0" applyAlignment="0" applyProtection="0"/>
    <xf numFmtId="0" fontId="1" fillId="12" borderId="0" applyNumberFormat="0" applyBorder="0" applyAlignment="0" applyProtection="0"/>
  </cellStyleXfs>
  <cellXfs count="391">
    <xf numFmtId="0" fontId="0" fillId="0" borderId="0" xfId="0"/>
    <xf numFmtId="0" fontId="2" fillId="0" borderId="0" xfId="0" applyFont="1"/>
    <xf numFmtId="0" fontId="4" fillId="0" borderId="0" xfId="0" applyFont="1"/>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0" xfId="0" applyFont="1" applyBorder="1"/>
    <xf numFmtId="0" fontId="3" fillId="0" borderId="0" xfId="0" applyFont="1" applyBorder="1" applyAlignment="1">
      <alignment horizontal="center"/>
    </xf>
    <xf numFmtId="0" fontId="6" fillId="3" borderId="0" xfId="1"/>
    <xf numFmtId="0" fontId="3" fillId="0" borderId="14"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6" xfId="0" applyFont="1" applyBorder="1" applyAlignment="1">
      <alignment horizontal="center" vertical="center" wrapText="1"/>
    </xf>
    <xf numFmtId="0" fontId="3" fillId="0" borderId="39" xfId="0" applyFont="1" applyBorder="1" applyAlignment="1">
      <alignment horizontal="center" vertical="center" wrapText="1"/>
    </xf>
    <xf numFmtId="0" fontId="3" fillId="0" borderId="40" xfId="0" applyFont="1" applyBorder="1" applyAlignment="1">
      <alignment horizontal="center" vertical="center" wrapText="1"/>
    </xf>
    <xf numFmtId="0" fontId="3" fillId="0" borderId="38" xfId="0" applyFont="1" applyBorder="1" applyAlignment="1">
      <alignment horizontal="center" vertical="center" wrapText="1"/>
    </xf>
    <xf numFmtId="0" fontId="5" fillId="4" borderId="10" xfId="0" applyFont="1" applyFill="1" applyBorder="1" applyAlignment="1">
      <alignment wrapText="1"/>
    </xf>
    <xf numFmtId="0" fontId="5" fillId="4" borderId="15" xfId="0" applyFont="1" applyFill="1" applyBorder="1" applyAlignment="1">
      <alignment wrapText="1"/>
    </xf>
    <xf numFmtId="0" fontId="5" fillId="4" borderId="10" xfId="0" applyFont="1" applyFill="1" applyBorder="1" applyAlignment="1">
      <alignment vertical="center" wrapText="1"/>
    </xf>
    <xf numFmtId="0" fontId="5" fillId="4" borderId="15" xfId="0" applyFont="1" applyFill="1" applyBorder="1" applyAlignment="1">
      <alignment vertical="center" wrapText="1"/>
    </xf>
    <xf numFmtId="0" fontId="5" fillId="4" borderId="15" xfId="0" applyFont="1" applyFill="1" applyBorder="1" applyAlignment="1">
      <alignment vertical="top" wrapText="1"/>
    </xf>
    <xf numFmtId="0" fontId="5" fillId="4" borderId="10" xfId="0" applyFont="1" applyFill="1" applyBorder="1" applyAlignment="1">
      <alignment vertical="top" wrapText="1"/>
    </xf>
    <xf numFmtId="0" fontId="5" fillId="4" borderId="11" xfId="0" applyFont="1" applyFill="1" applyBorder="1" applyAlignment="1">
      <alignment vertical="top" wrapText="1"/>
    </xf>
    <xf numFmtId="0" fontId="5" fillId="4" borderId="17" xfId="0" applyFont="1" applyFill="1" applyBorder="1" applyAlignment="1">
      <alignment wrapText="1"/>
    </xf>
    <xf numFmtId="0" fontId="5" fillId="4" borderId="17" xfId="0" applyFont="1" applyFill="1" applyBorder="1" applyAlignment="1">
      <alignment vertical="top" wrapText="1"/>
    </xf>
    <xf numFmtId="0" fontId="5" fillId="5" borderId="10" xfId="0" applyFont="1" applyFill="1" applyBorder="1" applyAlignment="1">
      <alignment wrapText="1"/>
    </xf>
    <xf numFmtId="0" fontId="5" fillId="5" borderId="15" xfId="0" applyFont="1" applyFill="1" applyBorder="1" applyAlignment="1">
      <alignment wrapText="1"/>
    </xf>
    <xf numFmtId="0" fontId="5" fillId="5" borderId="11" xfId="0" applyFont="1" applyFill="1" applyBorder="1" applyAlignment="1">
      <alignment wrapText="1"/>
    </xf>
    <xf numFmtId="0" fontId="5" fillId="5" borderId="17" xfId="0" applyFont="1" applyFill="1" applyBorder="1" applyAlignment="1">
      <alignment wrapText="1"/>
    </xf>
    <xf numFmtId="0" fontId="5" fillId="6" borderId="9" xfId="0" applyFont="1" applyFill="1" applyBorder="1" applyAlignment="1">
      <alignment wrapText="1"/>
    </xf>
    <xf numFmtId="0" fontId="5" fillId="6" borderId="16" xfId="0" applyFont="1" applyFill="1" applyBorder="1" applyAlignment="1">
      <alignment wrapText="1"/>
    </xf>
    <xf numFmtId="0" fontId="5" fillId="6" borderId="15" xfId="0" applyFont="1" applyFill="1" applyBorder="1" applyAlignment="1">
      <alignment wrapText="1"/>
    </xf>
    <xf numFmtId="0" fontId="5" fillId="6" borderId="10" xfId="0" applyFont="1" applyFill="1" applyBorder="1" applyAlignment="1">
      <alignment wrapText="1"/>
    </xf>
    <xf numFmtId="0" fontId="5" fillId="6" borderId="17" xfId="0" applyFont="1" applyFill="1" applyBorder="1" applyAlignment="1">
      <alignment wrapText="1"/>
    </xf>
    <xf numFmtId="0" fontId="5" fillId="7" borderId="9" xfId="0" applyFont="1" applyFill="1" applyBorder="1" applyAlignment="1">
      <alignment wrapText="1"/>
    </xf>
    <xf numFmtId="0" fontId="5" fillId="7" borderId="16" xfId="0" applyFont="1" applyFill="1" applyBorder="1" applyAlignment="1">
      <alignment wrapText="1"/>
    </xf>
    <xf numFmtId="0" fontId="5" fillId="7" borderId="10" xfId="0" applyFont="1" applyFill="1" applyBorder="1" applyAlignment="1">
      <alignment wrapText="1"/>
    </xf>
    <xf numFmtId="0" fontId="5" fillId="7" borderId="15" xfId="0" applyFont="1" applyFill="1" applyBorder="1" applyAlignment="1">
      <alignment wrapText="1"/>
    </xf>
    <xf numFmtId="0" fontId="3" fillId="7" borderId="11" xfId="0" applyFont="1" applyFill="1" applyBorder="1" applyAlignment="1">
      <alignment horizontal="center" vertical="top"/>
    </xf>
    <xf numFmtId="0" fontId="5" fillId="7" borderId="11" xfId="0" applyFont="1" applyFill="1" applyBorder="1" applyAlignment="1">
      <alignment wrapText="1"/>
    </xf>
    <xf numFmtId="0" fontId="5" fillId="7" borderId="17" xfId="0" applyFont="1" applyFill="1" applyBorder="1" applyAlignment="1">
      <alignment wrapText="1"/>
    </xf>
    <xf numFmtId="0" fontId="3" fillId="0" borderId="51" xfId="0" applyFont="1" applyBorder="1" applyAlignment="1">
      <alignment horizontal="center" vertical="center" wrapText="1"/>
    </xf>
    <xf numFmtId="0" fontId="5" fillId="4" borderId="1" xfId="0" applyFont="1" applyFill="1" applyBorder="1" applyAlignment="1">
      <alignment wrapText="1"/>
    </xf>
    <xf numFmtId="0" fontId="5" fillId="4" borderId="2" xfId="0" applyFont="1" applyFill="1" applyBorder="1" applyAlignment="1">
      <alignment wrapText="1"/>
    </xf>
    <xf numFmtId="0" fontId="5" fillId="4" borderId="1" xfId="0" applyFont="1" applyFill="1" applyBorder="1" applyAlignment="1">
      <alignment vertical="center" wrapText="1"/>
    </xf>
    <xf numFmtId="0" fontId="5" fillId="4" borderId="2" xfId="0" applyFont="1" applyFill="1" applyBorder="1" applyAlignment="1">
      <alignment vertical="center" wrapText="1"/>
    </xf>
    <xf numFmtId="0" fontId="5" fillId="4" borderId="4" xfId="0" applyFont="1" applyFill="1" applyBorder="1" applyAlignment="1">
      <alignment wrapText="1"/>
    </xf>
    <xf numFmtId="0" fontId="5" fillId="5" borderId="1" xfId="0" applyFont="1" applyFill="1" applyBorder="1" applyAlignment="1">
      <alignment wrapText="1"/>
    </xf>
    <xf numFmtId="0" fontId="5" fillId="5" borderId="2" xfId="0" applyFont="1" applyFill="1" applyBorder="1" applyAlignment="1">
      <alignment wrapText="1"/>
    </xf>
    <xf numFmtId="0" fontId="5" fillId="5" borderId="3" xfId="0" applyFont="1" applyFill="1" applyBorder="1" applyAlignment="1">
      <alignment wrapText="1"/>
    </xf>
    <xf numFmtId="0" fontId="5" fillId="5" borderId="4" xfId="0" applyFont="1" applyFill="1" applyBorder="1" applyAlignment="1">
      <alignment wrapText="1"/>
    </xf>
    <xf numFmtId="0" fontId="5" fillId="6" borderId="31" xfId="0" applyFont="1" applyFill="1" applyBorder="1" applyAlignment="1">
      <alignment wrapText="1"/>
    </xf>
    <xf numFmtId="0" fontId="5" fillId="6" borderId="32" xfId="0" applyFont="1" applyFill="1" applyBorder="1" applyAlignment="1">
      <alignment wrapText="1"/>
    </xf>
    <xf numFmtId="0" fontId="5" fillId="7" borderId="31" xfId="0" applyFont="1" applyFill="1" applyBorder="1" applyAlignment="1">
      <alignment wrapText="1"/>
    </xf>
    <xf numFmtId="0" fontId="5" fillId="7" borderId="32" xfId="0" applyFont="1" applyFill="1" applyBorder="1" applyAlignment="1">
      <alignment wrapText="1"/>
    </xf>
    <xf numFmtId="0" fontId="5" fillId="7" borderId="1" xfId="0" applyFont="1" applyFill="1" applyBorder="1" applyAlignment="1">
      <alignment wrapText="1"/>
    </xf>
    <xf numFmtId="0" fontId="5" fillId="7" borderId="2" xfId="0" applyFont="1" applyFill="1" applyBorder="1" applyAlignment="1">
      <alignment wrapText="1"/>
    </xf>
    <xf numFmtId="0" fontId="5" fillId="7" borderId="3" xfId="0" applyFont="1" applyFill="1" applyBorder="1" applyAlignment="1">
      <alignment wrapText="1"/>
    </xf>
    <xf numFmtId="0" fontId="5" fillId="7" borderId="4" xfId="0" applyFont="1" applyFill="1" applyBorder="1" applyAlignment="1">
      <alignment wrapText="1"/>
    </xf>
    <xf numFmtId="0" fontId="5" fillId="4" borderId="1" xfId="0" applyFont="1" applyFill="1" applyBorder="1" applyAlignment="1">
      <alignment vertical="top" wrapText="1"/>
    </xf>
    <xf numFmtId="0" fontId="5" fillId="4" borderId="3" xfId="0" applyFont="1" applyFill="1" applyBorder="1" applyAlignment="1">
      <alignment vertical="top" wrapText="1"/>
    </xf>
    <xf numFmtId="0" fontId="7" fillId="9" borderId="0" xfId="0" applyFont="1" applyFill="1" applyAlignment="1">
      <alignment vertical="center" textRotation="90"/>
    </xf>
    <xf numFmtId="0" fontId="7" fillId="9" borderId="0" xfId="0" quotePrefix="1" applyFont="1" applyFill="1" applyAlignment="1">
      <alignment vertical="center" textRotation="90"/>
    </xf>
    <xf numFmtId="0" fontId="3" fillId="0" borderId="39" xfId="0" applyFont="1" applyBorder="1" applyAlignment="1">
      <alignment horizontal="center" vertical="center"/>
    </xf>
    <xf numFmtId="0" fontId="3" fillId="0" borderId="38" xfId="0" applyFont="1" applyBorder="1" applyAlignment="1">
      <alignment horizontal="center" vertical="center"/>
    </xf>
    <xf numFmtId="0" fontId="5" fillId="4" borderId="41" xfId="0" applyFont="1" applyFill="1" applyBorder="1" applyAlignment="1">
      <alignment wrapText="1"/>
    </xf>
    <xf numFmtId="0" fontId="5" fillId="4" borderId="41" xfId="0" applyFont="1" applyFill="1" applyBorder="1" applyAlignment="1">
      <alignment vertical="center" wrapText="1"/>
    </xf>
    <xf numFmtId="0" fontId="5" fillId="4" borderId="42" xfId="0" applyFont="1" applyFill="1" applyBorder="1" applyAlignment="1">
      <alignment wrapText="1"/>
    </xf>
    <xf numFmtId="0" fontId="5" fillId="5" borderId="41" xfId="0" applyFont="1" applyFill="1" applyBorder="1" applyAlignment="1">
      <alignment wrapText="1"/>
    </xf>
    <xf numFmtId="0" fontId="5" fillId="5" borderId="42" xfId="0" applyFont="1" applyFill="1" applyBorder="1" applyAlignment="1">
      <alignment wrapText="1"/>
    </xf>
    <xf numFmtId="0" fontId="5" fillId="6" borderId="45" xfId="0" applyFont="1" applyFill="1" applyBorder="1" applyAlignment="1">
      <alignment wrapText="1"/>
    </xf>
    <xf numFmtId="0" fontId="5" fillId="6" borderId="41" xfId="0" applyFont="1" applyFill="1" applyBorder="1" applyAlignment="1">
      <alignment vertical="top" wrapText="1"/>
    </xf>
    <xf numFmtId="0" fontId="5" fillId="7" borderId="45" xfId="0" applyFont="1" applyFill="1" applyBorder="1" applyAlignment="1">
      <alignment wrapText="1"/>
    </xf>
    <xf numFmtId="0" fontId="5" fillId="7" borderId="41" xfId="0" applyFont="1" applyFill="1" applyBorder="1" applyAlignment="1">
      <alignment wrapText="1"/>
    </xf>
    <xf numFmtId="0" fontId="3" fillId="0" borderId="52" xfId="0" applyFont="1" applyBorder="1" applyAlignment="1">
      <alignment horizontal="center" vertical="center" wrapText="1"/>
    </xf>
    <xf numFmtId="0" fontId="2" fillId="4" borderId="50" xfId="0" applyFont="1" applyFill="1" applyBorder="1"/>
    <xf numFmtId="0" fontId="3" fillId="0" borderId="23" xfId="0" applyFont="1" applyFill="1" applyBorder="1" applyAlignment="1">
      <alignment horizontal="center" vertical="center"/>
    </xf>
    <xf numFmtId="0" fontId="2" fillId="0" borderId="0" xfId="0" applyFont="1" applyFill="1" applyBorder="1"/>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56" xfId="3" applyFont="1"/>
    <xf numFmtId="0" fontId="14" fillId="0" borderId="0" xfId="0" applyFont="1"/>
    <xf numFmtId="0" fontId="3" fillId="0" borderId="47"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4" borderId="41" xfId="0" applyFont="1" applyFill="1" applyBorder="1" applyAlignment="1">
      <alignment horizontal="center"/>
    </xf>
    <xf numFmtId="0" fontId="2" fillId="0" borderId="0" xfId="0" applyFont="1" applyAlignment="1">
      <alignment horizontal="left"/>
    </xf>
    <xf numFmtId="0" fontId="4" fillId="0" borderId="0" xfId="0" applyFont="1" applyAlignment="1">
      <alignment horizontal="left"/>
    </xf>
    <xf numFmtId="0" fontId="5" fillId="4" borderId="15" xfId="0" applyFont="1" applyFill="1" applyBorder="1" applyAlignment="1">
      <alignment horizontal="left" wrapText="1"/>
    </xf>
    <xf numFmtId="0" fontId="5" fillId="4" borderId="15" xfId="0" applyFont="1" applyFill="1" applyBorder="1" applyAlignment="1">
      <alignment horizontal="left" vertical="center" wrapText="1"/>
    </xf>
    <xf numFmtId="0" fontId="5" fillId="4" borderId="15" xfId="0" applyFont="1" applyFill="1" applyBorder="1" applyAlignment="1">
      <alignment horizontal="left" vertical="top" wrapText="1"/>
    </xf>
    <xf numFmtId="0" fontId="5" fillId="4" borderId="17" xfId="0" applyFont="1" applyFill="1" applyBorder="1" applyAlignment="1">
      <alignment horizontal="left" vertical="top" wrapText="1"/>
    </xf>
    <xf numFmtId="0" fontId="5" fillId="5" borderId="15" xfId="0" applyFont="1" applyFill="1" applyBorder="1" applyAlignment="1">
      <alignment horizontal="left" wrapText="1"/>
    </xf>
    <xf numFmtId="0" fontId="5" fillId="5" borderId="17" xfId="0" applyFont="1" applyFill="1" applyBorder="1" applyAlignment="1">
      <alignment horizontal="left" wrapText="1"/>
    </xf>
    <xf numFmtId="0" fontId="5" fillId="6" borderId="16" xfId="0" applyFont="1" applyFill="1" applyBorder="1" applyAlignment="1">
      <alignment horizontal="left" wrapText="1"/>
    </xf>
    <xf numFmtId="0" fontId="5" fillId="6" borderId="15" xfId="0" applyFont="1" applyFill="1" applyBorder="1" applyAlignment="1">
      <alignment horizontal="left" wrapText="1"/>
    </xf>
    <xf numFmtId="0" fontId="5" fillId="7" borderId="16" xfId="0" applyFont="1" applyFill="1" applyBorder="1" applyAlignment="1">
      <alignment horizontal="left" wrapText="1"/>
    </xf>
    <xf numFmtId="0" fontId="5" fillId="7" borderId="15" xfId="0" applyFont="1" applyFill="1" applyBorder="1" applyAlignment="1">
      <alignment horizontal="left" wrapText="1"/>
    </xf>
    <xf numFmtId="0" fontId="14" fillId="0" borderId="0" xfId="0" applyFont="1" applyBorder="1"/>
    <xf numFmtId="0" fontId="15" fillId="9" borderId="0" xfId="0" applyFont="1" applyFill="1" applyAlignment="1">
      <alignment vertical="center" textRotation="90"/>
    </xf>
    <xf numFmtId="0" fontId="2" fillId="7" borderId="2" xfId="0" applyFont="1" applyFill="1" applyBorder="1"/>
    <xf numFmtId="0" fontId="5" fillId="4" borderId="16" xfId="0" applyFont="1" applyFill="1" applyBorder="1" applyAlignment="1">
      <alignment horizontal="left" wrapText="1"/>
    </xf>
    <xf numFmtId="0" fontId="5" fillId="4" borderId="9" xfId="0" applyFont="1" applyFill="1" applyBorder="1" applyAlignment="1">
      <alignment wrapText="1"/>
    </xf>
    <xf numFmtId="0" fontId="5" fillId="4" borderId="45" xfId="0" applyFont="1" applyFill="1" applyBorder="1" applyAlignment="1">
      <alignment wrapText="1"/>
    </xf>
    <xf numFmtId="0" fontId="5" fillId="4" borderId="16" xfId="0" applyFont="1" applyFill="1" applyBorder="1" applyAlignment="1">
      <alignment wrapText="1"/>
    </xf>
    <xf numFmtId="0" fontId="5" fillId="4" borderId="32" xfId="0" applyFont="1" applyFill="1" applyBorder="1" applyAlignment="1">
      <alignment wrapText="1"/>
    </xf>
    <xf numFmtId="0" fontId="5" fillId="4" borderId="31" xfId="0" applyFont="1" applyFill="1" applyBorder="1" applyAlignment="1">
      <alignment wrapText="1"/>
    </xf>
    <xf numFmtId="0" fontId="2" fillId="4" borderId="2" xfId="0" applyFont="1" applyFill="1" applyBorder="1"/>
    <xf numFmtId="0" fontId="2" fillId="4" borderId="42" xfId="0" applyFont="1" applyFill="1" applyBorder="1" applyAlignment="1">
      <alignment horizontal="center"/>
    </xf>
    <xf numFmtId="0" fontId="2" fillId="4" borderId="4" xfId="0" applyFont="1" applyFill="1" applyBorder="1"/>
    <xf numFmtId="0" fontId="2" fillId="5" borderId="41" xfId="0" applyFont="1" applyFill="1" applyBorder="1" applyAlignment="1">
      <alignment horizontal="center"/>
    </xf>
    <xf numFmtId="0" fontId="2" fillId="5" borderId="2" xfId="0" applyFont="1" applyFill="1" applyBorder="1"/>
    <xf numFmtId="0" fontId="2" fillId="5" borderId="42" xfId="0" applyFont="1" applyFill="1" applyBorder="1" applyAlignment="1">
      <alignment horizontal="center"/>
    </xf>
    <xf numFmtId="0" fontId="2" fillId="5" borderId="4" xfId="0" applyFont="1" applyFill="1" applyBorder="1"/>
    <xf numFmtId="0" fontId="2" fillId="6" borderId="45" xfId="0" applyFont="1" applyFill="1" applyBorder="1" applyAlignment="1">
      <alignment horizontal="center"/>
    </xf>
    <xf numFmtId="0" fontId="2" fillId="6" borderId="32" xfId="0" applyFont="1" applyFill="1" applyBorder="1"/>
    <xf numFmtId="0" fontId="2" fillId="6" borderId="41" xfId="0" applyFont="1" applyFill="1" applyBorder="1" applyAlignment="1">
      <alignment horizontal="center"/>
    </xf>
    <xf numFmtId="0" fontId="2" fillId="6" borderId="2" xfId="0" applyFont="1" applyFill="1" applyBorder="1"/>
    <xf numFmtId="0" fontId="2" fillId="7" borderId="45" xfId="0" applyFont="1" applyFill="1" applyBorder="1" applyAlignment="1">
      <alignment horizontal="center"/>
    </xf>
    <xf numFmtId="0" fontId="2" fillId="7" borderId="32" xfId="0" applyFont="1" applyFill="1" applyBorder="1"/>
    <xf numFmtId="0" fontId="2" fillId="7" borderId="41" xfId="0" applyFont="1" applyFill="1" applyBorder="1" applyAlignment="1">
      <alignment horizontal="center"/>
    </xf>
    <xf numFmtId="0" fontId="2" fillId="7" borderId="42" xfId="0" applyFont="1" applyFill="1" applyBorder="1" applyAlignment="1">
      <alignment horizontal="center"/>
    </xf>
    <xf numFmtId="0" fontId="2" fillId="7" borderId="4" xfId="0" applyFont="1" applyFill="1" applyBorder="1"/>
    <xf numFmtId="0" fontId="3" fillId="0" borderId="39" xfId="0" applyFont="1" applyFill="1" applyBorder="1" applyAlignment="1">
      <alignment horizontal="center" vertical="center" wrapText="1"/>
    </xf>
    <xf numFmtId="0" fontId="2" fillId="4" borderId="60" xfId="0" applyFont="1" applyFill="1" applyBorder="1" applyAlignment="1">
      <alignment horizontal="center"/>
    </xf>
    <xf numFmtId="0" fontId="2" fillId="4" borderId="69" xfId="0" applyFont="1" applyFill="1" applyBorder="1"/>
    <xf numFmtId="0" fontId="3" fillId="0" borderId="5" xfId="0" applyFont="1" applyBorder="1" applyAlignment="1">
      <alignment horizontal="center" vertical="center" wrapText="1"/>
    </xf>
    <xf numFmtId="0" fontId="3" fillId="0" borderId="49" xfId="0" applyFont="1" applyBorder="1" applyAlignment="1">
      <alignment horizontal="center" vertical="center" wrapText="1"/>
    </xf>
    <xf numFmtId="0" fontId="2" fillId="4" borderId="62" xfId="0" applyFont="1" applyFill="1" applyBorder="1" applyAlignment="1">
      <alignment horizontal="center"/>
    </xf>
    <xf numFmtId="0" fontId="2" fillId="4" borderId="50" xfId="0" applyFont="1" applyFill="1" applyBorder="1" applyAlignment="1">
      <alignment horizontal="center"/>
    </xf>
    <xf numFmtId="0" fontId="2" fillId="4" borderId="63" xfId="0" applyFont="1" applyFill="1" applyBorder="1" applyAlignment="1">
      <alignment horizontal="center"/>
    </xf>
    <xf numFmtId="0" fontId="2" fillId="4" borderId="21" xfId="0" applyFont="1" applyFill="1" applyBorder="1" applyAlignment="1">
      <alignment horizontal="center"/>
    </xf>
    <xf numFmtId="0" fontId="2" fillId="4" borderId="21" xfId="0" applyFont="1" applyFill="1" applyBorder="1"/>
    <xf numFmtId="0" fontId="2" fillId="4" borderId="64" xfId="0" applyFont="1" applyFill="1" applyBorder="1" applyAlignment="1">
      <alignment horizontal="center"/>
    </xf>
    <xf numFmtId="0" fontId="2" fillId="4" borderId="57" xfId="0" applyFont="1" applyFill="1" applyBorder="1" applyAlignment="1">
      <alignment horizontal="center"/>
    </xf>
    <xf numFmtId="0" fontId="2" fillId="4" borderId="22" xfId="0" applyFont="1" applyFill="1" applyBorder="1"/>
    <xf numFmtId="0" fontId="2" fillId="5" borderId="66" xfId="0" applyFont="1" applyFill="1" applyBorder="1" applyAlignment="1">
      <alignment horizontal="center"/>
    </xf>
    <xf numFmtId="0" fontId="2" fillId="5" borderId="58" xfId="0" applyFont="1" applyFill="1" applyBorder="1" applyAlignment="1">
      <alignment horizontal="center"/>
    </xf>
    <xf numFmtId="0" fontId="2" fillId="5" borderId="63" xfId="0" applyFont="1" applyFill="1" applyBorder="1" applyAlignment="1">
      <alignment horizontal="center"/>
    </xf>
    <xf numFmtId="0" fontId="2" fillId="5" borderId="21" xfId="0" applyFont="1" applyFill="1" applyBorder="1" applyAlignment="1">
      <alignment horizontal="center"/>
    </xf>
    <xf numFmtId="0" fontId="2" fillId="5" borderId="21" xfId="0" applyFont="1" applyFill="1" applyBorder="1"/>
    <xf numFmtId="0" fontId="2" fillId="5" borderId="64" xfId="0" applyFont="1" applyFill="1" applyBorder="1" applyAlignment="1">
      <alignment horizontal="center"/>
    </xf>
    <xf numFmtId="0" fontId="2" fillId="5" borderId="57" xfId="0" applyFont="1" applyFill="1" applyBorder="1" applyAlignment="1">
      <alignment horizontal="center"/>
    </xf>
    <xf numFmtId="0" fontId="5" fillId="5" borderId="20" xfId="0" applyFont="1" applyFill="1" applyBorder="1" applyAlignment="1">
      <alignment wrapText="1"/>
    </xf>
    <xf numFmtId="0" fontId="2" fillId="5" borderId="57" xfId="0" applyFont="1" applyFill="1" applyBorder="1"/>
    <xf numFmtId="0" fontId="2" fillId="5" borderId="68" xfId="0" applyFont="1" applyFill="1" applyBorder="1"/>
    <xf numFmtId="0" fontId="2" fillId="6" borderId="63" xfId="0" applyFont="1" applyFill="1" applyBorder="1" applyAlignment="1">
      <alignment horizontal="center"/>
    </xf>
    <xf numFmtId="0" fontId="2" fillId="6" borderId="21" xfId="0" applyFont="1" applyFill="1" applyBorder="1" applyAlignment="1">
      <alignment horizontal="center"/>
    </xf>
    <xf numFmtId="0" fontId="2" fillId="6" borderId="21" xfId="0" applyFont="1" applyFill="1" applyBorder="1"/>
    <xf numFmtId="0" fontId="2" fillId="6" borderId="57" xfId="0" applyFont="1" applyFill="1" applyBorder="1"/>
    <xf numFmtId="0" fontId="5" fillId="10" borderId="16" xfId="0" applyFont="1" applyFill="1" applyBorder="1" applyAlignment="1">
      <alignment horizontal="left" wrapText="1"/>
    </xf>
    <xf numFmtId="0" fontId="5" fillId="10" borderId="9" xfId="0" applyFont="1" applyFill="1" applyBorder="1" applyAlignment="1">
      <alignment wrapText="1"/>
    </xf>
    <xf numFmtId="0" fontId="2" fillId="10" borderId="66" xfId="0" applyFont="1" applyFill="1" applyBorder="1" applyAlignment="1">
      <alignment horizontal="center"/>
    </xf>
    <xf numFmtId="0" fontId="2" fillId="10" borderId="58" xfId="0" applyFont="1" applyFill="1" applyBorder="1" applyAlignment="1">
      <alignment horizontal="center"/>
    </xf>
    <xf numFmtId="0" fontId="5" fillId="10" borderId="45" xfId="0" applyFont="1" applyFill="1" applyBorder="1" applyAlignment="1">
      <alignment wrapText="1"/>
    </xf>
    <xf numFmtId="0" fontId="5" fillId="10" borderId="16" xfId="0" applyFont="1" applyFill="1" applyBorder="1" applyAlignment="1">
      <alignment wrapText="1"/>
    </xf>
    <xf numFmtId="0" fontId="5" fillId="10" borderId="32" xfId="0" applyFont="1" applyFill="1" applyBorder="1" applyAlignment="1">
      <alignment wrapText="1"/>
    </xf>
    <xf numFmtId="0" fontId="5" fillId="10" borderId="31" xfId="0" applyFont="1" applyFill="1" applyBorder="1" applyAlignment="1">
      <alignment wrapText="1"/>
    </xf>
    <xf numFmtId="0" fontId="2" fillId="10" borderId="45" xfId="0" applyFont="1" applyFill="1" applyBorder="1" applyAlignment="1">
      <alignment horizontal="center"/>
    </xf>
    <xf numFmtId="0" fontId="2" fillId="10" borderId="32" xfId="0" applyFont="1" applyFill="1" applyBorder="1"/>
    <xf numFmtId="0" fontId="5" fillId="10" borderId="15" xfId="0" applyFont="1" applyFill="1" applyBorder="1" applyAlignment="1">
      <alignment horizontal="left" wrapText="1"/>
    </xf>
    <xf numFmtId="0" fontId="5" fillId="10" borderId="10" xfId="0" applyFont="1" applyFill="1" applyBorder="1" applyAlignment="1">
      <alignment wrapText="1"/>
    </xf>
    <xf numFmtId="0" fontId="2" fillId="10" borderId="63" xfId="0" applyFont="1" applyFill="1" applyBorder="1" applyAlignment="1">
      <alignment horizontal="center"/>
    </xf>
    <xf numFmtId="0" fontId="2" fillId="10" borderId="21" xfId="0" applyFont="1" applyFill="1" applyBorder="1" applyAlignment="1">
      <alignment horizontal="center"/>
    </xf>
    <xf numFmtId="0" fontId="5" fillId="10" borderId="15" xfId="0" applyFont="1" applyFill="1" applyBorder="1" applyAlignment="1">
      <alignment wrapText="1"/>
    </xf>
    <xf numFmtId="0" fontId="2" fillId="10" borderId="21" xfId="0" applyFont="1" applyFill="1" applyBorder="1"/>
    <xf numFmtId="0" fontId="2" fillId="10" borderId="41" xfId="0" applyFont="1" applyFill="1" applyBorder="1" applyAlignment="1">
      <alignment horizontal="center"/>
    </xf>
    <xf numFmtId="0" fontId="2" fillId="10" borderId="2" xfId="0" applyFont="1" applyFill="1" applyBorder="1"/>
    <xf numFmtId="0" fontId="2" fillId="7" borderId="66" xfId="0" applyFont="1" applyFill="1" applyBorder="1" applyAlignment="1">
      <alignment horizontal="center"/>
    </xf>
    <xf numFmtId="0" fontId="2" fillId="7" borderId="58" xfId="0" applyFont="1" applyFill="1" applyBorder="1" applyAlignment="1">
      <alignment horizontal="center"/>
    </xf>
    <xf numFmtId="0" fontId="2" fillId="7" borderId="63" xfId="0" applyFont="1" applyFill="1" applyBorder="1" applyAlignment="1">
      <alignment horizontal="center"/>
    </xf>
    <xf numFmtId="0" fontId="2" fillId="7" borderId="21" xfId="0" applyFont="1" applyFill="1" applyBorder="1" applyAlignment="1">
      <alignment horizontal="center"/>
    </xf>
    <xf numFmtId="0" fontId="2" fillId="7" borderId="21" xfId="0" applyFont="1" applyFill="1" applyBorder="1"/>
    <xf numFmtId="0" fontId="2" fillId="10" borderId="50" xfId="0" applyFont="1" applyFill="1" applyBorder="1"/>
    <xf numFmtId="0" fontId="5" fillId="10" borderId="15" xfId="0" applyFont="1" applyFill="1" applyBorder="1" applyAlignment="1">
      <alignment horizontal="left" vertical="top" wrapText="1"/>
    </xf>
    <xf numFmtId="0" fontId="5" fillId="10" borderId="10" xfId="0" applyFont="1" applyFill="1" applyBorder="1" applyAlignment="1">
      <alignment vertical="top" wrapText="1"/>
    </xf>
    <xf numFmtId="0" fontId="5" fillId="10" borderId="41" xfId="0" applyFont="1" applyFill="1" applyBorder="1" applyAlignment="1">
      <alignment vertical="top" wrapText="1"/>
    </xf>
    <xf numFmtId="0" fontId="5" fillId="10" borderId="2" xfId="0" applyFont="1" applyFill="1" applyBorder="1" applyAlignment="1">
      <alignment vertical="top" wrapText="1"/>
    </xf>
    <xf numFmtId="0" fontId="5" fillId="10" borderId="1" xfId="0" applyFont="1" applyFill="1" applyBorder="1" applyAlignment="1">
      <alignment vertical="top" wrapText="1"/>
    </xf>
    <xf numFmtId="0" fontId="5" fillId="10" borderId="15" xfId="0" applyFont="1" applyFill="1" applyBorder="1" applyAlignment="1">
      <alignment vertical="top" wrapText="1"/>
    </xf>
    <xf numFmtId="0" fontId="3" fillId="10" borderId="36" xfId="0" applyFont="1" applyFill="1" applyBorder="1" applyAlignment="1">
      <alignment horizontal="center" vertical="top"/>
    </xf>
    <xf numFmtId="0" fontId="3" fillId="10" borderId="61" xfId="0" applyFont="1" applyFill="1" applyBorder="1" applyAlignment="1">
      <alignment horizontal="center" vertical="top"/>
    </xf>
    <xf numFmtId="0" fontId="5" fillId="10" borderId="20" xfId="0" applyFont="1" applyFill="1" applyBorder="1" applyAlignment="1">
      <alignment horizontal="left" vertical="top" wrapText="1"/>
    </xf>
    <xf numFmtId="0" fontId="5" fillId="10" borderId="8" xfId="0" applyFont="1" applyFill="1" applyBorder="1" applyAlignment="1">
      <alignment vertical="top" wrapText="1"/>
    </xf>
    <xf numFmtId="0" fontId="2" fillId="10" borderId="64" xfId="0" applyFont="1" applyFill="1" applyBorder="1" applyAlignment="1">
      <alignment horizontal="center"/>
    </xf>
    <xf numFmtId="0" fontId="2" fillId="10" borderId="57" xfId="0" applyFont="1" applyFill="1" applyBorder="1" applyAlignment="1">
      <alignment horizontal="center"/>
    </xf>
    <xf numFmtId="0" fontId="5" fillId="10" borderId="59" xfId="0" applyFont="1" applyFill="1" applyBorder="1" applyAlignment="1">
      <alignment vertical="top" wrapText="1"/>
    </xf>
    <xf numFmtId="0" fontId="5" fillId="10" borderId="20" xfId="0" applyFont="1" applyFill="1" applyBorder="1" applyAlignment="1">
      <alignment wrapText="1"/>
    </xf>
    <xf numFmtId="0" fontId="5" fillId="10" borderId="68" xfId="0" applyFont="1" applyFill="1" applyBorder="1" applyAlignment="1">
      <alignment vertical="top" wrapText="1"/>
    </xf>
    <xf numFmtId="0" fontId="5" fillId="10" borderId="53" xfId="0" applyFont="1" applyFill="1" applyBorder="1" applyAlignment="1">
      <alignment vertical="top" wrapText="1"/>
    </xf>
    <xf numFmtId="0" fontId="5" fillId="10" borderId="20" xfId="0" applyFont="1" applyFill="1" applyBorder="1" applyAlignment="1">
      <alignment vertical="top" wrapText="1"/>
    </xf>
    <xf numFmtId="0" fontId="2" fillId="10" borderId="57" xfId="0" applyFont="1" applyFill="1" applyBorder="1"/>
    <xf numFmtId="0" fontId="2" fillId="10" borderId="59" xfId="0" applyFont="1" applyFill="1" applyBorder="1" applyAlignment="1">
      <alignment horizontal="center"/>
    </xf>
    <xf numFmtId="0" fontId="2" fillId="10" borderId="68" xfId="0" applyFont="1" applyFill="1" applyBorder="1"/>
    <xf numFmtId="0" fontId="5" fillId="5" borderId="18" xfId="0" applyFont="1" applyFill="1" applyBorder="1" applyAlignment="1">
      <alignment horizontal="left" wrapText="1"/>
    </xf>
    <xf numFmtId="0" fontId="5" fillId="5" borderId="7" xfId="0" applyFont="1" applyFill="1" applyBorder="1" applyAlignment="1">
      <alignment wrapText="1"/>
    </xf>
    <xf numFmtId="0" fontId="5" fillId="5" borderId="60" xfId="0" applyFont="1" applyFill="1" applyBorder="1" applyAlignment="1">
      <alignment wrapText="1"/>
    </xf>
    <xf numFmtId="0" fontId="5" fillId="5" borderId="18" xfId="0" applyFont="1" applyFill="1" applyBorder="1" applyAlignment="1">
      <alignment wrapText="1"/>
    </xf>
    <xf numFmtId="0" fontId="5" fillId="5" borderId="69" xfId="0" applyFont="1" applyFill="1" applyBorder="1" applyAlignment="1">
      <alignment wrapText="1"/>
    </xf>
    <xf numFmtId="0" fontId="5" fillId="5" borderId="54" xfId="0" applyFont="1" applyFill="1" applyBorder="1" applyAlignment="1">
      <alignment wrapText="1"/>
    </xf>
    <xf numFmtId="0" fontId="2" fillId="5" borderId="58" xfId="0" applyFont="1" applyFill="1" applyBorder="1"/>
    <xf numFmtId="0" fontId="2" fillId="5" borderId="60" xfId="0" applyFont="1" applyFill="1" applyBorder="1" applyAlignment="1">
      <alignment horizontal="center"/>
    </xf>
    <xf numFmtId="0" fontId="2" fillId="5" borderId="69" xfId="0" applyFont="1" applyFill="1" applyBorder="1"/>
    <xf numFmtId="0" fontId="5" fillId="5" borderId="20" xfId="0" applyFont="1" applyFill="1" applyBorder="1" applyAlignment="1">
      <alignment horizontal="left" wrapText="1"/>
    </xf>
    <xf numFmtId="0" fontId="5" fillId="5" borderId="8" xfId="0" applyFont="1" applyFill="1" applyBorder="1" applyAlignment="1">
      <alignment wrapText="1"/>
    </xf>
    <xf numFmtId="0" fontId="5" fillId="5" borderId="59" xfId="0" applyFont="1" applyFill="1" applyBorder="1" applyAlignment="1">
      <alignment wrapText="1"/>
    </xf>
    <xf numFmtId="0" fontId="5" fillId="5" borderId="68" xfId="0" applyFont="1" applyFill="1" applyBorder="1" applyAlignment="1">
      <alignment wrapText="1"/>
    </xf>
    <xf numFmtId="0" fontId="5" fillId="5" borderId="53" xfId="0" applyFont="1" applyFill="1" applyBorder="1" applyAlignment="1">
      <alignment wrapText="1"/>
    </xf>
    <xf numFmtId="0" fontId="3" fillId="6" borderId="9" xfId="0" applyFont="1" applyFill="1" applyBorder="1" applyAlignment="1">
      <alignment horizontal="center" vertical="top"/>
    </xf>
    <xf numFmtId="0" fontId="2" fillId="6" borderId="62" xfId="0" applyFont="1" applyFill="1" applyBorder="1" applyAlignment="1">
      <alignment horizontal="center"/>
    </xf>
    <xf numFmtId="0" fontId="2" fillId="6" borderId="50" xfId="0" applyFont="1" applyFill="1" applyBorder="1" applyAlignment="1">
      <alignment horizontal="center"/>
    </xf>
    <xf numFmtId="0" fontId="2" fillId="6" borderId="58" xfId="0" applyFont="1" applyFill="1" applyBorder="1"/>
    <xf numFmtId="0" fontId="3" fillId="6" borderId="7" xfId="0" applyFont="1" applyFill="1" applyBorder="1" applyAlignment="1">
      <alignment horizontal="center" vertical="top"/>
    </xf>
    <xf numFmtId="0" fontId="5" fillId="6" borderId="41" xfId="0" applyFont="1" applyFill="1" applyBorder="1" applyAlignment="1">
      <alignment wrapText="1"/>
    </xf>
    <xf numFmtId="0" fontId="5" fillId="6" borderId="2" xfId="0" applyFont="1" applyFill="1" applyBorder="1" applyAlignment="1">
      <alignment wrapText="1"/>
    </xf>
    <xf numFmtId="0" fontId="5" fillId="6" borderId="1" xfId="0" applyFont="1" applyFill="1" applyBorder="1" applyAlignment="1">
      <alignment wrapText="1"/>
    </xf>
    <xf numFmtId="0" fontId="3" fillId="6" borderId="10" xfId="0" applyFont="1" applyFill="1" applyBorder="1" applyAlignment="1">
      <alignment horizontal="center" vertical="top"/>
    </xf>
    <xf numFmtId="0" fontId="5" fillId="6" borderId="17" xfId="0" applyFont="1" applyFill="1" applyBorder="1" applyAlignment="1">
      <alignment horizontal="left" wrapText="1"/>
    </xf>
    <xf numFmtId="0" fontId="5" fillId="6" borderId="11" xfId="0" applyFont="1" applyFill="1" applyBorder="1" applyAlignment="1">
      <alignment wrapText="1"/>
    </xf>
    <xf numFmtId="0" fontId="2" fillId="6" borderId="65" xfId="0" applyFont="1" applyFill="1" applyBorder="1" applyAlignment="1">
      <alignment horizontal="center"/>
    </xf>
    <xf numFmtId="0" fontId="2" fillId="6" borderId="22" xfId="0" applyFont="1" applyFill="1" applyBorder="1" applyAlignment="1">
      <alignment horizontal="center"/>
    </xf>
    <xf numFmtId="0" fontId="5" fillId="6" borderId="42" xfId="0" applyFont="1" applyFill="1" applyBorder="1" applyAlignment="1">
      <alignment wrapText="1"/>
    </xf>
    <xf numFmtId="0" fontId="5" fillId="6" borderId="4" xfId="0" applyFont="1" applyFill="1" applyBorder="1" applyAlignment="1">
      <alignment wrapText="1"/>
    </xf>
    <xf numFmtId="0" fontId="5" fillId="6" borderId="3" xfId="0" applyFont="1" applyFill="1" applyBorder="1" applyAlignment="1">
      <alignment wrapText="1"/>
    </xf>
    <xf numFmtId="0" fontId="2" fillId="6" borderId="42" xfId="0" applyFont="1" applyFill="1" applyBorder="1" applyAlignment="1">
      <alignment horizontal="center"/>
    </xf>
    <xf numFmtId="0" fontId="2" fillId="6" borderId="4" xfId="0" applyFont="1" applyFill="1" applyBorder="1"/>
    <xf numFmtId="0" fontId="3" fillId="8" borderId="5" xfId="0" applyFont="1" applyFill="1" applyBorder="1" applyAlignment="1">
      <alignment horizontal="center" vertical="top"/>
    </xf>
    <xf numFmtId="0" fontId="3" fillId="8" borderId="12" xfId="0" applyFont="1" applyFill="1" applyBorder="1" applyAlignment="1">
      <alignment horizontal="center" vertical="top"/>
    </xf>
    <xf numFmtId="0" fontId="5" fillId="8" borderId="19" xfId="0" applyFont="1" applyFill="1" applyBorder="1" applyAlignment="1">
      <alignment horizontal="left" wrapText="1"/>
    </xf>
    <xf numFmtId="0" fontId="5" fillId="8" borderId="12" xfId="0" applyFont="1" applyFill="1" applyBorder="1" applyAlignment="1">
      <alignment wrapText="1"/>
    </xf>
    <xf numFmtId="0" fontId="2" fillId="8" borderId="39" xfId="0" applyFont="1" applyFill="1" applyBorder="1" applyAlignment="1">
      <alignment horizontal="center"/>
    </xf>
    <xf numFmtId="0" fontId="2" fillId="8" borderId="23" xfId="0" applyFont="1" applyFill="1" applyBorder="1" applyAlignment="1">
      <alignment horizontal="center"/>
    </xf>
    <xf numFmtId="0" fontId="5" fillId="8" borderId="46" xfId="0" applyFont="1" applyFill="1" applyBorder="1" applyAlignment="1">
      <alignment horizontal="left" wrapText="1"/>
    </xf>
    <xf numFmtId="0" fontId="5" fillId="8" borderId="49" xfId="0" applyFont="1" applyFill="1" applyBorder="1" applyAlignment="1">
      <alignment wrapText="1"/>
    </xf>
    <xf numFmtId="0" fontId="5" fillId="8" borderId="5" xfId="0" applyFont="1" applyFill="1" applyBorder="1" applyAlignment="1">
      <alignment wrapText="1"/>
    </xf>
    <xf numFmtId="0" fontId="5" fillId="8" borderId="19" xfId="0" applyFont="1" applyFill="1" applyBorder="1" applyAlignment="1">
      <alignment wrapText="1"/>
    </xf>
    <xf numFmtId="0" fontId="2" fillId="8" borderId="23" xfId="0" applyFont="1" applyFill="1" applyBorder="1"/>
    <xf numFmtId="0" fontId="2" fillId="8" borderId="46" xfId="0" applyFont="1" applyFill="1" applyBorder="1" applyAlignment="1">
      <alignment horizontal="center"/>
    </xf>
    <xf numFmtId="0" fontId="2" fillId="8" borderId="49" xfId="0" applyFont="1" applyFill="1" applyBorder="1"/>
    <xf numFmtId="0" fontId="3" fillId="11" borderId="31" xfId="0" applyFont="1" applyFill="1" applyBorder="1" applyAlignment="1">
      <alignment horizontal="center" vertical="top"/>
    </xf>
    <xf numFmtId="0" fontId="5" fillId="11" borderId="16" xfId="0" applyFont="1" applyFill="1" applyBorder="1" applyAlignment="1">
      <alignment horizontal="left" wrapText="1"/>
    </xf>
    <xf numFmtId="0" fontId="5" fillId="11" borderId="16" xfId="0" applyFont="1" applyFill="1" applyBorder="1" applyAlignment="1">
      <alignment wrapText="1"/>
    </xf>
    <xf numFmtId="0" fontId="2" fillId="11" borderId="9" xfId="0" applyFont="1" applyFill="1" applyBorder="1" applyAlignment="1">
      <alignment horizontal="center"/>
    </xf>
    <xf numFmtId="0" fontId="2" fillId="11" borderId="50" xfId="0" applyFont="1" applyFill="1" applyBorder="1" applyAlignment="1">
      <alignment horizontal="center"/>
    </xf>
    <xf numFmtId="0" fontId="5" fillId="11" borderId="45" xfId="0" applyFont="1" applyFill="1" applyBorder="1" applyAlignment="1">
      <alignment wrapText="1"/>
    </xf>
    <xf numFmtId="0" fontId="5" fillId="11" borderId="9" xfId="0" applyFont="1" applyFill="1" applyBorder="1" applyAlignment="1">
      <alignment wrapText="1"/>
    </xf>
    <xf numFmtId="0" fontId="5" fillId="11" borderId="31" xfId="0" applyFont="1" applyFill="1" applyBorder="1" applyAlignment="1">
      <alignment wrapText="1"/>
    </xf>
    <xf numFmtId="0" fontId="5" fillId="11" borderId="32" xfId="0" applyFont="1" applyFill="1" applyBorder="1" applyAlignment="1">
      <alignment wrapText="1"/>
    </xf>
    <xf numFmtId="0" fontId="2" fillId="11" borderId="48" xfId="0" applyFont="1" applyFill="1" applyBorder="1"/>
    <xf numFmtId="0" fontId="2" fillId="11" borderId="45" xfId="0" applyFont="1" applyFill="1" applyBorder="1" applyAlignment="1">
      <alignment horizontal="center"/>
    </xf>
    <xf numFmtId="0" fontId="2" fillId="11" borderId="32" xfId="0" applyFont="1" applyFill="1" applyBorder="1"/>
    <xf numFmtId="0" fontId="3" fillId="11" borderId="1" xfId="0" applyFont="1" applyFill="1" applyBorder="1" applyAlignment="1">
      <alignment horizontal="center" vertical="top"/>
    </xf>
    <xf numFmtId="0" fontId="5" fillId="11" borderId="15" xfId="0" applyFont="1" applyFill="1" applyBorder="1" applyAlignment="1">
      <alignment horizontal="left" wrapText="1"/>
    </xf>
    <xf numFmtId="0" fontId="5" fillId="11" borderId="15" xfId="0" applyFont="1" applyFill="1" applyBorder="1" applyAlignment="1">
      <alignment wrapText="1"/>
    </xf>
    <xf numFmtId="0" fontId="2" fillId="11" borderId="10" xfId="0" applyFont="1" applyFill="1" applyBorder="1" applyAlignment="1">
      <alignment horizontal="center"/>
    </xf>
    <xf numFmtId="0" fontId="2" fillId="11" borderId="21" xfId="0" applyFont="1" applyFill="1" applyBorder="1" applyAlignment="1">
      <alignment horizontal="center"/>
    </xf>
    <xf numFmtId="0" fontId="5" fillId="11" borderId="41" xfId="0" applyFont="1" applyFill="1" applyBorder="1" applyAlignment="1">
      <alignment wrapText="1"/>
    </xf>
    <xf numFmtId="0" fontId="5" fillId="11" borderId="10" xfId="0" applyFont="1" applyFill="1" applyBorder="1" applyAlignment="1">
      <alignment wrapText="1"/>
    </xf>
    <xf numFmtId="0" fontId="5" fillId="11" borderId="1" xfId="0" applyFont="1" applyFill="1" applyBorder="1" applyAlignment="1">
      <alignment wrapText="1"/>
    </xf>
    <xf numFmtId="0" fontId="5" fillId="11" borderId="2" xfId="0" applyFont="1" applyFill="1" applyBorder="1" applyAlignment="1">
      <alignment wrapText="1"/>
    </xf>
    <xf numFmtId="0" fontId="2" fillId="11" borderId="36" xfId="0" applyFont="1" applyFill="1" applyBorder="1"/>
    <xf numFmtId="0" fontId="2" fillId="11" borderId="41" xfId="0" applyFont="1" applyFill="1" applyBorder="1" applyAlignment="1">
      <alignment horizontal="center"/>
    </xf>
    <xf numFmtId="0" fontId="2" fillId="11" borderId="2" xfId="0" applyFont="1" applyFill="1" applyBorder="1"/>
    <xf numFmtId="0" fontId="5" fillId="11" borderId="15" xfId="0" applyFont="1" applyFill="1" applyBorder="1" applyAlignment="1">
      <alignment horizontal="justify" vertical="top" wrapText="1"/>
    </xf>
    <xf numFmtId="0" fontId="5" fillId="11" borderId="1" xfId="0" applyFont="1" applyFill="1" applyBorder="1" applyAlignment="1">
      <alignment vertical="top" wrapText="1"/>
    </xf>
    <xf numFmtId="0" fontId="5" fillId="11" borderId="15" xfId="0" applyFont="1" applyFill="1" applyBorder="1" applyAlignment="1">
      <alignment vertical="top" wrapText="1"/>
    </xf>
    <xf numFmtId="0" fontId="5" fillId="11" borderId="2" xfId="0" applyFont="1" applyFill="1" applyBorder="1" applyAlignment="1">
      <alignment vertical="top" wrapText="1"/>
    </xf>
    <xf numFmtId="0" fontId="5" fillId="11" borderId="17" xfId="0" applyFont="1" applyFill="1" applyBorder="1" applyAlignment="1">
      <alignment horizontal="left" wrapText="1"/>
    </xf>
    <xf numFmtId="0" fontId="5" fillId="11" borderId="17" xfId="0" applyFont="1" applyFill="1" applyBorder="1" applyAlignment="1">
      <alignment wrapText="1"/>
    </xf>
    <xf numFmtId="0" fontId="2" fillId="11" borderId="11" xfId="0" applyFont="1" applyFill="1" applyBorder="1" applyAlignment="1">
      <alignment horizontal="center"/>
    </xf>
    <xf numFmtId="0" fontId="2" fillId="11" borderId="22" xfId="0" applyFont="1" applyFill="1" applyBorder="1" applyAlignment="1">
      <alignment horizontal="center"/>
    </xf>
    <xf numFmtId="0" fontId="5" fillId="11" borderId="42" xfId="0" applyFont="1" applyFill="1" applyBorder="1" applyAlignment="1">
      <alignment wrapText="1"/>
    </xf>
    <xf numFmtId="0" fontId="5" fillId="11" borderId="11" xfId="0" applyFont="1" applyFill="1" applyBorder="1" applyAlignment="1">
      <alignment wrapText="1"/>
    </xf>
    <xf numFmtId="0" fontId="5" fillId="11" borderId="3" xfId="0" applyFont="1" applyFill="1" applyBorder="1" applyAlignment="1">
      <alignment wrapText="1"/>
    </xf>
    <xf numFmtId="0" fontId="5" fillId="11" borderId="4" xfId="0" applyFont="1" applyFill="1" applyBorder="1" applyAlignment="1">
      <alignment wrapText="1"/>
    </xf>
    <xf numFmtId="0" fontId="2" fillId="11" borderId="37" xfId="0" applyFont="1" applyFill="1" applyBorder="1"/>
    <xf numFmtId="0" fontId="2" fillId="11" borderId="42" xfId="0" applyFont="1" applyFill="1" applyBorder="1" applyAlignment="1">
      <alignment horizontal="center"/>
    </xf>
    <xf numFmtId="0" fontId="2" fillId="11" borderId="4" xfId="0" applyFont="1" applyFill="1" applyBorder="1"/>
    <xf numFmtId="0" fontId="3" fillId="7" borderId="9" xfId="0" applyFont="1" applyFill="1" applyBorder="1" applyAlignment="1">
      <alignment horizontal="center" vertical="top"/>
    </xf>
    <xf numFmtId="0" fontId="2" fillId="7" borderId="58" xfId="0" applyFont="1" applyFill="1" applyBorder="1"/>
    <xf numFmtId="0" fontId="2" fillId="7" borderId="50" xfId="0" applyFont="1" applyFill="1" applyBorder="1" applyAlignment="1">
      <alignment horizontal="center"/>
    </xf>
    <xf numFmtId="0" fontId="5" fillId="7" borderId="41" xfId="0" applyFont="1" applyFill="1" applyBorder="1" applyAlignment="1">
      <alignment horizontal="left" wrapText="1"/>
    </xf>
    <xf numFmtId="0" fontId="5" fillId="7" borderId="17" xfId="0" applyFont="1" applyFill="1" applyBorder="1" applyAlignment="1">
      <alignment horizontal="left" vertical="top" wrapText="1"/>
    </xf>
    <xf numFmtId="0" fontId="5" fillId="7" borderId="11" xfId="0" applyFont="1" applyFill="1" applyBorder="1" applyAlignment="1">
      <alignment vertical="top" wrapText="1"/>
    </xf>
    <xf numFmtId="0" fontId="2" fillId="7" borderId="65" xfId="0" applyFont="1" applyFill="1" applyBorder="1" applyAlignment="1">
      <alignment horizontal="center"/>
    </xf>
    <xf numFmtId="0" fontId="2" fillId="7" borderId="22" xfId="0" applyFont="1" applyFill="1" applyBorder="1" applyAlignment="1">
      <alignment horizontal="center"/>
    </xf>
    <xf numFmtId="0" fontId="5" fillId="7" borderId="42" xfId="0" applyFont="1" applyFill="1" applyBorder="1" applyAlignment="1">
      <alignment vertical="top" wrapText="1"/>
    </xf>
    <xf numFmtId="0" fontId="2" fillId="7" borderId="22" xfId="0" applyFont="1" applyFill="1" applyBorder="1"/>
    <xf numFmtId="0" fontId="3" fillId="0" borderId="23" xfId="0" applyFont="1" applyBorder="1" applyAlignment="1">
      <alignment horizontal="center" vertical="center" wrapText="1"/>
    </xf>
    <xf numFmtId="0" fontId="2" fillId="4" borderId="22" xfId="0" applyFont="1" applyFill="1" applyBorder="1" applyAlignment="1">
      <alignment horizontal="center"/>
    </xf>
    <xf numFmtId="0" fontId="2" fillId="10" borderId="50" xfId="0" applyFont="1" applyFill="1" applyBorder="1" applyAlignment="1">
      <alignment horizontal="center"/>
    </xf>
    <xf numFmtId="0" fontId="2" fillId="10" borderId="22" xfId="0" applyFont="1" applyFill="1" applyBorder="1" applyAlignment="1">
      <alignment horizontal="center"/>
    </xf>
    <xf numFmtId="0" fontId="2" fillId="5" borderId="50" xfId="0" applyFont="1" applyFill="1" applyBorder="1" applyAlignment="1">
      <alignment horizontal="center"/>
    </xf>
    <xf numFmtId="0" fontId="2" fillId="5" borderId="22" xfId="0" applyFont="1" applyFill="1" applyBorder="1" applyAlignment="1">
      <alignment horizontal="center"/>
    </xf>
    <xf numFmtId="0" fontId="7" fillId="2" borderId="39" xfId="0" applyFont="1" applyFill="1" applyBorder="1" applyAlignment="1">
      <alignment horizontal="center"/>
    </xf>
    <xf numFmtId="0" fontId="7" fillId="2" borderId="40" xfId="0" applyFont="1" applyFill="1" applyBorder="1" applyAlignment="1">
      <alignment horizontal="center"/>
    </xf>
    <xf numFmtId="0" fontId="7" fillId="2" borderId="38" xfId="0" applyFont="1" applyFill="1" applyBorder="1" applyAlignment="1">
      <alignment horizontal="center"/>
    </xf>
    <xf numFmtId="0" fontId="4" fillId="2" borderId="39" xfId="0" applyFont="1" applyFill="1" applyBorder="1" applyAlignment="1">
      <alignment horizontal="center"/>
    </xf>
    <xf numFmtId="0" fontId="4" fillId="2" borderId="40" xfId="0" applyFont="1" applyFill="1" applyBorder="1" applyAlignment="1">
      <alignment horizontal="center"/>
    </xf>
    <xf numFmtId="0" fontId="4" fillId="2" borderId="38" xfId="0" applyFont="1" applyFill="1" applyBorder="1" applyAlignment="1">
      <alignment horizontal="center"/>
    </xf>
    <xf numFmtId="0" fontId="8" fillId="0" borderId="47" xfId="0" applyFont="1" applyBorder="1" applyAlignment="1">
      <alignment horizontal="left" vertical="center" wrapText="1"/>
    </xf>
    <xf numFmtId="0" fontId="8" fillId="0" borderId="43" xfId="0" applyFont="1" applyBorder="1" applyAlignment="1">
      <alignment horizontal="left" vertical="center" wrapText="1"/>
    </xf>
    <xf numFmtId="0" fontId="8" fillId="0" borderId="44" xfId="0" applyFont="1" applyBorder="1" applyAlignment="1">
      <alignment horizontal="left" vertical="center" wrapText="1"/>
    </xf>
    <xf numFmtId="0" fontId="3" fillId="9" borderId="47" xfId="0" applyFont="1" applyFill="1" applyBorder="1" applyAlignment="1">
      <alignment horizontal="center" vertical="center"/>
    </xf>
    <xf numFmtId="0" fontId="3" fillId="9" borderId="44" xfId="0" applyFont="1" applyFill="1" applyBorder="1" applyAlignment="1">
      <alignment horizontal="center" vertical="center"/>
    </xf>
    <xf numFmtId="0" fontId="3" fillId="6" borderId="14" xfId="0" applyFont="1" applyFill="1" applyBorder="1" applyAlignment="1">
      <alignment horizontal="center" vertical="top"/>
    </xf>
    <xf numFmtId="0" fontId="3" fillId="6" borderId="24" xfId="0" applyFont="1" applyFill="1" applyBorder="1" applyAlignment="1">
      <alignment horizontal="center" vertical="top"/>
    </xf>
    <xf numFmtId="0" fontId="3" fillId="6" borderId="25" xfId="0" applyFont="1" applyFill="1" applyBorder="1" applyAlignment="1">
      <alignment horizontal="center" vertical="top"/>
    </xf>
    <xf numFmtId="0" fontId="3" fillId="9" borderId="26" xfId="0" applyFont="1" applyFill="1" applyBorder="1" applyAlignment="1">
      <alignment horizontal="center" wrapText="1"/>
    </xf>
    <xf numFmtId="0" fontId="3" fillId="9" borderId="27" xfId="0" applyFont="1" applyFill="1" applyBorder="1" applyAlignment="1">
      <alignment horizontal="center" wrapText="1"/>
    </xf>
    <xf numFmtId="0" fontId="3" fillId="9" borderId="28" xfId="0" applyFont="1" applyFill="1" applyBorder="1" applyAlignment="1">
      <alignment horizontal="center" wrapText="1"/>
    </xf>
    <xf numFmtId="0" fontId="3" fillId="9" borderId="29" xfId="0" applyFont="1" applyFill="1" applyBorder="1" applyAlignment="1">
      <alignment horizontal="center" wrapText="1"/>
    </xf>
    <xf numFmtId="0" fontId="3" fillId="4" borderId="8" xfId="0" applyFont="1" applyFill="1" applyBorder="1" applyAlignment="1">
      <alignment horizontal="center" vertical="top"/>
    </xf>
    <xf numFmtId="0" fontId="3" fillId="4" borderId="30" xfId="0" applyFont="1" applyFill="1" applyBorder="1" applyAlignment="1">
      <alignment horizontal="center" vertical="top"/>
    </xf>
    <xf numFmtId="0" fontId="3" fillId="4" borderId="7" xfId="0" applyFont="1" applyFill="1" applyBorder="1" applyAlignment="1">
      <alignment horizontal="center" vertical="top"/>
    </xf>
    <xf numFmtId="0" fontId="3" fillId="4" borderId="6" xfId="0" applyFont="1" applyFill="1" applyBorder="1" applyAlignment="1">
      <alignment horizontal="center" vertical="top"/>
    </xf>
    <xf numFmtId="0" fontId="3" fillId="6" borderId="20" xfId="0" applyFont="1" applyFill="1" applyBorder="1" applyAlignment="1">
      <alignment horizontal="center" vertical="top"/>
    </xf>
    <xf numFmtId="0" fontId="3" fillId="6" borderId="33" xfId="0" applyFont="1" applyFill="1" applyBorder="1" applyAlignment="1">
      <alignment horizontal="center" vertical="top"/>
    </xf>
    <xf numFmtId="0" fontId="3" fillId="6" borderId="18" xfId="0" applyFont="1" applyFill="1" applyBorder="1" applyAlignment="1">
      <alignment horizontal="center" vertical="top"/>
    </xf>
    <xf numFmtId="0" fontId="3" fillId="6" borderId="10" xfId="0" applyFont="1" applyFill="1" applyBorder="1" applyAlignment="1">
      <alignment horizontal="center" vertical="top"/>
    </xf>
    <xf numFmtId="0" fontId="3" fillId="6" borderId="35" xfId="0" applyFont="1" applyFill="1" applyBorder="1" applyAlignment="1">
      <alignment horizontal="center" vertical="top"/>
    </xf>
    <xf numFmtId="0" fontId="3" fillId="11" borderId="26" xfId="0" applyFont="1" applyFill="1" applyBorder="1" applyAlignment="1">
      <alignment horizontal="center" vertical="top" wrapText="1"/>
    </xf>
    <xf numFmtId="0" fontId="3" fillId="11" borderId="67" xfId="0" applyFont="1" applyFill="1" applyBorder="1" applyAlignment="1">
      <alignment horizontal="center" vertical="top" wrapText="1"/>
    </xf>
    <xf numFmtId="0" fontId="3" fillId="11" borderId="28" xfId="0" applyFont="1" applyFill="1" applyBorder="1" applyAlignment="1">
      <alignment horizontal="center" vertical="top" wrapText="1"/>
    </xf>
    <xf numFmtId="0" fontId="7" fillId="9" borderId="0" xfId="0" applyFont="1" applyFill="1" applyAlignment="1">
      <alignment horizontal="center" vertical="center" textRotation="90"/>
    </xf>
    <xf numFmtId="0" fontId="3" fillId="10" borderId="47" xfId="0" applyFont="1" applyFill="1" applyBorder="1" applyAlignment="1">
      <alignment horizontal="center" vertical="center"/>
    </xf>
    <xf numFmtId="0" fontId="3" fillId="10" borderId="43" xfId="0" applyFont="1" applyFill="1" applyBorder="1" applyAlignment="1">
      <alignment horizontal="center" vertical="center"/>
    </xf>
    <xf numFmtId="0" fontId="3" fillId="10" borderId="36" xfId="0" applyFont="1" applyFill="1" applyBorder="1" applyAlignment="1">
      <alignment horizontal="center" vertical="top"/>
    </xf>
    <xf numFmtId="0" fontId="3" fillId="4" borderId="14" xfId="0" applyFont="1" applyFill="1" applyBorder="1" applyAlignment="1">
      <alignment horizontal="center" vertical="top"/>
    </xf>
    <xf numFmtId="0" fontId="3" fillId="4" borderId="24" xfId="0" applyFont="1" applyFill="1" applyBorder="1" applyAlignment="1">
      <alignment horizontal="center" vertical="top"/>
    </xf>
    <xf numFmtId="0" fontId="3" fillId="4" borderId="25" xfId="0" applyFont="1" applyFill="1" applyBorder="1" applyAlignment="1">
      <alignment horizontal="center" vertical="top"/>
    </xf>
    <xf numFmtId="0" fontId="3" fillId="4" borderId="34" xfId="0" applyFont="1" applyFill="1" applyBorder="1" applyAlignment="1">
      <alignment horizontal="center" vertical="top"/>
    </xf>
    <xf numFmtId="0" fontId="3" fillId="7" borderId="14" xfId="0" applyFont="1" applyFill="1" applyBorder="1" applyAlignment="1">
      <alignment horizontal="center" vertical="top"/>
    </xf>
    <xf numFmtId="0" fontId="3" fillId="7" borderId="24" xfId="0" applyFont="1" applyFill="1" applyBorder="1" applyAlignment="1">
      <alignment horizontal="center" vertical="top"/>
    </xf>
    <xf numFmtId="0" fontId="3" fillId="7" borderId="25" xfId="0" applyFont="1" applyFill="1" applyBorder="1" applyAlignment="1">
      <alignment horizontal="center" vertical="top"/>
    </xf>
    <xf numFmtId="0" fontId="3" fillId="5" borderId="8" xfId="0" applyFont="1" applyFill="1" applyBorder="1" applyAlignment="1">
      <alignment horizontal="center" vertical="top" wrapText="1"/>
    </xf>
    <xf numFmtId="0" fontId="3" fillId="5" borderId="30" xfId="0" applyFont="1" applyFill="1" applyBorder="1" applyAlignment="1">
      <alignment horizontal="center" vertical="top" wrapText="1"/>
    </xf>
    <xf numFmtId="0" fontId="3" fillId="5" borderId="7" xfId="0" applyFont="1" applyFill="1" applyBorder="1" applyAlignment="1">
      <alignment horizontal="center" vertical="top" wrapText="1"/>
    </xf>
    <xf numFmtId="0" fontId="3" fillId="11" borderId="1" xfId="0" applyFont="1" applyFill="1" applyBorder="1" applyAlignment="1">
      <alignment horizontal="center" vertical="top"/>
    </xf>
    <xf numFmtId="0" fontId="3" fillId="7" borderId="8" xfId="0" applyFont="1" applyFill="1" applyBorder="1" applyAlignment="1">
      <alignment horizontal="center" vertical="top"/>
    </xf>
    <xf numFmtId="0" fontId="3" fillId="7" borderId="7" xfId="0" applyFont="1" applyFill="1" applyBorder="1" applyAlignment="1">
      <alignment horizontal="center" vertical="top"/>
    </xf>
    <xf numFmtId="0" fontId="3" fillId="10" borderId="48" xfId="0" applyFont="1" applyFill="1" applyBorder="1" applyAlignment="1">
      <alignment horizontal="center" vertical="top"/>
    </xf>
    <xf numFmtId="0" fontId="3" fillId="5" borderId="30" xfId="0" applyFont="1" applyFill="1" applyBorder="1" applyAlignment="1">
      <alignment horizontal="center" vertical="top"/>
    </xf>
    <xf numFmtId="0" fontId="3" fillId="5" borderId="7" xfId="0" applyFont="1" applyFill="1" applyBorder="1" applyAlignment="1">
      <alignment horizontal="center" vertical="top"/>
    </xf>
    <xf numFmtId="0" fontId="3" fillId="7" borderId="30" xfId="0" applyFont="1" applyFill="1" applyBorder="1" applyAlignment="1">
      <alignment horizontal="center" vertical="top"/>
    </xf>
    <xf numFmtId="0" fontId="3" fillId="11" borderId="3" xfId="0" applyFont="1" applyFill="1" applyBorder="1" applyAlignment="1">
      <alignment horizontal="center" vertical="top"/>
    </xf>
    <xf numFmtId="0" fontId="3" fillId="5" borderId="24" xfId="0" applyFont="1" applyFill="1" applyBorder="1" applyAlignment="1">
      <alignment horizontal="center" vertical="top"/>
    </xf>
    <xf numFmtId="0" fontId="3" fillId="5" borderId="25" xfId="0" applyFont="1" applyFill="1" applyBorder="1" applyAlignment="1">
      <alignment horizontal="center" vertical="top"/>
    </xf>
    <xf numFmtId="0" fontId="3" fillId="5" borderId="20" xfId="0" applyFont="1" applyFill="1" applyBorder="1" applyAlignment="1">
      <alignment horizontal="center" vertical="top"/>
    </xf>
    <xf numFmtId="0" fontId="3" fillId="5" borderId="33" xfId="0" applyFont="1" applyFill="1" applyBorder="1" applyAlignment="1">
      <alignment horizontal="center" vertical="top"/>
    </xf>
    <xf numFmtId="0" fontId="3" fillId="5" borderId="35" xfId="0" applyFont="1" applyFill="1" applyBorder="1" applyAlignment="1">
      <alignment horizontal="center" vertical="top"/>
    </xf>
    <xf numFmtId="0" fontId="10" fillId="0" borderId="0" xfId="2" applyBorder="1" applyAlignment="1">
      <alignment horizontal="center" vertical="center"/>
    </xf>
    <xf numFmtId="0" fontId="10" fillId="0" borderId="55" xfId="2" applyAlignment="1">
      <alignment horizontal="center" vertical="center"/>
    </xf>
    <xf numFmtId="0" fontId="0" fillId="0" borderId="26" xfId="0" applyBorder="1"/>
    <xf numFmtId="0" fontId="0" fillId="0" borderId="70" xfId="0" applyBorder="1"/>
    <xf numFmtId="0" fontId="0" fillId="0" borderId="27" xfId="0" applyBorder="1"/>
    <xf numFmtId="0" fontId="0" fillId="0" borderId="67" xfId="0" applyBorder="1"/>
    <xf numFmtId="0" fontId="0" fillId="0" borderId="0" xfId="0" applyBorder="1"/>
    <xf numFmtId="0" fontId="0" fillId="0" borderId="71" xfId="0" applyBorder="1"/>
    <xf numFmtId="0" fontId="4" fillId="0" borderId="67" xfId="0" applyFont="1" applyBorder="1"/>
    <xf numFmtId="0" fontId="4" fillId="0" borderId="71" xfId="0" applyFont="1" applyBorder="1"/>
    <xf numFmtId="0" fontId="4" fillId="0" borderId="28" xfId="0" applyFont="1" applyBorder="1"/>
    <xf numFmtId="0" fontId="4" fillId="0" borderId="72" xfId="0" applyFont="1" applyBorder="1"/>
    <xf numFmtId="0" fontId="4" fillId="0" borderId="29" xfId="0" applyFont="1" applyBorder="1"/>
    <xf numFmtId="0" fontId="6" fillId="3" borderId="39" xfId="1" applyBorder="1" applyAlignment="1">
      <alignment vertical="center"/>
    </xf>
    <xf numFmtId="0" fontId="6" fillId="3" borderId="40" xfId="1" applyBorder="1" applyAlignment="1">
      <alignment vertical="center"/>
    </xf>
    <xf numFmtId="0" fontId="6" fillId="3" borderId="40" xfId="1" applyBorder="1" applyAlignment="1">
      <alignment horizontal="center" vertical="center"/>
    </xf>
    <xf numFmtId="0" fontId="6" fillId="3" borderId="38" xfId="1" applyBorder="1" applyAlignment="1">
      <alignment horizontal="center" vertical="center"/>
    </xf>
    <xf numFmtId="0" fontId="0" fillId="0" borderId="28" xfId="0" applyBorder="1"/>
    <xf numFmtId="0" fontId="0" fillId="0" borderId="72" xfId="0" applyBorder="1"/>
    <xf numFmtId="0" fontId="0" fillId="0" borderId="29" xfId="0" applyBorder="1"/>
    <xf numFmtId="0" fontId="2" fillId="0" borderId="2" xfId="0" applyFont="1" applyBorder="1" applyAlignment="1">
      <alignment horizontal="center"/>
    </xf>
    <xf numFmtId="0" fontId="4" fillId="13" borderId="0" xfId="0" applyFont="1" applyFill="1" applyBorder="1"/>
    <xf numFmtId="0" fontId="4" fillId="0" borderId="73" xfId="0" applyFont="1" applyBorder="1"/>
    <xf numFmtId="0" fontId="4" fillId="0" borderId="75" xfId="0" applyFont="1" applyBorder="1"/>
    <xf numFmtId="0" fontId="4" fillId="13" borderId="76" xfId="0" applyFont="1" applyFill="1" applyBorder="1"/>
    <xf numFmtId="0" fontId="6" fillId="3" borderId="74" xfId="1" applyBorder="1"/>
    <xf numFmtId="0" fontId="6" fillId="3" borderId="75" xfId="1" applyBorder="1"/>
    <xf numFmtId="0" fontId="6" fillId="3" borderId="76" xfId="1" applyBorder="1"/>
    <xf numFmtId="0" fontId="6" fillId="3" borderId="77" xfId="1" applyBorder="1"/>
    <xf numFmtId="0" fontId="6" fillId="3" borderId="78" xfId="1" applyBorder="1"/>
    <xf numFmtId="0" fontId="6" fillId="3" borderId="79" xfId="1" applyBorder="1"/>
    <xf numFmtId="0" fontId="1" fillId="12" borderId="77" xfId="4" applyBorder="1"/>
    <xf numFmtId="0" fontId="1" fillId="12" borderId="78" xfId="4" applyBorder="1"/>
    <xf numFmtId="0" fontId="1" fillId="12" borderId="79" xfId="4" applyBorder="1"/>
    <xf numFmtId="0" fontId="6" fillId="3" borderId="80" xfId="1" applyBorder="1" applyAlignment="1">
      <alignment horizontal="center"/>
    </xf>
    <xf numFmtId="0" fontId="6" fillId="3" borderId="81" xfId="1" applyBorder="1" applyAlignment="1">
      <alignment horizontal="center"/>
    </xf>
    <xf numFmtId="0" fontId="6" fillId="3" borderId="82" xfId="1" applyBorder="1" applyAlignment="1">
      <alignment horizontal="center"/>
    </xf>
  </cellXfs>
  <cellStyles count="5">
    <cellStyle name="20 % - Accent1" xfId="4" builtinId="30"/>
    <cellStyle name="Accent1" xfId="1" builtinId="29"/>
    <cellStyle name="Normal" xfId="0" builtinId="0"/>
    <cellStyle name="Titre 1" xfId="2" builtinId="16"/>
    <cellStyle name="Titre 2" xfId="3" builtinId="17"/>
  </cellStyles>
  <dxfs count="0"/>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1257300</xdr:colOff>
          <xdr:row>5</xdr:row>
          <xdr:rowOff>171450</xdr:rowOff>
        </xdr:from>
        <xdr:to>
          <xdr:col>7</xdr:col>
          <xdr:colOff>0</xdr:colOff>
          <xdr:row>7</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18288" tIns="22860" rIns="18288" bIns="22860"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1209675</xdr:colOff>
          <xdr:row>8</xdr:row>
          <xdr:rowOff>0</xdr:rowOff>
        </xdr:from>
        <xdr:to>
          <xdr:col>7</xdr:col>
          <xdr:colOff>200025</xdr:colOff>
          <xdr:row>9</xdr:row>
          <xdr:rowOff>38100</xdr:rowOff>
        </xdr:to>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18288" tIns="22860" rIns="18288" bIns="22860"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339"/>
  <sheetViews>
    <sheetView tabSelected="1" topLeftCell="F1" zoomScaleNormal="100" workbookViewId="0">
      <selection activeCell="Q7" sqref="Q7"/>
    </sheetView>
  </sheetViews>
  <sheetFormatPr baseColWidth="10" defaultRowHeight="12.75" outlineLevelCol="1" x14ac:dyDescent="0.2"/>
  <cols>
    <col min="1" max="1" width="2.7109375" style="2" customWidth="1"/>
    <col min="2" max="2" width="15.42578125" style="2" bestFit="1" customWidth="1"/>
    <col min="3" max="3" width="43.28515625" style="2" customWidth="1"/>
    <col min="4" max="4" width="28.85546875" style="90" customWidth="1"/>
    <col min="5" max="5" width="71.7109375" style="2" customWidth="1"/>
    <col min="6" max="6" width="24.5703125" style="87" customWidth="1"/>
    <col min="7" max="7" width="17.140625" style="87" bestFit="1" customWidth="1"/>
    <col min="8" max="8" width="10.5703125" style="2" customWidth="1"/>
    <col min="9" max="9" width="9.42578125" style="2" customWidth="1"/>
    <col min="10" max="10" width="6.42578125" style="2" customWidth="1"/>
    <col min="11" max="16" width="6.5703125" style="2" customWidth="1"/>
    <col min="17" max="17" width="51.140625" style="2" bestFit="1" customWidth="1"/>
    <col min="18" max="18" width="5.7109375" style="85" customWidth="1"/>
    <col min="19" max="19" width="16.7109375" style="87" customWidth="1"/>
    <col min="20" max="20" width="14.140625" style="2" bestFit="1" customWidth="1"/>
    <col min="21" max="21" width="4.5703125" style="2" customWidth="1"/>
    <col min="22" max="22" width="7.140625" style="2" customWidth="1"/>
    <col min="23" max="24" width="7.140625" customWidth="1" outlineLevel="1"/>
    <col min="25" max="25" width="51.140625" bestFit="1" customWidth="1" outlineLevel="1"/>
    <col min="26" max="26" width="7.5703125" bestFit="1" customWidth="1" outlineLevel="1"/>
    <col min="27" max="27" width="7.42578125" bestFit="1" customWidth="1" outlineLevel="1"/>
    <col min="28" max="28" width="76.7109375" bestFit="1" customWidth="1" outlineLevel="1"/>
    <col min="29" max="29" width="6.140625" bestFit="1" customWidth="1" outlineLevel="1"/>
    <col min="30" max="30" width="150.5703125" style="2" bestFit="1" customWidth="1" outlineLevel="1"/>
    <col min="31" max="31" width="39.42578125" style="2" bestFit="1" customWidth="1"/>
    <col min="32" max="33" width="30.42578125" style="2" bestFit="1" customWidth="1"/>
    <col min="34" max="36" width="20.7109375" style="2" bestFit="1" customWidth="1"/>
    <col min="37" max="37" width="11.42578125" style="2"/>
    <col min="38" max="38" width="13.85546875" style="2" bestFit="1" customWidth="1"/>
    <col min="39" max="39" width="6.5703125" style="2" bestFit="1" customWidth="1"/>
    <col min="40" max="40" width="20.140625" style="2" bestFit="1" customWidth="1"/>
    <col min="41" max="16384" width="11.42578125" style="2"/>
  </cols>
  <sheetData>
    <row r="1" spans="2:40" s="1" customFormat="1" ht="13.5" customHeight="1" thickBot="1" x14ac:dyDescent="0.25">
      <c r="D1" s="89"/>
      <c r="F1" s="86"/>
      <c r="G1" s="86"/>
      <c r="R1" s="84"/>
      <c r="S1" s="86"/>
      <c r="V1" s="61"/>
      <c r="W1"/>
      <c r="X1"/>
      <c r="Y1"/>
      <c r="Z1"/>
      <c r="AA1"/>
      <c r="AB1"/>
      <c r="AC1"/>
    </row>
    <row r="2" spans="2:40" ht="21" thickBot="1" x14ac:dyDescent="0.35">
      <c r="B2" s="297" t="s">
        <v>243</v>
      </c>
      <c r="C2" s="298"/>
      <c r="D2" s="298"/>
      <c r="E2" s="298"/>
      <c r="F2" s="298"/>
      <c r="G2" s="298"/>
      <c r="H2" s="298"/>
      <c r="I2" s="298"/>
      <c r="J2" s="298"/>
      <c r="K2" s="298"/>
      <c r="L2" s="298"/>
      <c r="M2" s="298"/>
      <c r="N2" s="298"/>
      <c r="O2" s="298"/>
      <c r="P2" s="298"/>
      <c r="Q2" s="298"/>
      <c r="R2" s="298"/>
      <c r="S2" s="298"/>
      <c r="T2" s="299"/>
      <c r="V2" s="62" t="s">
        <v>591</v>
      </c>
      <c r="AD2" s="1"/>
    </row>
    <row r="3" spans="2:40" ht="13.5" thickBot="1" x14ac:dyDescent="0.25">
      <c r="B3" s="300" t="s">
        <v>242</v>
      </c>
      <c r="C3" s="301"/>
      <c r="D3" s="301"/>
      <c r="E3" s="301"/>
      <c r="F3" s="301"/>
      <c r="G3" s="301"/>
      <c r="H3" s="301"/>
      <c r="I3" s="301"/>
      <c r="J3" s="301"/>
      <c r="K3" s="301"/>
      <c r="L3" s="301"/>
      <c r="M3" s="301"/>
      <c r="N3" s="301"/>
      <c r="O3" s="301"/>
      <c r="P3" s="301"/>
      <c r="Q3" s="301"/>
      <c r="R3" s="301"/>
      <c r="S3" s="301"/>
      <c r="T3" s="302"/>
      <c r="V3" s="327" t="s">
        <v>590</v>
      </c>
      <c r="AD3" s="78"/>
    </row>
    <row r="4" spans="2:40" x14ac:dyDescent="0.2">
      <c r="V4" s="327"/>
      <c r="AD4" s="79"/>
    </row>
    <row r="5" spans="2:40" ht="13.5" thickBot="1" x14ac:dyDescent="0.25">
      <c r="V5" s="327"/>
      <c r="AD5" s="79"/>
    </row>
    <row r="6" spans="2:40" ht="15.75" thickBot="1" x14ac:dyDescent="0.3">
      <c r="B6" s="311" t="s">
        <v>246</v>
      </c>
      <c r="C6" s="312"/>
      <c r="E6" s="306" t="s">
        <v>589</v>
      </c>
      <c r="I6" s="388" t="s">
        <v>1090</v>
      </c>
      <c r="J6" s="389"/>
      <c r="K6" s="389"/>
      <c r="L6" s="389"/>
      <c r="M6" s="389"/>
      <c r="N6" s="389"/>
      <c r="O6" s="389"/>
      <c r="P6" s="390"/>
      <c r="V6" s="327"/>
      <c r="AD6" s="79"/>
    </row>
    <row r="7" spans="2:40" ht="15.75" thickBot="1" x14ac:dyDescent="0.3">
      <c r="B7" s="313"/>
      <c r="C7" s="314"/>
      <c r="E7" s="307"/>
      <c r="I7" s="379"/>
      <c r="J7" s="380" t="s">
        <v>1091</v>
      </c>
      <c r="K7" s="380">
        <v>0</v>
      </c>
      <c r="L7" s="380">
        <v>1</v>
      </c>
      <c r="M7" s="380">
        <v>2</v>
      </c>
      <c r="N7" s="380">
        <v>3</v>
      </c>
      <c r="O7" s="380">
        <v>4</v>
      </c>
      <c r="P7" s="381">
        <v>5</v>
      </c>
      <c r="V7" s="327"/>
      <c r="AD7" s="79"/>
    </row>
    <row r="8" spans="2:40" ht="15" x14ac:dyDescent="0.25">
      <c r="B8" s="3">
        <v>0</v>
      </c>
      <c r="C8" s="4" t="s">
        <v>1086</v>
      </c>
      <c r="E8" s="303" t="s">
        <v>1088</v>
      </c>
      <c r="G8" s="1"/>
      <c r="I8" s="382">
        <v>0</v>
      </c>
      <c r="J8" s="385">
        <f>COUNTIF($K$16:$K$279,CONCATENATE("X",$I8))</f>
        <v>57</v>
      </c>
      <c r="K8" s="375">
        <f>COUNTIF($K$16:$P$279,CONCATENATE("Y",$I8,K$7))</f>
        <v>0</v>
      </c>
      <c r="L8" s="7">
        <f>COUNTIF($K$16:$P$279,CONCATENATE("Y",$I8,L$7))</f>
        <v>2</v>
      </c>
      <c r="M8" s="7">
        <f>COUNTIF($K$16:$P$279,CONCATENATE("Y",$I8,M$7))</f>
        <v>51</v>
      </c>
      <c r="N8" s="7">
        <f>COUNTIF($K$16:$P$279,CONCATENATE("Y",$I8,N$7))</f>
        <v>77</v>
      </c>
      <c r="O8" s="7">
        <f>COUNTIF($K$16:$P$279,CONCATENATE("Y",$I8,O$7))</f>
        <v>1</v>
      </c>
      <c r="P8" s="376">
        <f>COUNTIF($K$16:$P$279,CONCATENATE("Y",$I8,P$7))</f>
        <v>1</v>
      </c>
      <c r="V8" s="327"/>
      <c r="AD8" s="79"/>
    </row>
    <row r="9" spans="2:40" ht="15" x14ac:dyDescent="0.25">
      <c r="B9" s="3">
        <v>1</v>
      </c>
      <c r="C9" s="4" t="s">
        <v>5</v>
      </c>
      <c r="E9" s="304"/>
      <c r="G9" s="1"/>
      <c r="I9" s="383">
        <v>1</v>
      </c>
      <c r="J9" s="386">
        <f t="shared" ref="J9:J13" si="0">COUNTIF($K$16:$K$279,CONCATENATE("X",$I9))</f>
        <v>7</v>
      </c>
      <c r="K9" s="7">
        <f>COUNTIF($K$16:$P$279,CONCATENATE("Y",$I9,K$7))</f>
        <v>8</v>
      </c>
      <c r="L9" s="375">
        <f>COUNTIF($K$16:$P$279,CONCATENATE("Y",$I9,L$7))</f>
        <v>0</v>
      </c>
      <c r="M9" s="7">
        <f>COUNTIF($K$16:$P$279,CONCATENATE("Y",$I9,M$7))</f>
        <v>9</v>
      </c>
      <c r="N9" s="7">
        <f>COUNTIF($K$16:$P$279,CONCATENATE("Y",$I9,N$7))</f>
        <v>3</v>
      </c>
      <c r="O9" s="7">
        <f>COUNTIF($K$16:$P$279,CONCATENATE("Y",$I9,O$7))</f>
        <v>10</v>
      </c>
      <c r="P9" s="376">
        <f>COUNTIF($K$16:$P$279,CONCATENATE("Y",$I9,P$7))</f>
        <v>5</v>
      </c>
      <c r="V9" s="327"/>
      <c r="AD9" s="79"/>
    </row>
    <row r="10" spans="2:40" ht="15" x14ac:dyDescent="0.25">
      <c r="B10" s="3">
        <v>2</v>
      </c>
      <c r="C10" s="374" t="s">
        <v>1087</v>
      </c>
      <c r="E10" s="304"/>
      <c r="G10" s="1"/>
      <c r="I10" s="383">
        <v>2</v>
      </c>
      <c r="J10" s="386">
        <f t="shared" si="0"/>
        <v>17</v>
      </c>
      <c r="K10" s="7">
        <f>COUNTIF($K$16:$P$279,CONCATENATE("Y",$I10,K$7))</f>
        <v>25</v>
      </c>
      <c r="L10" s="7">
        <f>COUNTIF($K$16:$P$279,CONCATENATE("Y",$I10,L$7))</f>
        <v>1</v>
      </c>
      <c r="M10" s="375">
        <f>COUNTIF($K$16:$P$279,CONCATENATE("Y",$I10,M$7))</f>
        <v>0</v>
      </c>
      <c r="N10" s="7">
        <f>COUNTIF($K$16:$P$279,CONCATENATE("Y",$I10,N$7))</f>
        <v>20</v>
      </c>
      <c r="O10" s="7">
        <f>COUNTIF($K$16:$P$279,CONCATENATE("Y",$I10,O$7))</f>
        <v>3</v>
      </c>
      <c r="P10" s="376">
        <f>COUNTIF($K$16:$P$279,CONCATENATE("Y",$I10,P$7))</f>
        <v>1</v>
      </c>
      <c r="V10" s="327"/>
      <c r="AD10" s="79"/>
    </row>
    <row r="11" spans="2:40" ht="15" x14ac:dyDescent="0.25">
      <c r="B11" s="3">
        <v>3</v>
      </c>
      <c r="C11" s="4" t="s">
        <v>7</v>
      </c>
      <c r="E11" s="304"/>
      <c r="G11" s="1"/>
      <c r="I11" s="383">
        <v>3</v>
      </c>
      <c r="J11" s="386">
        <f t="shared" si="0"/>
        <v>1</v>
      </c>
      <c r="K11" s="7">
        <f>COUNTIF($K$16:$P$279,CONCATENATE("Y",$I11,K$7))</f>
        <v>16</v>
      </c>
      <c r="L11" s="7">
        <f>COUNTIF($K$16:$P$279,CONCATENATE("Y",$I11,L$7))</f>
        <v>0</v>
      </c>
      <c r="M11" s="7">
        <f>COUNTIF($K$16:$P$279,CONCATENATE("Y",$I11,M$7))</f>
        <v>13</v>
      </c>
      <c r="N11" s="375">
        <f>COUNTIF($K$16:$P$279,CONCATENATE("Y",$I11,N$7))</f>
        <v>0</v>
      </c>
      <c r="O11" s="7">
        <f>COUNTIF($K$16:$P$279,CONCATENATE("Y",$I11,O$7))</f>
        <v>3</v>
      </c>
      <c r="P11" s="376">
        <f>COUNTIF($K$16:$P$279,CONCATENATE("Y",$I11,P$7))</f>
        <v>6</v>
      </c>
      <c r="V11" s="327"/>
      <c r="AD11" s="79"/>
    </row>
    <row r="12" spans="2:40" ht="15.75" thickBot="1" x14ac:dyDescent="0.3">
      <c r="B12" s="3">
        <v>4</v>
      </c>
      <c r="C12" s="4" t="s">
        <v>8</v>
      </c>
      <c r="E12" s="305"/>
      <c r="G12" s="1"/>
      <c r="I12" s="383">
        <v>4</v>
      </c>
      <c r="J12" s="386">
        <f t="shared" si="0"/>
        <v>29</v>
      </c>
      <c r="K12" s="7">
        <f>COUNTIF($K$16:$P$279,CONCATENATE("Y",$I12,K$7))</f>
        <v>0</v>
      </c>
      <c r="L12" s="7">
        <f>COUNTIF($K$16:$P$279,CONCATENATE("Y",$I12,L$7))</f>
        <v>0</v>
      </c>
      <c r="M12" s="7">
        <f>COUNTIF($K$16:$P$279,CONCATENATE("Y",$I12,M$7))</f>
        <v>1</v>
      </c>
      <c r="N12" s="7">
        <f>COUNTIF($K$16:$P$279,CONCATENATE("Y",$I12,N$7))</f>
        <v>3</v>
      </c>
      <c r="O12" s="375">
        <f>COUNTIF($K$16:$P$279,CONCATENATE("Y",$I12,O$7))</f>
        <v>0</v>
      </c>
      <c r="P12" s="376">
        <f>COUNTIF($K$16:$P$279,CONCATENATE("Y",$I12,P$7))</f>
        <v>0</v>
      </c>
      <c r="V12" s="327"/>
      <c r="AD12" s="79"/>
    </row>
    <row r="13" spans="2:40" ht="15.75" thickBot="1" x14ac:dyDescent="0.3">
      <c r="B13" s="5">
        <v>5</v>
      </c>
      <c r="C13" s="6" t="s">
        <v>9</v>
      </c>
      <c r="G13" s="1"/>
      <c r="I13" s="384">
        <v>5</v>
      </c>
      <c r="J13" s="387">
        <f t="shared" si="0"/>
        <v>3</v>
      </c>
      <c r="K13" s="377">
        <f>COUNTIF($K$16:$P$279,CONCATENATE("Y",$I13,K$7))</f>
        <v>0</v>
      </c>
      <c r="L13" s="377">
        <f>COUNTIF($K$16:$P$279,CONCATENATE("Y",$I13,L$7))</f>
        <v>0</v>
      </c>
      <c r="M13" s="377">
        <f>COUNTIF($K$16:$P$279,CONCATENATE("Y",$I13,M$7))</f>
        <v>0</v>
      </c>
      <c r="N13" s="377">
        <f>COUNTIF($K$16:$P$279,CONCATENATE("Y",$I13,N$7))</f>
        <v>0</v>
      </c>
      <c r="O13" s="377">
        <f>COUNTIF($K$16:$P$279,CONCATENATE("Y",$I13,O$7))</f>
        <v>0</v>
      </c>
      <c r="P13" s="378">
        <f>COUNTIF($K$16:$P$279,CONCATENATE("Y",$I13,P$7))</f>
        <v>0</v>
      </c>
      <c r="V13" s="327"/>
    </row>
    <row r="14" spans="2:40" ht="13.5" thickBot="1" x14ac:dyDescent="0.25">
      <c r="V14" s="327"/>
    </row>
    <row r="15" spans="2:40" ht="41.25" customHeight="1" thickBot="1" x14ac:dyDescent="0.25">
      <c r="B15" s="10" t="s">
        <v>18</v>
      </c>
      <c r="C15" s="11" t="s">
        <v>19</v>
      </c>
      <c r="D15" s="11" t="s">
        <v>0</v>
      </c>
      <c r="E15" s="12" t="s">
        <v>1</v>
      </c>
      <c r="F15" s="83" t="s">
        <v>865</v>
      </c>
      <c r="G15" s="83" t="s">
        <v>866</v>
      </c>
      <c r="H15" s="74" t="s">
        <v>341</v>
      </c>
      <c r="I15" s="11" t="s">
        <v>2</v>
      </c>
      <c r="J15" s="41" t="s">
        <v>3</v>
      </c>
      <c r="K15" s="13" t="s">
        <v>567</v>
      </c>
      <c r="L15" s="14" t="s">
        <v>568</v>
      </c>
      <c r="M15" s="14" t="s">
        <v>569</v>
      </c>
      <c r="N15" s="14" t="s">
        <v>570</v>
      </c>
      <c r="O15" s="14" t="s">
        <v>571</v>
      </c>
      <c r="P15" s="15" t="s">
        <v>572</v>
      </c>
      <c r="Q15" s="291" t="s">
        <v>864</v>
      </c>
      <c r="R15" s="126" t="s">
        <v>620</v>
      </c>
      <c r="S15" s="129" t="s">
        <v>1089</v>
      </c>
      <c r="T15" s="130" t="s">
        <v>963</v>
      </c>
      <c r="U15" s="8"/>
      <c r="V15" s="327"/>
      <c r="Y15" s="367" t="s">
        <v>624</v>
      </c>
      <c r="Z15" s="368" t="s">
        <v>623</v>
      </c>
      <c r="AA15" s="368" t="s">
        <v>627</v>
      </c>
      <c r="AB15" s="368" t="s">
        <v>622</v>
      </c>
      <c r="AC15" s="368" t="s">
        <v>621</v>
      </c>
      <c r="AD15" s="368" t="s">
        <v>573</v>
      </c>
      <c r="AE15" s="369" t="s">
        <v>567</v>
      </c>
      <c r="AF15" s="369" t="s">
        <v>568</v>
      </c>
      <c r="AG15" s="369" t="s">
        <v>569</v>
      </c>
      <c r="AH15" s="369" t="s">
        <v>570</v>
      </c>
      <c r="AI15" s="369" t="s">
        <v>571</v>
      </c>
      <c r="AJ15" s="370" t="s">
        <v>572</v>
      </c>
      <c r="AL15" s="63" t="s">
        <v>593</v>
      </c>
      <c r="AM15" s="64" t="s">
        <v>594</v>
      </c>
      <c r="AN15" s="76" t="s">
        <v>607</v>
      </c>
    </row>
    <row r="16" spans="2:40" x14ac:dyDescent="0.2">
      <c r="B16" s="331" t="s">
        <v>4</v>
      </c>
      <c r="C16" s="318" t="s">
        <v>20</v>
      </c>
      <c r="D16" s="104" t="s">
        <v>128</v>
      </c>
      <c r="E16" s="105" t="s">
        <v>129</v>
      </c>
      <c r="F16" s="131" t="s">
        <v>842</v>
      </c>
      <c r="G16" s="132" t="s">
        <v>841</v>
      </c>
      <c r="H16" s="106" t="s">
        <v>347</v>
      </c>
      <c r="I16" s="107" t="s">
        <v>13</v>
      </c>
      <c r="J16" s="108" t="s">
        <v>462</v>
      </c>
      <c r="K16" s="109" t="s">
        <v>120</v>
      </c>
      <c r="L16" s="107"/>
      <c r="M16" s="107"/>
      <c r="N16" s="107"/>
      <c r="O16" s="107"/>
      <c r="P16" s="105"/>
      <c r="Q16" s="75" t="s">
        <v>694</v>
      </c>
      <c r="R16" s="132">
        <v>1</v>
      </c>
      <c r="S16" s="127" t="s">
        <v>592</v>
      </c>
      <c r="T16" s="128"/>
      <c r="U16" s="7"/>
      <c r="V16" s="327"/>
      <c r="Y16" s="356" t="str">
        <f>Q16</f>
        <v>wing_reference_surface</v>
      </c>
      <c r="Z16" s="357" t="str">
        <f>I16</f>
        <v>double</v>
      </c>
      <c r="AA16" s="357" t="str">
        <f>H16</f>
        <v>scalaire</v>
      </c>
      <c r="AB16" s="357" t="str">
        <f>E16</f>
        <v>Surface de référence totale du véhicule</v>
      </c>
      <c r="AC16" s="357" t="str">
        <f t="shared" ref="AC16" si="1">J16</f>
        <v>m2</v>
      </c>
      <c r="AD16" s="358" t="str">
        <f t="shared" ref="AD16" si="2">CONCATENATE(IF(S16="oui","#",""),"variable: ",Y16," ",Z16," input ","description= """,AB16,""" units= """,AC16,"""")</f>
        <v>variable: wing_reference_surface double input description= "Surface de référence totale du véhicule" units= "m2"</v>
      </c>
      <c r="AE16" s="359" t="str">
        <f t="shared" ref="AE16:AE79" si="3">CONCATENER_MODELCENTER(K16,$F16,$G16)</f>
        <v>Y24.geometry.wing_body</v>
      </c>
      <c r="AF16" s="360" t="str">
        <f t="shared" ref="AF16:AF79" si="4">CONCATENER_MODELCENTER(L16,$F16,$G16)</f>
        <v/>
      </c>
      <c r="AG16" s="360" t="str">
        <f t="shared" ref="AG16:AG79" si="5">CONCATENER_MODELCENTER(M16,$F16,$G16)</f>
        <v/>
      </c>
      <c r="AH16" s="360" t="str">
        <f t="shared" ref="AH16:AH79" si="6">CONCATENER_MODELCENTER(N16,$F16,$G16)</f>
        <v/>
      </c>
      <c r="AI16" s="360" t="str">
        <f t="shared" ref="AI16:AI79" si="7">CONCATENER_MODELCENTER(O16,$F16,$G16)</f>
        <v/>
      </c>
      <c r="AJ16" s="361" t="str">
        <f t="shared" ref="AJ16:AJ79" si="8">CONCATENER_MODELCENTER(P16,$F16,$G16)</f>
        <v/>
      </c>
      <c r="AL16" s="2" t="s">
        <v>595</v>
      </c>
      <c r="AM16" s="1" t="s">
        <v>575</v>
      </c>
      <c r="AN16" s="1" t="s">
        <v>608</v>
      </c>
    </row>
    <row r="17" spans="2:40" x14ac:dyDescent="0.2">
      <c r="B17" s="332"/>
      <c r="C17" s="316"/>
      <c r="D17" s="91" t="s">
        <v>160</v>
      </c>
      <c r="E17" s="16" t="s">
        <v>161</v>
      </c>
      <c r="F17" s="133" t="s">
        <v>842</v>
      </c>
      <c r="G17" s="134" t="s">
        <v>841</v>
      </c>
      <c r="H17" s="65" t="s">
        <v>347</v>
      </c>
      <c r="I17" s="17" t="s">
        <v>13</v>
      </c>
      <c r="J17" s="43" t="s">
        <v>12</v>
      </c>
      <c r="K17" s="42" t="s">
        <v>130</v>
      </c>
      <c r="L17" s="17"/>
      <c r="M17" s="17"/>
      <c r="N17" s="17"/>
      <c r="O17" s="17"/>
      <c r="P17" s="16"/>
      <c r="Q17" s="135" t="s">
        <v>693</v>
      </c>
      <c r="R17" s="134">
        <v>2</v>
      </c>
      <c r="S17" s="88" t="s">
        <v>592</v>
      </c>
      <c r="T17" s="110"/>
      <c r="U17" s="7"/>
      <c r="V17" s="327"/>
      <c r="Y17" s="359" t="str">
        <f t="shared" ref="Y17:Y80" si="9">Q17</f>
        <v>wing_span</v>
      </c>
      <c r="Z17" s="360" t="str">
        <f t="shared" ref="Z17:Z80" si="10">I17</f>
        <v>double</v>
      </c>
      <c r="AA17" s="360" t="str">
        <f t="shared" ref="AA17:AA80" si="11">H17</f>
        <v>scalaire</v>
      </c>
      <c r="AB17" s="360" t="str">
        <f t="shared" ref="AB17:AB80" si="12">E17</f>
        <v>Envergure totale du véhicule</v>
      </c>
      <c r="AC17" s="360" t="str">
        <f t="shared" ref="AC17:AC80" si="13">J17</f>
        <v>m</v>
      </c>
      <c r="AD17" s="361" t="str">
        <f t="shared" ref="AD17:AD80" si="14">CONCATENATE(IF(S17="oui","#",""),"variable: ",Y17," ",Z17," input ","description= """,AB17,""" units= """,AC17,"""")</f>
        <v>variable: wing_span double input description= "Envergure totale du véhicule" units= "m"</v>
      </c>
      <c r="AE17" s="359" t="str">
        <f t="shared" si="3"/>
        <v>X0.geometry.wing_body</v>
      </c>
      <c r="AF17" s="360" t="str">
        <f t="shared" si="4"/>
        <v/>
      </c>
      <c r="AG17" s="360" t="str">
        <f t="shared" si="5"/>
        <v/>
      </c>
      <c r="AH17" s="360" t="str">
        <f t="shared" si="6"/>
        <v/>
      </c>
      <c r="AI17" s="360" t="str">
        <f t="shared" si="7"/>
        <v/>
      </c>
      <c r="AJ17" s="361" t="str">
        <f t="shared" si="8"/>
        <v/>
      </c>
      <c r="AL17" s="2" t="s">
        <v>596</v>
      </c>
      <c r="AM17" s="2" t="s">
        <v>577</v>
      </c>
      <c r="AN17" s="1" t="s">
        <v>610</v>
      </c>
    </row>
    <row r="18" spans="2:40" x14ac:dyDescent="0.2">
      <c r="B18" s="332"/>
      <c r="C18" s="316"/>
      <c r="D18" s="91" t="s">
        <v>131</v>
      </c>
      <c r="E18" s="16" t="s">
        <v>132</v>
      </c>
      <c r="F18" s="133" t="s">
        <v>842</v>
      </c>
      <c r="G18" s="134" t="s">
        <v>841</v>
      </c>
      <c r="H18" s="65" t="s">
        <v>347</v>
      </c>
      <c r="I18" s="17" t="s">
        <v>13</v>
      </c>
      <c r="J18" s="43" t="s">
        <v>51</v>
      </c>
      <c r="K18" s="42" t="s">
        <v>130</v>
      </c>
      <c r="L18" s="17"/>
      <c r="M18" s="17"/>
      <c r="N18" s="17"/>
      <c r="O18" s="17"/>
      <c r="P18" s="16"/>
      <c r="Q18" s="135" t="s">
        <v>696</v>
      </c>
      <c r="R18" s="134">
        <v>3</v>
      </c>
      <c r="S18" s="88" t="s">
        <v>592</v>
      </c>
      <c r="T18" s="110"/>
      <c r="U18" s="7"/>
      <c r="V18" s="327"/>
      <c r="Y18" s="359" t="str">
        <f t="shared" si="9"/>
        <v>wing_aspect_ratio_p2_to_p3</v>
      </c>
      <c r="Z18" s="360" t="str">
        <f t="shared" si="10"/>
        <v>double</v>
      </c>
      <c r="AA18" s="360" t="str">
        <f t="shared" si="11"/>
        <v>scalaire</v>
      </c>
      <c r="AB18" s="360" t="str">
        <f t="shared" si="12"/>
        <v>Allongement de la voilure externe, entre les plans 2 et 3</v>
      </c>
      <c r="AC18" s="360" t="str">
        <f t="shared" si="13"/>
        <v>(-)</v>
      </c>
      <c r="AD18" s="361" t="str">
        <f t="shared" si="14"/>
        <v>variable: wing_aspect_ratio_p2_to_p3 double input description= "Allongement de la voilure externe, entre les plans 2 et 3" units= "(-)"</v>
      </c>
      <c r="AE18" s="359" t="str">
        <f t="shared" si="3"/>
        <v>X0.geometry.wing_body</v>
      </c>
      <c r="AF18" s="360" t="str">
        <f t="shared" si="4"/>
        <v/>
      </c>
      <c r="AG18" s="360" t="str">
        <f t="shared" si="5"/>
        <v/>
      </c>
      <c r="AH18" s="360" t="str">
        <f t="shared" si="6"/>
        <v/>
      </c>
      <c r="AI18" s="360" t="str">
        <f t="shared" si="7"/>
        <v/>
      </c>
      <c r="AJ18" s="361" t="str">
        <f t="shared" si="8"/>
        <v/>
      </c>
      <c r="AL18" s="2" t="s">
        <v>597</v>
      </c>
      <c r="AM18" s="2" t="s">
        <v>579</v>
      </c>
      <c r="AN18" s="77" t="s">
        <v>609</v>
      </c>
    </row>
    <row r="19" spans="2:40" x14ac:dyDescent="0.2">
      <c r="B19" s="332"/>
      <c r="C19" s="316"/>
      <c r="D19" s="92" t="s">
        <v>133</v>
      </c>
      <c r="E19" s="18" t="s">
        <v>134</v>
      </c>
      <c r="F19" s="133" t="s">
        <v>842</v>
      </c>
      <c r="G19" s="134" t="s">
        <v>841</v>
      </c>
      <c r="H19" s="66" t="s">
        <v>347</v>
      </c>
      <c r="I19" s="19" t="s">
        <v>13</v>
      </c>
      <c r="J19" s="45" t="s">
        <v>51</v>
      </c>
      <c r="K19" s="44" t="s">
        <v>130</v>
      </c>
      <c r="L19" s="19"/>
      <c r="M19" s="19"/>
      <c r="N19" s="19"/>
      <c r="O19" s="19"/>
      <c r="P19" s="18"/>
      <c r="Q19" s="135" t="s">
        <v>695</v>
      </c>
      <c r="R19" s="134">
        <v>4</v>
      </c>
      <c r="S19" s="88" t="s">
        <v>592</v>
      </c>
      <c r="T19" s="110"/>
      <c r="U19" s="7"/>
      <c r="V19" s="327"/>
      <c r="Y19" s="359" t="str">
        <f t="shared" si="9"/>
        <v>wing_taper_ratio_p2_to_p3</v>
      </c>
      <c r="Z19" s="360" t="str">
        <f t="shared" si="10"/>
        <v>double</v>
      </c>
      <c r="AA19" s="360" t="str">
        <f t="shared" si="11"/>
        <v>scalaire</v>
      </c>
      <c r="AB19" s="360" t="str">
        <f t="shared" si="12"/>
        <v>Effilement de la voilure externe, entre les plans 2 et 3</v>
      </c>
      <c r="AC19" s="360" t="str">
        <f t="shared" si="13"/>
        <v>(-)</v>
      </c>
      <c r="AD19" s="361" t="str">
        <f t="shared" si="14"/>
        <v>variable: wing_taper_ratio_p2_to_p3 double input description= "Effilement de la voilure externe, entre les plans 2 et 3" units= "(-)"</v>
      </c>
      <c r="AE19" s="359" t="str">
        <f t="shared" si="3"/>
        <v>X0.geometry.wing_body</v>
      </c>
      <c r="AF19" s="360" t="str">
        <f t="shared" si="4"/>
        <v/>
      </c>
      <c r="AG19" s="360" t="str">
        <f t="shared" si="5"/>
        <v/>
      </c>
      <c r="AH19" s="360" t="str">
        <f t="shared" si="6"/>
        <v/>
      </c>
      <c r="AI19" s="360" t="str">
        <f t="shared" si="7"/>
        <v/>
      </c>
      <c r="AJ19" s="361" t="str">
        <f t="shared" si="8"/>
        <v/>
      </c>
      <c r="AL19" s="2" t="s">
        <v>598</v>
      </c>
      <c r="AM19" s="2" t="s">
        <v>580</v>
      </c>
      <c r="AN19" s="77" t="s">
        <v>611</v>
      </c>
    </row>
    <row r="20" spans="2:40" x14ac:dyDescent="0.2">
      <c r="B20" s="332"/>
      <c r="C20" s="316"/>
      <c r="D20" s="91" t="s">
        <v>135</v>
      </c>
      <c r="E20" s="16" t="s">
        <v>136</v>
      </c>
      <c r="F20" s="133" t="s">
        <v>842</v>
      </c>
      <c r="G20" s="134" t="s">
        <v>841</v>
      </c>
      <c r="H20" s="65" t="s">
        <v>347</v>
      </c>
      <c r="I20" s="17" t="s">
        <v>13</v>
      </c>
      <c r="J20" s="43" t="s">
        <v>42</v>
      </c>
      <c r="K20" s="42" t="s">
        <v>130</v>
      </c>
      <c r="L20" s="17" t="s">
        <v>419</v>
      </c>
      <c r="M20" s="17" t="s">
        <v>14</v>
      </c>
      <c r="N20" s="17"/>
      <c r="O20" s="17"/>
      <c r="P20" s="16"/>
      <c r="Q20" s="135" t="s">
        <v>629</v>
      </c>
      <c r="R20" s="134">
        <v>5</v>
      </c>
      <c r="S20" s="88" t="s">
        <v>592</v>
      </c>
      <c r="T20" s="110"/>
      <c r="U20" s="7"/>
      <c r="V20" s="327"/>
      <c r="Y20" s="359" t="str">
        <f t="shared" si="9"/>
        <v>wing_sweep_leading_edge_p0</v>
      </c>
      <c r="Z20" s="360" t="str">
        <f t="shared" si="10"/>
        <v>double</v>
      </c>
      <c r="AA20" s="360" t="str">
        <f t="shared" si="11"/>
        <v>scalaire</v>
      </c>
      <c r="AB20" s="360" t="str">
        <f t="shared" si="12"/>
        <v>Flèche du bord d'attaque au plan 0</v>
      </c>
      <c r="AC20" s="360" t="str">
        <f t="shared" si="13"/>
        <v>degré</v>
      </c>
      <c r="AD20" s="361" t="str">
        <f t="shared" si="14"/>
        <v>variable: wing_sweep_leading_edge_p0 double input description= "Flèche du bord d'attaque au plan 0" units= "degré"</v>
      </c>
      <c r="AE20" s="359" t="str">
        <f t="shared" si="3"/>
        <v>X0.geometry.wing_body</v>
      </c>
      <c r="AF20" s="360" t="str">
        <f t="shared" si="4"/>
        <v>Y02.geometry.wing_body</v>
      </c>
      <c r="AG20" s="360" t="str">
        <f t="shared" si="5"/>
        <v>Y03.geometry.wing_body</v>
      </c>
      <c r="AH20" s="360" t="str">
        <f t="shared" si="6"/>
        <v/>
      </c>
      <c r="AI20" s="360" t="str">
        <f t="shared" si="7"/>
        <v/>
      </c>
      <c r="AJ20" s="361" t="str">
        <f t="shared" si="8"/>
        <v/>
      </c>
      <c r="AL20" s="2" t="s">
        <v>599</v>
      </c>
      <c r="AM20" s="2" t="s">
        <v>583</v>
      </c>
      <c r="AN20" s="77" t="s">
        <v>612</v>
      </c>
    </row>
    <row r="21" spans="2:40" x14ac:dyDescent="0.2">
      <c r="B21" s="332"/>
      <c r="C21" s="316"/>
      <c r="D21" s="91" t="s">
        <v>467</v>
      </c>
      <c r="E21" s="16" t="s">
        <v>540</v>
      </c>
      <c r="F21" s="133" t="s">
        <v>842</v>
      </c>
      <c r="G21" s="134" t="s">
        <v>841</v>
      </c>
      <c r="H21" s="65" t="s">
        <v>347</v>
      </c>
      <c r="I21" s="17" t="s">
        <v>13</v>
      </c>
      <c r="J21" s="43" t="s">
        <v>42</v>
      </c>
      <c r="K21" s="42" t="s">
        <v>130</v>
      </c>
      <c r="L21" s="17" t="s">
        <v>419</v>
      </c>
      <c r="M21" s="17" t="s">
        <v>14</v>
      </c>
      <c r="N21" s="17"/>
      <c r="O21" s="17"/>
      <c r="P21" s="16"/>
      <c r="Q21" s="135" t="s">
        <v>630</v>
      </c>
      <c r="R21" s="134">
        <v>6</v>
      </c>
      <c r="S21" s="88" t="s">
        <v>592</v>
      </c>
      <c r="T21" s="110"/>
      <c r="U21" s="7"/>
      <c r="V21" s="327"/>
      <c r="Y21" s="359" t="str">
        <f t="shared" si="9"/>
        <v>wing_sweep_leading_edge_p0_1</v>
      </c>
      <c r="Z21" s="360" t="str">
        <f t="shared" si="10"/>
        <v>double</v>
      </c>
      <c r="AA21" s="360" t="str">
        <f t="shared" si="11"/>
        <v>scalaire</v>
      </c>
      <c r="AB21" s="360" t="str">
        <f t="shared" si="12"/>
        <v>Flèche du bord d'attaque au plan 0.1</v>
      </c>
      <c r="AC21" s="360" t="str">
        <f t="shared" si="13"/>
        <v>degré</v>
      </c>
      <c r="AD21" s="361" t="str">
        <f t="shared" si="14"/>
        <v>variable: wing_sweep_leading_edge_p0_1 double input description= "Flèche du bord d'attaque au plan 0.1" units= "degré"</v>
      </c>
      <c r="AE21" s="359" t="str">
        <f t="shared" si="3"/>
        <v>X0.geometry.wing_body</v>
      </c>
      <c r="AF21" s="360" t="str">
        <f t="shared" si="4"/>
        <v>Y02.geometry.wing_body</v>
      </c>
      <c r="AG21" s="360" t="str">
        <f t="shared" si="5"/>
        <v>Y03.geometry.wing_body</v>
      </c>
      <c r="AH21" s="360" t="str">
        <f t="shared" si="6"/>
        <v/>
      </c>
      <c r="AI21" s="360" t="str">
        <f t="shared" si="7"/>
        <v/>
      </c>
      <c r="AJ21" s="361" t="str">
        <f t="shared" si="8"/>
        <v/>
      </c>
      <c r="AL21" s="2" t="s">
        <v>600</v>
      </c>
      <c r="AM21" s="2" t="s">
        <v>585</v>
      </c>
      <c r="AN21" s="77" t="s">
        <v>613</v>
      </c>
    </row>
    <row r="22" spans="2:40" x14ac:dyDescent="0.2">
      <c r="B22" s="332"/>
      <c r="C22" s="316"/>
      <c r="D22" s="91" t="s">
        <v>137</v>
      </c>
      <c r="E22" s="16" t="s">
        <v>138</v>
      </c>
      <c r="F22" s="133" t="s">
        <v>842</v>
      </c>
      <c r="G22" s="134" t="s">
        <v>841</v>
      </c>
      <c r="H22" s="65" t="s">
        <v>347</v>
      </c>
      <c r="I22" s="17" t="s">
        <v>13</v>
      </c>
      <c r="J22" s="43" t="s">
        <v>42</v>
      </c>
      <c r="K22" s="59" t="s">
        <v>130</v>
      </c>
      <c r="L22" s="20" t="s">
        <v>419</v>
      </c>
      <c r="M22" s="20" t="s">
        <v>14</v>
      </c>
      <c r="N22" s="20"/>
      <c r="O22" s="20"/>
      <c r="P22" s="21"/>
      <c r="Q22" s="135" t="s">
        <v>631</v>
      </c>
      <c r="R22" s="134">
        <v>7</v>
      </c>
      <c r="S22" s="88" t="s">
        <v>592</v>
      </c>
      <c r="T22" s="110"/>
      <c r="U22" s="7"/>
      <c r="V22" s="327"/>
      <c r="Y22" s="359" t="str">
        <f t="shared" si="9"/>
        <v>wing_sweep_leading_edge_p1</v>
      </c>
      <c r="Z22" s="360" t="str">
        <f t="shared" si="10"/>
        <v>double</v>
      </c>
      <c r="AA22" s="360" t="str">
        <f t="shared" si="11"/>
        <v>scalaire</v>
      </c>
      <c r="AB22" s="360" t="str">
        <f t="shared" si="12"/>
        <v>Flèche du bord d'attaque au plan 1</v>
      </c>
      <c r="AC22" s="360" t="str">
        <f t="shared" si="13"/>
        <v>degré</v>
      </c>
      <c r="AD22" s="361" t="str">
        <f t="shared" si="14"/>
        <v>variable: wing_sweep_leading_edge_p1 double input description= "Flèche du bord d'attaque au plan 1" units= "degré"</v>
      </c>
      <c r="AE22" s="359" t="str">
        <f t="shared" si="3"/>
        <v>X0.geometry.wing_body</v>
      </c>
      <c r="AF22" s="360" t="str">
        <f t="shared" si="4"/>
        <v>Y02.geometry.wing_body</v>
      </c>
      <c r="AG22" s="360" t="str">
        <f t="shared" si="5"/>
        <v>Y03.geometry.wing_body</v>
      </c>
      <c r="AH22" s="360" t="str">
        <f t="shared" si="6"/>
        <v/>
      </c>
      <c r="AI22" s="360" t="str">
        <f t="shared" si="7"/>
        <v/>
      </c>
      <c r="AJ22" s="361" t="str">
        <f t="shared" si="8"/>
        <v/>
      </c>
      <c r="AL22" s="2" t="s">
        <v>601</v>
      </c>
      <c r="AM22" s="2" t="s">
        <v>576</v>
      </c>
      <c r="AN22" s="1" t="s">
        <v>614</v>
      </c>
    </row>
    <row r="23" spans="2:40" x14ac:dyDescent="0.2">
      <c r="B23" s="332"/>
      <c r="C23" s="316"/>
      <c r="D23" s="91" t="s">
        <v>139</v>
      </c>
      <c r="E23" s="16" t="s">
        <v>140</v>
      </c>
      <c r="F23" s="133" t="s">
        <v>842</v>
      </c>
      <c r="G23" s="134" t="s">
        <v>841</v>
      </c>
      <c r="H23" s="65" t="s">
        <v>347</v>
      </c>
      <c r="I23" s="17" t="s">
        <v>13</v>
      </c>
      <c r="J23" s="43" t="s">
        <v>42</v>
      </c>
      <c r="K23" s="59" t="s">
        <v>130</v>
      </c>
      <c r="L23" s="20" t="s">
        <v>419</v>
      </c>
      <c r="M23" s="20" t="s">
        <v>14</v>
      </c>
      <c r="N23" s="20"/>
      <c r="O23" s="20"/>
      <c r="P23" s="21"/>
      <c r="Q23" s="135" t="s">
        <v>632</v>
      </c>
      <c r="R23" s="134">
        <v>8</v>
      </c>
      <c r="S23" s="88" t="s">
        <v>592</v>
      </c>
      <c r="T23" s="110"/>
      <c r="U23" s="7"/>
      <c r="V23" s="327"/>
      <c r="Y23" s="359" t="str">
        <f t="shared" si="9"/>
        <v>wing_sweep_leading_edge_p2</v>
      </c>
      <c r="Z23" s="360" t="str">
        <f t="shared" si="10"/>
        <v>double</v>
      </c>
      <c r="AA23" s="360" t="str">
        <f t="shared" si="11"/>
        <v>scalaire</v>
      </c>
      <c r="AB23" s="360" t="str">
        <f t="shared" si="12"/>
        <v>Flèche du bord d'attaque au plan 2</v>
      </c>
      <c r="AC23" s="360" t="str">
        <f t="shared" si="13"/>
        <v>degré</v>
      </c>
      <c r="AD23" s="361" t="str">
        <f t="shared" si="14"/>
        <v>variable: wing_sweep_leading_edge_p2 double input description= "Flèche du bord d'attaque au plan 2" units= "degré"</v>
      </c>
      <c r="AE23" s="359" t="str">
        <f t="shared" si="3"/>
        <v>X0.geometry.wing_body</v>
      </c>
      <c r="AF23" s="360" t="str">
        <f t="shared" si="4"/>
        <v>Y02.geometry.wing_body</v>
      </c>
      <c r="AG23" s="360" t="str">
        <f t="shared" si="5"/>
        <v>Y03.geometry.wing_body</v>
      </c>
      <c r="AH23" s="360" t="str">
        <f t="shared" si="6"/>
        <v/>
      </c>
      <c r="AI23" s="360" t="str">
        <f t="shared" si="7"/>
        <v/>
      </c>
      <c r="AJ23" s="361" t="str">
        <f t="shared" si="8"/>
        <v/>
      </c>
      <c r="AL23" s="2" t="s">
        <v>602</v>
      </c>
      <c r="AM23" s="2" t="s">
        <v>578</v>
      </c>
      <c r="AN23" s="1" t="s">
        <v>615</v>
      </c>
    </row>
    <row r="24" spans="2:40" x14ac:dyDescent="0.2">
      <c r="B24" s="332"/>
      <c r="C24" s="316"/>
      <c r="D24" s="91" t="s">
        <v>468</v>
      </c>
      <c r="E24" s="16" t="s">
        <v>541</v>
      </c>
      <c r="F24" s="133" t="s">
        <v>842</v>
      </c>
      <c r="G24" s="134" t="s">
        <v>841</v>
      </c>
      <c r="H24" s="65" t="s">
        <v>347</v>
      </c>
      <c r="I24" s="17" t="s">
        <v>13</v>
      </c>
      <c r="J24" s="43" t="s">
        <v>42</v>
      </c>
      <c r="K24" s="59" t="s">
        <v>130</v>
      </c>
      <c r="L24" s="20" t="s">
        <v>419</v>
      </c>
      <c r="M24" s="20" t="s">
        <v>14</v>
      </c>
      <c r="N24" s="20"/>
      <c r="O24" s="20"/>
      <c r="P24" s="21"/>
      <c r="Q24" s="135" t="s">
        <v>633</v>
      </c>
      <c r="R24" s="134">
        <v>9</v>
      </c>
      <c r="S24" s="88" t="s">
        <v>592</v>
      </c>
      <c r="T24" s="110"/>
      <c r="U24" s="7"/>
      <c r="V24" s="327"/>
      <c r="Y24" s="359" t="str">
        <f t="shared" si="9"/>
        <v>wing_sweep_leading_edge_p2_1</v>
      </c>
      <c r="Z24" s="360" t="str">
        <f t="shared" si="10"/>
        <v>double</v>
      </c>
      <c r="AA24" s="360" t="str">
        <f t="shared" si="11"/>
        <v>scalaire</v>
      </c>
      <c r="AB24" s="360" t="str">
        <f t="shared" si="12"/>
        <v>Flèche du bord d'attaque au plan 2.1</v>
      </c>
      <c r="AC24" s="360" t="str">
        <f t="shared" si="13"/>
        <v>degré</v>
      </c>
      <c r="AD24" s="361" t="str">
        <f t="shared" si="14"/>
        <v>variable: wing_sweep_leading_edge_p2_1 double input description= "Flèche du bord d'attaque au plan 2.1" units= "degré"</v>
      </c>
      <c r="AE24" s="359" t="str">
        <f t="shared" si="3"/>
        <v>X0.geometry.wing_body</v>
      </c>
      <c r="AF24" s="360" t="str">
        <f t="shared" si="4"/>
        <v>Y02.geometry.wing_body</v>
      </c>
      <c r="AG24" s="360" t="str">
        <f t="shared" si="5"/>
        <v>Y03.geometry.wing_body</v>
      </c>
      <c r="AH24" s="360" t="str">
        <f t="shared" si="6"/>
        <v/>
      </c>
      <c r="AI24" s="360" t="str">
        <f t="shared" si="7"/>
        <v/>
      </c>
      <c r="AJ24" s="361" t="str">
        <f t="shared" si="8"/>
        <v/>
      </c>
      <c r="AL24" s="2" t="s">
        <v>603</v>
      </c>
      <c r="AM24" s="2" t="s">
        <v>581</v>
      </c>
      <c r="AN24" s="77" t="s">
        <v>616</v>
      </c>
    </row>
    <row r="25" spans="2:40" x14ac:dyDescent="0.2">
      <c r="B25" s="332"/>
      <c r="C25" s="316"/>
      <c r="D25" s="91" t="s">
        <v>481</v>
      </c>
      <c r="E25" s="16" t="s">
        <v>495</v>
      </c>
      <c r="F25" s="133" t="s">
        <v>842</v>
      </c>
      <c r="G25" s="134" t="s">
        <v>841</v>
      </c>
      <c r="H25" s="65" t="s">
        <v>347</v>
      </c>
      <c r="I25" s="17" t="s">
        <v>13</v>
      </c>
      <c r="J25" s="43" t="s">
        <v>42</v>
      </c>
      <c r="K25" s="59" t="s">
        <v>502</v>
      </c>
      <c r="L25" s="20"/>
      <c r="M25" s="20"/>
      <c r="N25" s="20"/>
      <c r="O25" s="20"/>
      <c r="P25" s="21"/>
      <c r="Q25" s="135" t="s">
        <v>634</v>
      </c>
      <c r="R25" s="134">
        <v>10</v>
      </c>
      <c r="S25" s="88" t="s">
        <v>592</v>
      </c>
      <c r="T25" s="110"/>
      <c r="U25" s="7"/>
      <c r="V25" s="327"/>
      <c r="Y25" s="359" t="str">
        <f t="shared" si="9"/>
        <v>wing_sweep_trailing_edge_p0</v>
      </c>
      <c r="Z25" s="360" t="str">
        <f t="shared" si="10"/>
        <v>double</v>
      </c>
      <c r="AA25" s="360" t="str">
        <f t="shared" si="11"/>
        <v>scalaire</v>
      </c>
      <c r="AB25" s="360" t="str">
        <f t="shared" si="12"/>
        <v>Flèche du bord de fuite au plan 0</v>
      </c>
      <c r="AC25" s="360" t="str">
        <f t="shared" si="13"/>
        <v>degré</v>
      </c>
      <c r="AD25" s="361" t="str">
        <f t="shared" si="14"/>
        <v>variable: wing_sweep_trailing_edge_p0 double input description= "Flèche du bord de fuite au plan 0" units= "degré"</v>
      </c>
      <c r="AE25" s="359" t="str">
        <f t="shared" si="3"/>
        <v>Y0x.geometry.wing_body</v>
      </c>
      <c r="AF25" s="360" t="str">
        <f t="shared" si="4"/>
        <v/>
      </c>
      <c r="AG25" s="360" t="str">
        <f t="shared" si="5"/>
        <v/>
      </c>
      <c r="AH25" s="360" t="str">
        <f t="shared" si="6"/>
        <v/>
      </c>
      <c r="AI25" s="360" t="str">
        <f t="shared" si="7"/>
        <v/>
      </c>
      <c r="AJ25" s="361" t="str">
        <f t="shared" si="8"/>
        <v/>
      </c>
      <c r="AL25" s="2" t="s">
        <v>604</v>
      </c>
      <c r="AM25" s="2" t="s">
        <v>582</v>
      </c>
      <c r="AN25" s="77" t="s">
        <v>617</v>
      </c>
    </row>
    <row r="26" spans="2:40" x14ac:dyDescent="0.2">
      <c r="B26" s="332"/>
      <c r="C26" s="316"/>
      <c r="D26" s="91" t="s">
        <v>482</v>
      </c>
      <c r="E26" s="16" t="s">
        <v>542</v>
      </c>
      <c r="F26" s="133" t="s">
        <v>842</v>
      </c>
      <c r="G26" s="134" t="s">
        <v>841</v>
      </c>
      <c r="H26" s="65" t="s">
        <v>347</v>
      </c>
      <c r="I26" s="17" t="s">
        <v>13</v>
      </c>
      <c r="J26" s="43" t="s">
        <v>42</v>
      </c>
      <c r="K26" s="59" t="s">
        <v>502</v>
      </c>
      <c r="L26" s="20"/>
      <c r="M26" s="20"/>
      <c r="N26" s="20"/>
      <c r="O26" s="20"/>
      <c r="P26" s="21"/>
      <c r="Q26" s="135" t="s">
        <v>635</v>
      </c>
      <c r="R26" s="134">
        <v>11</v>
      </c>
      <c r="S26" s="88" t="s">
        <v>592</v>
      </c>
      <c r="T26" s="110"/>
      <c r="U26" s="7"/>
      <c r="V26" s="327"/>
      <c r="Y26" s="359" t="str">
        <f t="shared" si="9"/>
        <v>wing_sweep_trailing_edge_p0_1</v>
      </c>
      <c r="Z26" s="360" t="str">
        <f t="shared" si="10"/>
        <v>double</v>
      </c>
      <c r="AA26" s="360" t="str">
        <f t="shared" si="11"/>
        <v>scalaire</v>
      </c>
      <c r="AB26" s="360" t="str">
        <f t="shared" si="12"/>
        <v>Flèche du bord de fuite au plan 0.1</v>
      </c>
      <c r="AC26" s="360" t="str">
        <f t="shared" si="13"/>
        <v>degré</v>
      </c>
      <c r="AD26" s="361" t="str">
        <f t="shared" si="14"/>
        <v>variable: wing_sweep_trailing_edge_p0_1 double input description= "Flèche du bord de fuite au plan 0.1" units= "degré"</v>
      </c>
      <c r="AE26" s="359" t="str">
        <f t="shared" si="3"/>
        <v>Y0x.geometry.wing_body</v>
      </c>
      <c r="AF26" s="360" t="str">
        <f t="shared" si="4"/>
        <v/>
      </c>
      <c r="AG26" s="360" t="str">
        <f t="shared" si="5"/>
        <v/>
      </c>
      <c r="AH26" s="360" t="str">
        <f t="shared" si="6"/>
        <v/>
      </c>
      <c r="AI26" s="360" t="str">
        <f t="shared" si="7"/>
        <v/>
      </c>
      <c r="AJ26" s="361" t="str">
        <f t="shared" si="8"/>
        <v/>
      </c>
      <c r="AL26" s="2" t="s">
        <v>605</v>
      </c>
      <c r="AM26" s="2" t="s">
        <v>584</v>
      </c>
      <c r="AN26" s="77" t="s">
        <v>618</v>
      </c>
    </row>
    <row r="27" spans="2:40" x14ac:dyDescent="0.2">
      <c r="B27" s="332"/>
      <c r="C27" s="316"/>
      <c r="D27" s="91" t="s">
        <v>483</v>
      </c>
      <c r="E27" s="16" t="s">
        <v>496</v>
      </c>
      <c r="F27" s="133" t="s">
        <v>842</v>
      </c>
      <c r="G27" s="134" t="s">
        <v>841</v>
      </c>
      <c r="H27" s="65" t="s">
        <v>347</v>
      </c>
      <c r="I27" s="17" t="s">
        <v>13</v>
      </c>
      <c r="J27" s="43" t="s">
        <v>42</v>
      </c>
      <c r="K27" s="59" t="s">
        <v>502</v>
      </c>
      <c r="L27" s="20"/>
      <c r="M27" s="20"/>
      <c r="N27" s="20"/>
      <c r="O27" s="20"/>
      <c r="P27" s="21"/>
      <c r="Q27" s="135" t="s">
        <v>636</v>
      </c>
      <c r="R27" s="134">
        <v>12</v>
      </c>
      <c r="S27" s="88" t="s">
        <v>592</v>
      </c>
      <c r="T27" s="110"/>
      <c r="U27" s="7"/>
      <c r="V27" s="327"/>
      <c r="Y27" s="359" t="str">
        <f t="shared" si="9"/>
        <v>wing_sweep_trailing_edge_p1</v>
      </c>
      <c r="Z27" s="360" t="str">
        <f t="shared" si="10"/>
        <v>double</v>
      </c>
      <c r="AA27" s="360" t="str">
        <f t="shared" si="11"/>
        <v>scalaire</v>
      </c>
      <c r="AB27" s="360" t="str">
        <f t="shared" si="12"/>
        <v>Flèche du bord de fuite au plan 1</v>
      </c>
      <c r="AC27" s="360" t="str">
        <f t="shared" si="13"/>
        <v>degré</v>
      </c>
      <c r="AD27" s="361" t="str">
        <f t="shared" si="14"/>
        <v>variable: wing_sweep_trailing_edge_p1 double input description= "Flèche du bord de fuite au plan 1" units= "degré"</v>
      </c>
      <c r="AE27" s="359" t="str">
        <f t="shared" si="3"/>
        <v>Y0x.geometry.wing_body</v>
      </c>
      <c r="AF27" s="360" t="str">
        <f t="shared" si="4"/>
        <v/>
      </c>
      <c r="AG27" s="360" t="str">
        <f t="shared" si="5"/>
        <v/>
      </c>
      <c r="AH27" s="360" t="str">
        <f t="shared" si="6"/>
        <v/>
      </c>
      <c r="AI27" s="360" t="str">
        <f t="shared" si="7"/>
        <v/>
      </c>
      <c r="AJ27" s="361" t="str">
        <f t="shared" si="8"/>
        <v/>
      </c>
      <c r="AL27" s="2" t="s">
        <v>606</v>
      </c>
      <c r="AM27" s="2" t="s">
        <v>586</v>
      </c>
      <c r="AN27" s="77" t="s">
        <v>619</v>
      </c>
    </row>
    <row r="28" spans="2:40" x14ac:dyDescent="0.2">
      <c r="B28" s="332"/>
      <c r="C28" s="316"/>
      <c r="D28" s="91" t="s">
        <v>484</v>
      </c>
      <c r="E28" s="16" t="s">
        <v>497</v>
      </c>
      <c r="F28" s="133" t="s">
        <v>842</v>
      </c>
      <c r="G28" s="134" t="s">
        <v>841</v>
      </c>
      <c r="H28" s="65" t="s">
        <v>347</v>
      </c>
      <c r="I28" s="17" t="s">
        <v>13</v>
      </c>
      <c r="J28" s="43" t="s">
        <v>42</v>
      </c>
      <c r="K28" s="59" t="s">
        <v>502</v>
      </c>
      <c r="L28" s="20"/>
      <c r="M28" s="20"/>
      <c r="N28" s="20"/>
      <c r="O28" s="20"/>
      <c r="P28" s="21"/>
      <c r="Q28" s="135" t="s">
        <v>637</v>
      </c>
      <c r="R28" s="134">
        <v>13</v>
      </c>
      <c r="S28" s="88" t="s">
        <v>592</v>
      </c>
      <c r="T28" s="110"/>
      <c r="U28" s="7"/>
      <c r="V28" s="327"/>
      <c r="Y28" s="359" t="str">
        <f t="shared" si="9"/>
        <v>wing_sweep_trailing_edge_p2</v>
      </c>
      <c r="Z28" s="360" t="str">
        <f t="shared" si="10"/>
        <v>double</v>
      </c>
      <c r="AA28" s="360" t="str">
        <f t="shared" si="11"/>
        <v>scalaire</v>
      </c>
      <c r="AB28" s="360" t="str">
        <f t="shared" si="12"/>
        <v>Flèche du bord de fuite au plan 2</v>
      </c>
      <c r="AC28" s="360" t="str">
        <f t="shared" si="13"/>
        <v>degré</v>
      </c>
      <c r="AD28" s="361" t="str">
        <f t="shared" si="14"/>
        <v>variable: wing_sweep_trailing_edge_p2 double input description= "Flèche du bord de fuite au plan 2" units= "degré"</v>
      </c>
      <c r="AE28" s="359" t="str">
        <f t="shared" si="3"/>
        <v>Y0x.geometry.wing_body</v>
      </c>
      <c r="AF28" s="360" t="str">
        <f t="shared" si="4"/>
        <v/>
      </c>
      <c r="AG28" s="360" t="str">
        <f t="shared" si="5"/>
        <v/>
      </c>
      <c r="AH28" s="360" t="str">
        <f t="shared" si="6"/>
        <v/>
      </c>
      <c r="AI28" s="360" t="str">
        <f t="shared" si="7"/>
        <v/>
      </c>
      <c r="AJ28" s="361" t="str">
        <f t="shared" si="8"/>
        <v/>
      </c>
    </row>
    <row r="29" spans="2:40" x14ac:dyDescent="0.2">
      <c r="B29" s="332"/>
      <c r="C29" s="316"/>
      <c r="D29" s="91" t="s">
        <v>485</v>
      </c>
      <c r="E29" s="16" t="s">
        <v>543</v>
      </c>
      <c r="F29" s="133" t="s">
        <v>842</v>
      </c>
      <c r="G29" s="134" t="s">
        <v>841</v>
      </c>
      <c r="H29" s="65" t="s">
        <v>347</v>
      </c>
      <c r="I29" s="17" t="s">
        <v>13</v>
      </c>
      <c r="J29" s="43" t="s">
        <v>42</v>
      </c>
      <c r="K29" s="59" t="s">
        <v>502</v>
      </c>
      <c r="L29" s="20"/>
      <c r="M29" s="20"/>
      <c r="N29" s="20"/>
      <c r="O29" s="20"/>
      <c r="P29" s="21"/>
      <c r="Q29" s="135" t="s">
        <v>638</v>
      </c>
      <c r="R29" s="134">
        <v>14</v>
      </c>
      <c r="S29" s="88" t="s">
        <v>592</v>
      </c>
      <c r="T29" s="110"/>
      <c r="U29" s="7"/>
      <c r="V29" s="327"/>
      <c r="Y29" s="359" t="str">
        <f t="shared" si="9"/>
        <v>wing_sweep_trailing_edge_p2_1</v>
      </c>
      <c r="Z29" s="360" t="str">
        <f t="shared" si="10"/>
        <v>double</v>
      </c>
      <c r="AA29" s="360" t="str">
        <f t="shared" si="11"/>
        <v>scalaire</v>
      </c>
      <c r="AB29" s="360" t="str">
        <f t="shared" si="12"/>
        <v>Flèche du bord de fuite au plan 2.1</v>
      </c>
      <c r="AC29" s="360" t="str">
        <f t="shared" si="13"/>
        <v>degré</v>
      </c>
      <c r="AD29" s="361" t="str">
        <f t="shared" si="14"/>
        <v>variable: wing_sweep_trailing_edge_p2_1 double input description= "Flèche du bord de fuite au plan 2.1" units= "degré"</v>
      </c>
      <c r="AE29" s="359" t="str">
        <f t="shared" si="3"/>
        <v>Y0x.geometry.wing_body</v>
      </c>
      <c r="AF29" s="360" t="str">
        <f t="shared" si="4"/>
        <v/>
      </c>
      <c r="AG29" s="360" t="str">
        <f t="shared" si="5"/>
        <v/>
      </c>
      <c r="AH29" s="360" t="str">
        <f t="shared" si="6"/>
        <v/>
      </c>
      <c r="AI29" s="360" t="str">
        <f t="shared" si="7"/>
        <v/>
      </c>
      <c r="AJ29" s="361" t="str">
        <f t="shared" si="8"/>
        <v/>
      </c>
    </row>
    <row r="30" spans="2:40" x14ac:dyDescent="0.2">
      <c r="B30" s="332"/>
      <c r="C30" s="316"/>
      <c r="D30" s="91" t="s">
        <v>141</v>
      </c>
      <c r="E30" s="16" t="s">
        <v>78</v>
      </c>
      <c r="F30" s="133" t="s">
        <v>842</v>
      </c>
      <c r="G30" s="134" t="s">
        <v>841</v>
      </c>
      <c r="H30" s="65" t="s">
        <v>347</v>
      </c>
      <c r="I30" s="17" t="s">
        <v>13</v>
      </c>
      <c r="J30" s="43" t="s">
        <v>51</v>
      </c>
      <c r="K30" s="59" t="s">
        <v>130</v>
      </c>
      <c r="L30" s="20" t="s">
        <v>419</v>
      </c>
      <c r="M30" s="20" t="s">
        <v>14</v>
      </c>
      <c r="N30" s="20"/>
      <c r="O30" s="20"/>
      <c r="P30" s="21"/>
      <c r="Q30" s="135" t="s">
        <v>645</v>
      </c>
      <c r="R30" s="134">
        <v>15</v>
      </c>
      <c r="S30" s="88" t="s">
        <v>592</v>
      </c>
      <c r="T30" s="110"/>
      <c r="U30" s="7"/>
      <c r="V30" s="327"/>
      <c r="Y30" s="359" t="str">
        <f t="shared" si="9"/>
        <v>wing_thickness_ratio_p0</v>
      </c>
      <c r="Z30" s="360" t="str">
        <f t="shared" si="10"/>
        <v>double</v>
      </c>
      <c r="AA30" s="360" t="str">
        <f t="shared" si="11"/>
        <v>scalaire</v>
      </c>
      <c r="AB30" s="360" t="str">
        <f t="shared" si="12"/>
        <v>Epaisseur relative du profil aérodynamique dans le plan 0</v>
      </c>
      <c r="AC30" s="360" t="str">
        <f t="shared" si="13"/>
        <v>(-)</v>
      </c>
      <c r="AD30" s="361" t="str">
        <f t="shared" si="14"/>
        <v>variable: wing_thickness_ratio_p0 double input description= "Epaisseur relative du profil aérodynamique dans le plan 0" units= "(-)"</v>
      </c>
      <c r="AE30" s="359" t="str">
        <f t="shared" si="3"/>
        <v>X0.geometry.wing_body</v>
      </c>
      <c r="AF30" s="360" t="str">
        <f t="shared" si="4"/>
        <v>Y02.geometry.wing_body</v>
      </c>
      <c r="AG30" s="360" t="str">
        <f t="shared" si="5"/>
        <v>Y03.geometry.wing_body</v>
      </c>
      <c r="AH30" s="360" t="str">
        <f t="shared" si="6"/>
        <v/>
      </c>
      <c r="AI30" s="360" t="str">
        <f t="shared" si="7"/>
        <v/>
      </c>
      <c r="AJ30" s="361" t="str">
        <f t="shared" si="8"/>
        <v/>
      </c>
    </row>
    <row r="31" spans="2:40" x14ac:dyDescent="0.2">
      <c r="B31" s="332"/>
      <c r="C31" s="316"/>
      <c r="D31" s="91" t="s">
        <v>469</v>
      </c>
      <c r="E31" s="16" t="s">
        <v>544</v>
      </c>
      <c r="F31" s="133" t="s">
        <v>842</v>
      </c>
      <c r="G31" s="134" t="s">
        <v>841</v>
      </c>
      <c r="H31" s="65" t="s">
        <v>347</v>
      </c>
      <c r="I31" s="17" t="s">
        <v>13</v>
      </c>
      <c r="J31" s="43" t="s">
        <v>51</v>
      </c>
      <c r="K31" s="59" t="s">
        <v>130</v>
      </c>
      <c r="L31" s="20" t="s">
        <v>419</v>
      </c>
      <c r="M31" s="20" t="s">
        <v>14</v>
      </c>
      <c r="N31" s="20"/>
      <c r="O31" s="20"/>
      <c r="P31" s="21"/>
      <c r="Q31" s="135" t="s">
        <v>646</v>
      </c>
      <c r="R31" s="134">
        <v>16</v>
      </c>
      <c r="S31" s="88" t="s">
        <v>592</v>
      </c>
      <c r="T31" s="110"/>
      <c r="U31" s="7"/>
      <c r="V31" s="327"/>
      <c r="Y31" s="359" t="str">
        <f t="shared" si="9"/>
        <v>wing_thickness_ratio_p0_1</v>
      </c>
      <c r="Z31" s="360" t="str">
        <f t="shared" si="10"/>
        <v>double</v>
      </c>
      <c r="AA31" s="360" t="str">
        <f t="shared" si="11"/>
        <v>scalaire</v>
      </c>
      <c r="AB31" s="360" t="str">
        <f t="shared" si="12"/>
        <v>Epaisseur relative du profil aérodynamique dans le plan 0.1</v>
      </c>
      <c r="AC31" s="360" t="str">
        <f t="shared" si="13"/>
        <v>(-)</v>
      </c>
      <c r="AD31" s="361" t="str">
        <f t="shared" si="14"/>
        <v>variable: wing_thickness_ratio_p0_1 double input description= "Epaisseur relative du profil aérodynamique dans le plan 0.1" units= "(-)"</v>
      </c>
      <c r="AE31" s="359" t="str">
        <f t="shared" si="3"/>
        <v>X0.geometry.wing_body</v>
      </c>
      <c r="AF31" s="360" t="str">
        <f t="shared" si="4"/>
        <v>Y02.geometry.wing_body</v>
      </c>
      <c r="AG31" s="360" t="str">
        <f t="shared" si="5"/>
        <v>Y03.geometry.wing_body</v>
      </c>
      <c r="AH31" s="360" t="str">
        <f t="shared" si="6"/>
        <v/>
      </c>
      <c r="AI31" s="360" t="str">
        <f t="shared" si="7"/>
        <v/>
      </c>
      <c r="AJ31" s="361" t="str">
        <f t="shared" si="8"/>
        <v/>
      </c>
    </row>
    <row r="32" spans="2:40" x14ac:dyDescent="0.2">
      <c r="B32" s="332"/>
      <c r="C32" s="316"/>
      <c r="D32" s="91" t="s">
        <v>142</v>
      </c>
      <c r="E32" s="16" t="s">
        <v>79</v>
      </c>
      <c r="F32" s="133" t="s">
        <v>842</v>
      </c>
      <c r="G32" s="134" t="s">
        <v>841</v>
      </c>
      <c r="H32" s="65" t="s">
        <v>347</v>
      </c>
      <c r="I32" s="17" t="s">
        <v>13</v>
      </c>
      <c r="J32" s="43" t="s">
        <v>51</v>
      </c>
      <c r="K32" s="59" t="s">
        <v>130</v>
      </c>
      <c r="L32" s="20" t="s">
        <v>419</v>
      </c>
      <c r="M32" s="20" t="s">
        <v>14</v>
      </c>
      <c r="N32" s="20"/>
      <c r="O32" s="20"/>
      <c r="P32" s="21"/>
      <c r="Q32" s="135" t="s">
        <v>647</v>
      </c>
      <c r="R32" s="134">
        <v>17</v>
      </c>
      <c r="S32" s="88" t="s">
        <v>592</v>
      </c>
      <c r="T32" s="110"/>
      <c r="U32" s="7"/>
      <c r="V32" s="327"/>
      <c r="Y32" s="359" t="str">
        <f t="shared" si="9"/>
        <v>wing_thickness_ratio_p1</v>
      </c>
      <c r="Z32" s="360" t="str">
        <f t="shared" si="10"/>
        <v>double</v>
      </c>
      <c r="AA32" s="360" t="str">
        <f t="shared" si="11"/>
        <v>scalaire</v>
      </c>
      <c r="AB32" s="360" t="str">
        <f t="shared" si="12"/>
        <v>Epaisseur relative du profil aérodynamique dans le plan 1</v>
      </c>
      <c r="AC32" s="360" t="str">
        <f t="shared" si="13"/>
        <v>(-)</v>
      </c>
      <c r="AD32" s="361" t="str">
        <f t="shared" si="14"/>
        <v>variable: wing_thickness_ratio_p1 double input description= "Epaisseur relative du profil aérodynamique dans le plan 1" units= "(-)"</v>
      </c>
      <c r="AE32" s="359" t="str">
        <f t="shared" si="3"/>
        <v>X0.geometry.wing_body</v>
      </c>
      <c r="AF32" s="360" t="str">
        <f t="shared" si="4"/>
        <v>Y02.geometry.wing_body</v>
      </c>
      <c r="AG32" s="360" t="str">
        <f t="shared" si="5"/>
        <v>Y03.geometry.wing_body</v>
      </c>
      <c r="AH32" s="360" t="str">
        <f t="shared" si="6"/>
        <v/>
      </c>
      <c r="AI32" s="360" t="str">
        <f t="shared" si="7"/>
        <v/>
      </c>
      <c r="AJ32" s="361" t="str">
        <f t="shared" si="8"/>
        <v/>
      </c>
    </row>
    <row r="33" spans="2:36" x14ac:dyDescent="0.2">
      <c r="B33" s="332"/>
      <c r="C33" s="316"/>
      <c r="D33" s="91" t="s">
        <v>143</v>
      </c>
      <c r="E33" s="16" t="s">
        <v>145</v>
      </c>
      <c r="F33" s="133" t="s">
        <v>842</v>
      </c>
      <c r="G33" s="134" t="s">
        <v>841</v>
      </c>
      <c r="H33" s="65" t="s">
        <v>347</v>
      </c>
      <c r="I33" s="17" t="s">
        <v>13</v>
      </c>
      <c r="J33" s="43" t="s">
        <v>51</v>
      </c>
      <c r="K33" s="42" t="s">
        <v>130</v>
      </c>
      <c r="L33" s="17" t="s">
        <v>419</v>
      </c>
      <c r="M33" s="17"/>
      <c r="N33" s="17"/>
      <c r="O33" s="17"/>
      <c r="P33" s="16"/>
      <c r="Q33" s="135" t="s">
        <v>648</v>
      </c>
      <c r="R33" s="134">
        <v>18</v>
      </c>
      <c r="S33" s="88" t="s">
        <v>592</v>
      </c>
      <c r="T33" s="110"/>
      <c r="U33" s="7"/>
      <c r="V33" s="61"/>
      <c r="Y33" s="359" t="str">
        <f t="shared" si="9"/>
        <v>wing_thickness_ratio_p2</v>
      </c>
      <c r="Z33" s="360" t="str">
        <f t="shared" si="10"/>
        <v>double</v>
      </c>
      <c r="AA33" s="360" t="str">
        <f t="shared" si="11"/>
        <v>scalaire</v>
      </c>
      <c r="AB33" s="360" t="str">
        <f t="shared" si="12"/>
        <v>Epaisseur relative du profil aérodynamique dans le plan 2</v>
      </c>
      <c r="AC33" s="360" t="str">
        <f t="shared" si="13"/>
        <v>(-)</v>
      </c>
      <c r="AD33" s="361" t="str">
        <f t="shared" si="14"/>
        <v>variable: wing_thickness_ratio_p2 double input description= "Epaisseur relative du profil aérodynamique dans le plan 2" units= "(-)"</v>
      </c>
      <c r="AE33" s="359" t="str">
        <f t="shared" si="3"/>
        <v>X0.geometry.wing_body</v>
      </c>
      <c r="AF33" s="360" t="str">
        <f t="shared" si="4"/>
        <v>Y02.geometry.wing_body</v>
      </c>
      <c r="AG33" s="360" t="str">
        <f t="shared" si="5"/>
        <v/>
      </c>
      <c r="AH33" s="360" t="str">
        <f t="shared" si="6"/>
        <v/>
      </c>
      <c r="AI33" s="360" t="str">
        <f t="shared" si="7"/>
        <v/>
      </c>
      <c r="AJ33" s="361" t="str">
        <f t="shared" si="8"/>
        <v/>
      </c>
    </row>
    <row r="34" spans="2:36" x14ac:dyDescent="0.2">
      <c r="B34" s="332"/>
      <c r="C34" s="316"/>
      <c r="D34" s="91" t="s">
        <v>470</v>
      </c>
      <c r="E34" s="16" t="s">
        <v>545</v>
      </c>
      <c r="F34" s="133" t="s">
        <v>842</v>
      </c>
      <c r="G34" s="134" t="s">
        <v>841</v>
      </c>
      <c r="H34" s="65" t="s">
        <v>347</v>
      </c>
      <c r="I34" s="17" t="s">
        <v>13</v>
      </c>
      <c r="J34" s="43" t="s">
        <v>51</v>
      </c>
      <c r="K34" s="42" t="s">
        <v>130</v>
      </c>
      <c r="L34" s="17" t="s">
        <v>419</v>
      </c>
      <c r="M34" s="17"/>
      <c r="N34" s="17"/>
      <c r="O34" s="17"/>
      <c r="P34" s="16"/>
      <c r="Q34" s="135" t="s">
        <v>649</v>
      </c>
      <c r="R34" s="134">
        <v>19</v>
      </c>
      <c r="S34" s="88" t="s">
        <v>592</v>
      </c>
      <c r="T34" s="110"/>
      <c r="U34" s="7"/>
      <c r="V34" s="61"/>
      <c r="Y34" s="359" t="str">
        <f t="shared" si="9"/>
        <v>wing_thickness_ratio_p2_1</v>
      </c>
      <c r="Z34" s="360" t="str">
        <f t="shared" si="10"/>
        <v>double</v>
      </c>
      <c r="AA34" s="360" t="str">
        <f t="shared" si="11"/>
        <v>scalaire</v>
      </c>
      <c r="AB34" s="360" t="str">
        <f t="shared" si="12"/>
        <v>Epaisseur relative du profil aérodynamique dans le plan 2.1</v>
      </c>
      <c r="AC34" s="360" t="str">
        <f t="shared" si="13"/>
        <v>(-)</v>
      </c>
      <c r="AD34" s="361" t="str">
        <f t="shared" si="14"/>
        <v>variable: wing_thickness_ratio_p2_1 double input description= "Epaisseur relative du profil aérodynamique dans le plan 2.1" units= "(-)"</v>
      </c>
      <c r="AE34" s="359" t="str">
        <f t="shared" si="3"/>
        <v>X0.geometry.wing_body</v>
      </c>
      <c r="AF34" s="360" t="str">
        <f t="shared" si="4"/>
        <v>Y02.geometry.wing_body</v>
      </c>
      <c r="AG34" s="360" t="str">
        <f t="shared" si="5"/>
        <v/>
      </c>
      <c r="AH34" s="360" t="str">
        <f t="shared" si="6"/>
        <v/>
      </c>
      <c r="AI34" s="360" t="str">
        <f t="shared" si="7"/>
        <v/>
      </c>
      <c r="AJ34" s="361" t="str">
        <f t="shared" si="8"/>
        <v/>
      </c>
    </row>
    <row r="35" spans="2:36" x14ac:dyDescent="0.2">
      <c r="B35" s="332"/>
      <c r="C35" s="316"/>
      <c r="D35" s="91" t="s">
        <v>144</v>
      </c>
      <c r="E35" s="16" t="s">
        <v>146</v>
      </c>
      <c r="F35" s="133" t="s">
        <v>842</v>
      </c>
      <c r="G35" s="134" t="s">
        <v>841</v>
      </c>
      <c r="H35" s="65" t="s">
        <v>347</v>
      </c>
      <c r="I35" s="17" t="s">
        <v>13</v>
      </c>
      <c r="J35" s="43" t="s">
        <v>51</v>
      </c>
      <c r="K35" s="42" t="s">
        <v>130</v>
      </c>
      <c r="L35" s="17" t="s">
        <v>419</v>
      </c>
      <c r="M35" s="17"/>
      <c r="N35" s="17"/>
      <c r="O35" s="17"/>
      <c r="P35" s="16"/>
      <c r="Q35" s="135" t="s">
        <v>650</v>
      </c>
      <c r="R35" s="134">
        <v>20</v>
      </c>
      <c r="S35" s="88" t="s">
        <v>592</v>
      </c>
      <c r="T35" s="110"/>
      <c r="U35" s="7"/>
      <c r="V35" s="61"/>
      <c r="Y35" s="359" t="str">
        <f t="shared" si="9"/>
        <v>wing_thickness_ratio_p3</v>
      </c>
      <c r="Z35" s="360" t="str">
        <f t="shared" si="10"/>
        <v>double</v>
      </c>
      <c r="AA35" s="360" t="str">
        <f t="shared" si="11"/>
        <v>scalaire</v>
      </c>
      <c r="AB35" s="360" t="str">
        <f t="shared" si="12"/>
        <v>Epaisseur relative du profil aérodynamique dans le plan 3</v>
      </c>
      <c r="AC35" s="360" t="str">
        <f t="shared" si="13"/>
        <v>(-)</v>
      </c>
      <c r="AD35" s="361" t="str">
        <f t="shared" si="14"/>
        <v>variable: wing_thickness_ratio_p3 double input description= "Epaisseur relative du profil aérodynamique dans le plan 3" units= "(-)"</v>
      </c>
      <c r="AE35" s="359" t="str">
        <f t="shared" si="3"/>
        <v>X0.geometry.wing_body</v>
      </c>
      <c r="AF35" s="360" t="str">
        <f t="shared" si="4"/>
        <v>Y02.geometry.wing_body</v>
      </c>
      <c r="AG35" s="360" t="str">
        <f t="shared" si="5"/>
        <v/>
      </c>
      <c r="AH35" s="360" t="str">
        <f t="shared" si="6"/>
        <v/>
      </c>
      <c r="AI35" s="360" t="str">
        <f t="shared" si="7"/>
        <v/>
      </c>
      <c r="AJ35" s="361" t="str">
        <f t="shared" si="8"/>
        <v/>
      </c>
    </row>
    <row r="36" spans="2:36" x14ac:dyDescent="0.2">
      <c r="B36" s="332"/>
      <c r="C36" s="316"/>
      <c r="D36" s="91" t="s">
        <v>354</v>
      </c>
      <c r="E36" s="16" t="s">
        <v>355</v>
      </c>
      <c r="F36" s="133" t="s">
        <v>842</v>
      </c>
      <c r="G36" s="134" t="s">
        <v>841</v>
      </c>
      <c r="H36" s="65" t="s">
        <v>347</v>
      </c>
      <c r="I36" s="17" t="s">
        <v>13</v>
      </c>
      <c r="J36" s="43" t="s">
        <v>51</v>
      </c>
      <c r="K36" s="42" t="s">
        <v>130</v>
      </c>
      <c r="L36" s="17" t="s">
        <v>419</v>
      </c>
      <c r="M36" s="17" t="s">
        <v>14</v>
      </c>
      <c r="N36" s="17"/>
      <c r="O36" s="17"/>
      <c r="P36" s="16"/>
      <c r="Q36" s="135" t="s">
        <v>697</v>
      </c>
      <c r="R36" s="134">
        <v>21</v>
      </c>
      <c r="S36" s="88" t="s">
        <v>592</v>
      </c>
      <c r="T36" s="110"/>
      <c r="U36" s="7"/>
      <c r="V36" s="61"/>
      <c r="Y36" s="359" t="str">
        <f t="shared" si="9"/>
        <v>wing_front_spar_relative_position</v>
      </c>
      <c r="Z36" s="360" t="str">
        <f t="shared" si="10"/>
        <v>double</v>
      </c>
      <c r="AA36" s="360" t="str">
        <f t="shared" si="11"/>
        <v>scalaire</v>
      </c>
      <c r="AB36" s="360" t="str">
        <f t="shared" si="12"/>
        <v>Position du longeron de bord d'attaque dans la voilure externe, en % de la corde</v>
      </c>
      <c r="AC36" s="360" t="str">
        <f t="shared" si="13"/>
        <v>(-)</v>
      </c>
      <c r="AD36" s="361" t="str">
        <f t="shared" si="14"/>
        <v>variable: wing_front_spar_relative_position double input description= "Position du longeron de bord d'attaque dans la voilure externe, en % de la corde" units= "(-)"</v>
      </c>
      <c r="AE36" s="359" t="str">
        <f t="shared" si="3"/>
        <v>X0.geometry.wing_body</v>
      </c>
      <c r="AF36" s="360" t="str">
        <f t="shared" si="4"/>
        <v>Y02.geometry.wing_body</v>
      </c>
      <c r="AG36" s="360" t="str">
        <f t="shared" si="5"/>
        <v>Y03.geometry.wing_body</v>
      </c>
      <c r="AH36" s="360" t="str">
        <f t="shared" si="6"/>
        <v/>
      </c>
      <c r="AI36" s="360" t="str">
        <f t="shared" si="7"/>
        <v/>
      </c>
      <c r="AJ36" s="361" t="str">
        <f t="shared" si="8"/>
        <v/>
      </c>
    </row>
    <row r="37" spans="2:36" x14ac:dyDescent="0.2">
      <c r="B37" s="332"/>
      <c r="C37" s="316"/>
      <c r="D37" s="91" t="s">
        <v>356</v>
      </c>
      <c r="E37" s="16" t="s">
        <v>357</v>
      </c>
      <c r="F37" s="133" t="s">
        <v>842</v>
      </c>
      <c r="G37" s="134" t="s">
        <v>841</v>
      </c>
      <c r="H37" s="65" t="s">
        <v>347</v>
      </c>
      <c r="I37" s="17" t="s">
        <v>13</v>
      </c>
      <c r="J37" s="43" t="s">
        <v>51</v>
      </c>
      <c r="K37" s="42" t="s">
        <v>130</v>
      </c>
      <c r="L37" s="17" t="s">
        <v>419</v>
      </c>
      <c r="M37" s="17" t="s">
        <v>14</v>
      </c>
      <c r="N37" s="17"/>
      <c r="O37" s="17"/>
      <c r="P37" s="16"/>
      <c r="Q37" s="135" t="s">
        <v>698</v>
      </c>
      <c r="R37" s="134">
        <v>22</v>
      </c>
      <c r="S37" s="88" t="s">
        <v>592</v>
      </c>
      <c r="T37" s="110"/>
      <c r="U37" s="7"/>
      <c r="V37" s="61"/>
      <c r="Y37" s="359" t="str">
        <f t="shared" si="9"/>
        <v>wing_rear_spar_relative_position</v>
      </c>
      <c r="Z37" s="360" t="str">
        <f t="shared" si="10"/>
        <v>double</v>
      </c>
      <c r="AA37" s="360" t="str">
        <f t="shared" si="11"/>
        <v>scalaire</v>
      </c>
      <c r="AB37" s="360" t="str">
        <f t="shared" si="12"/>
        <v>Position du longeron de bord de fuite dans la voilure externe, en % de la corde</v>
      </c>
      <c r="AC37" s="360" t="str">
        <f t="shared" si="13"/>
        <v>(-)</v>
      </c>
      <c r="AD37" s="361" t="str">
        <f t="shared" si="14"/>
        <v>variable: wing_rear_spar_relative_position double input description= "Position du longeron de bord de fuite dans la voilure externe, en % de la corde" units= "(-)"</v>
      </c>
      <c r="AE37" s="359" t="str">
        <f t="shared" si="3"/>
        <v>X0.geometry.wing_body</v>
      </c>
      <c r="AF37" s="360" t="str">
        <f t="shared" si="4"/>
        <v>Y02.geometry.wing_body</v>
      </c>
      <c r="AG37" s="360" t="str">
        <f t="shared" si="5"/>
        <v>Y03.geometry.wing_body</v>
      </c>
      <c r="AH37" s="360" t="str">
        <f t="shared" si="6"/>
        <v/>
      </c>
      <c r="AI37" s="360" t="str">
        <f t="shared" si="7"/>
        <v/>
      </c>
      <c r="AJ37" s="361" t="str">
        <f t="shared" si="8"/>
        <v/>
      </c>
    </row>
    <row r="38" spans="2:36" x14ac:dyDescent="0.2">
      <c r="B38" s="332"/>
      <c r="C38" s="316"/>
      <c r="D38" s="91" t="s">
        <v>358</v>
      </c>
      <c r="E38" s="16" t="s">
        <v>359</v>
      </c>
      <c r="F38" s="133" t="s">
        <v>842</v>
      </c>
      <c r="G38" s="134" t="s">
        <v>841</v>
      </c>
      <c r="H38" s="65" t="s">
        <v>347</v>
      </c>
      <c r="I38" s="17" t="s">
        <v>13</v>
      </c>
      <c r="J38" s="43" t="s">
        <v>12</v>
      </c>
      <c r="K38" s="42" t="s">
        <v>83</v>
      </c>
      <c r="L38" s="17"/>
      <c r="M38" s="17"/>
      <c r="N38" s="17"/>
      <c r="O38" s="17"/>
      <c r="P38" s="16"/>
      <c r="Q38" s="135" t="s">
        <v>699</v>
      </c>
      <c r="R38" s="134">
        <v>23</v>
      </c>
      <c r="S38" s="88" t="s">
        <v>592</v>
      </c>
      <c r="T38" s="110"/>
      <c r="U38" s="7"/>
      <c r="V38" s="61"/>
      <c r="Y38" s="359" t="str">
        <f t="shared" si="9"/>
        <v>wing_front_spar_thickness_p2</v>
      </c>
      <c r="Z38" s="360" t="str">
        <f t="shared" si="10"/>
        <v>double</v>
      </c>
      <c r="AA38" s="360" t="str">
        <f t="shared" si="11"/>
        <v>scalaire</v>
      </c>
      <c r="AB38" s="360" t="str">
        <f t="shared" si="12"/>
        <v>Epaisseur du longeron de bord d'attaque au plan 2</v>
      </c>
      <c r="AC38" s="360" t="str">
        <f t="shared" si="13"/>
        <v>m</v>
      </c>
      <c r="AD38" s="361" t="str">
        <f t="shared" si="14"/>
        <v>variable: wing_front_spar_thickness_p2 double input description= "Epaisseur du longeron de bord d'attaque au plan 2" units= "m"</v>
      </c>
      <c r="AE38" s="359" t="str">
        <f t="shared" si="3"/>
        <v>Y30.geometry.wing_body</v>
      </c>
      <c r="AF38" s="360" t="str">
        <f t="shared" si="4"/>
        <v/>
      </c>
      <c r="AG38" s="360" t="str">
        <f t="shared" si="5"/>
        <v/>
      </c>
      <c r="AH38" s="360" t="str">
        <f t="shared" si="6"/>
        <v/>
      </c>
      <c r="AI38" s="360" t="str">
        <f t="shared" si="7"/>
        <v/>
      </c>
      <c r="AJ38" s="361" t="str">
        <f t="shared" si="8"/>
        <v/>
      </c>
    </row>
    <row r="39" spans="2:36" x14ac:dyDescent="0.2">
      <c r="B39" s="332"/>
      <c r="C39" s="316"/>
      <c r="D39" s="91" t="s">
        <v>360</v>
      </c>
      <c r="E39" s="16" t="s">
        <v>361</v>
      </c>
      <c r="F39" s="133" t="s">
        <v>842</v>
      </c>
      <c r="G39" s="134" t="s">
        <v>841</v>
      </c>
      <c r="H39" s="65" t="s">
        <v>347</v>
      </c>
      <c r="I39" s="17" t="s">
        <v>13</v>
      </c>
      <c r="J39" s="43" t="s">
        <v>12</v>
      </c>
      <c r="K39" s="42" t="s">
        <v>83</v>
      </c>
      <c r="L39" s="17"/>
      <c r="M39" s="17"/>
      <c r="N39" s="17"/>
      <c r="O39" s="17"/>
      <c r="P39" s="16"/>
      <c r="Q39" s="135" t="s">
        <v>701</v>
      </c>
      <c r="R39" s="134">
        <v>24</v>
      </c>
      <c r="S39" s="88" t="s">
        <v>592</v>
      </c>
      <c r="T39" s="110"/>
      <c r="U39" s="7"/>
      <c r="V39" s="61"/>
      <c r="Y39" s="359" t="str">
        <f t="shared" si="9"/>
        <v>wing_rear_spar_thickness_p2</v>
      </c>
      <c r="Z39" s="360" t="str">
        <f t="shared" si="10"/>
        <v>double</v>
      </c>
      <c r="AA39" s="360" t="str">
        <f t="shared" si="11"/>
        <v>scalaire</v>
      </c>
      <c r="AB39" s="360" t="str">
        <f t="shared" si="12"/>
        <v>Epaisseur du longeron de bord de fuite au plan 2</v>
      </c>
      <c r="AC39" s="360" t="str">
        <f t="shared" si="13"/>
        <v>m</v>
      </c>
      <c r="AD39" s="361" t="str">
        <f t="shared" si="14"/>
        <v>variable: wing_rear_spar_thickness_p2 double input description= "Epaisseur du longeron de bord de fuite au plan 2" units= "m"</v>
      </c>
      <c r="AE39" s="359" t="str">
        <f t="shared" si="3"/>
        <v>Y30.geometry.wing_body</v>
      </c>
      <c r="AF39" s="360" t="str">
        <f t="shared" si="4"/>
        <v/>
      </c>
      <c r="AG39" s="360" t="str">
        <f t="shared" si="5"/>
        <v/>
      </c>
      <c r="AH39" s="360" t="str">
        <f t="shared" si="6"/>
        <v/>
      </c>
      <c r="AI39" s="360" t="str">
        <f t="shared" si="7"/>
        <v/>
      </c>
      <c r="AJ39" s="361" t="str">
        <f t="shared" si="8"/>
        <v/>
      </c>
    </row>
    <row r="40" spans="2:36" x14ac:dyDescent="0.2">
      <c r="B40" s="332"/>
      <c r="C40" s="316"/>
      <c r="D40" s="91" t="s">
        <v>471</v>
      </c>
      <c r="E40" s="16" t="s">
        <v>546</v>
      </c>
      <c r="F40" s="133" t="s">
        <v>842</v>
      </c>
      <c r="G40" s="134" t="s">
        <v>841</v>
      </c>
      <c r="H40" s="65" t="s">
        <v>347</v>
      </c>
      <c r="I40" s="17" t="s">
        <v>13</v>
      </c>
      <c r="J40" s="43" t="s">
        <v>12</v>
      </c>
      <c r="K40" s="42" t="s">
        <v>83</v>
      </c>
      <c r="L40" s="17"/>
      <c r="M40" s="17"/>
      <c r="N40" s="17"/>
      <c r="O40" s="17"/>
      <c r="P40" s="16"/>
      <c r="Q40" s="135" t="s">
        <v>702</v>
      </c>
      <c r="R40" s="134">
        <v>25</v>
      </c>
      <c r="S40" s="88" t="s">
        <v>592</v>
      </c>
      <c r="T40" s="110"/>
      <c r="U40" s="7"/>
      <c r="V40" s="61"/>
      <c r="Y40" s="359" t="str">
        <f t="shared" si="9"/>
        <v>wing_front_spar_thickness_p2_1</v>
      </c>
      <c r="Z40" s="360" t="str">
        <f t="shared" si="10"/>
        <v>double</v>
      </c>
      <c r="AA40" s="360" t="str">
        <f t="shared" si="11"/>
        <v>scalaire</v>
      </c>
      <c r="AB40" s="360" t="str">
        <f t="shared" si="12"/>
        <v>Epaisseur du longeron de bord d'attaque au plan 2.1</v>
      </c>
      <c r="AC40" s="360" t="str">
        <f t="shared" si="13"/>
        <v>m</v>
      </c>
      <c r="AD40" s="361" t="str">
        <f t="shared" si="14"/>
        <v>variable: wing_front_spar_thickness_p2_1 double input description= "Epaisseur du longeron de bord d'attaque au plan 2.1" units= "m"</v>
      </c>
      <c r="AE40" s="359" t="str">
        <f t="shared" si="3"/>
        <v>Y30.geometry.wing_body</v>
      </c>
      <c r="AF40" s="360" t="str">
        <f t="shared" si="4"/>
        <v/>
      </c>
      <c r="AG40" s="360" t="str">
        <f t="shared" si="5"/>
        <v/>
      </c>
      <c r="AH40" s="360" t="str">
        <f t="shared" si="6"/>
        <v/>
      </c>
      <c r="AI40" s="360" t="str">
        <f t="shared" si="7"/>
        <v/>
      </c>
      <c r="AJ40" s="361" t="str">
        <f t="shared" si="8"/>
        <v/>
      </c>
    </row>
    <row r="41" spans="2:36" x14ac:dyDescent="0.2">
      <c r="B41" s="332"/>
      <c r="C41" s="316"/>
      <c r="D41" s="91" t="s">
        <v>472</v>
      </c>
      <c r="E41" s="16" t="s">
        <v>547</v>
      </c>
      <c r="F41" s="133" t="s">
        <v>842</v>
      </c>
      <c r="G41" s="134" t="s">
        <v>841</v>
      </c>
      <c r="H41" s="65" t="s">
        <v>347</v>
      </c>
      <c r="I41" s="17" t="s">
        <v>13</v>
      </c>
      <c r="J41" s="43" t="s">
        <v>12</v>
      </c>
      <c r="K41" s="42" t="s">
        <v>83</v>
      </c>
      <c r="L41" s="17"/>
      <c r="M41" s="17"/>
      <c r="N41" s="17"/>
      <c r="O41" s="17"/>
      <c r="P41" s="16"/>
      <c r="Q41" s="135" t="s">
        <v>703</v>
      </c>
      <c r="R41" s="134">
        <v>26</v>
      </c>
      <c r="S41" s="88" t="s">
        <v>592</v>
      </c>
      <c r="T41" s="110"/>
      <c r="U41" s="7"/>
      <c r="V41" s="61"/>
      <c r="Y41" s="359" t="str">
        <f t="shared" si="9"/>
        <v>wing_rear_spar_thickness_p2_1</v>
      </c>
      <c r="Z41" s="360" t="str">
        <f t="shared" si="10"/>
        <v>double</v>
      </c>
      <c r="AA41" s="360" t="str">
        <f t="shared" si="11"/>
        <v>scalaire</v>
      </c>
      <c r="AB41" s="360" t="str">
        <f t="shared" si="12"/>
        <v>Epaisseur du longeron de bord de fuite au plan 2.1</v>
      </c>
      <c r="AC41" s="360" t="str">
        <f t="shared" si="13"/>
        <v>m</v>
      </c>
      <c r="AD41" s="361" t="str">
        <f t="shared" si="14"/>
        <v>variable: wing_rear_spar_thickness_p2_1 double input description= "Epaisseur du longeron de bord de fuite au plan 2.1" units= "m"</v>
      </c>
      <c r="AE41" s="359" t="str">
        <f t="shared" si="3"/>
        <v>Y30.geometry.wing_body</v>
      </c>
      <c r="AF41" s="360" t="str">
        <f t="shared" si="4"/>
        <v/>
      </c>
      <c r="AG41" s="360" t="str">
        <f t="shared" si="5"/>
        <v/>
      </c>
      <c r="AH41" s="360" t="str">
        <f t="shared" si="6"/>
        <v/>
      </c>
      <c r="AI41" s="360" t="str">
        <f t="shared" si="7"/>
        <v/>
      </c>
      <c r="AJ41" s="361" t="str">
        <f t="shared" si="8"/>
        <v/>
      </c>
    </row>
    <row r="42" spans="2:36" x14ac:dyDescent="0.2">
      <c r="B42" s="332"/>
      <c r="C42" s="316"/>
      <c r="D42" s="91" t="s">
        <v>362</v>
      </c>
      <c r="E42" s="16" t="s">
        <v>363</v>
      </c>
      <c r="F42" s="133" t="s">
        <v>842</v>
      </c>
      <c r="G42" s="134" t="s">
        <v>841</v>
      </c>
      <c r="H42" s="65" t="s">
        <v>347</v>
      </c>
      <c r="I42" s="17" t="s">
        <v>13</v>
      </c>
      <c r="J42" s="43" t="s">
        <v>12</v>
      </c>
      <c r="K42" s="42" t="s">
        <v>83</v>
      </c>
      <c r="L42" s="17"/>
      <c r="M42" s="17"/>
      <c r="N42" s="17"/>
      <c r="O42" s="17"/>
      <c r="P42" s="16"/>
      <c r="Q42" s="135" t="s">
        <v>700</v>
      </c>
      <c r="R42" s="134">
        <v>27</v>
      </c>
      <c r="S42" s="88" t="s">
        <v>592</v>
      </c>
      <c r="T42" s="110"/>
      <c r="U42" s="7"/>
      <c r="V42" s="61"/>
      <c r="Y42" s="359" t="str">
        <f t="shared" si="9"/>
        <v>wing_front_spar_thickness_p3</v>
      </c>
      <c r="Z42" s="360" t="str">
        <f t="shared" si="10"/>
        <v>double</v>
      </c>
      <c r="AA42" s="360" t="str">
        <f t="shared" si="11"/>
        <v>scalaire</v>
      </c>
      <c r="AB42" s="360" t="str">
        <f t="shared" si="12"/>
        <v>Epaisseur du longeron de bord d'attaque au plan 3</v>
      </c>
      <c r="AC42" s="360" t="str">
        <f t="shared" si="13"/>
        <v>m</v>
      </c>
      <c r="AD42" s="361" t="str">
        <f t="shared" si="14"/>
        <v>variable: wing_front_spar_thickness_p3 double input description= "Epaisseur du longeron de bord d'attaque au plan 3" units= "m"</v>
      </c>
      <c r="AE42" s="359" t="str">
        <f t="shared" si="3"/>
        <v>Y30.geometry.wing_body</v>
      </c>
      <c r="AF42" s="360" t="str">
        <f t="shared" si="4"/>
        <v/>
      </c>
      <c r="AG42" s="360" t="str">
        <f t="shared" si="5"/>
        <v/>
      </c>
      <c r="AH42" s="360" t="str">
        <f t="shared" si="6"/>
        <v/>
      </c>
      <c r="AI42" s="360" t="str">
        <f t="shared" si="7"/>
        <v/>
      </c>
      <c r="AJ42" s="361" t="str">
        <f t="shared" si="8"/>
        <v/>
      </c>
    </row>
    <row r="43" spans="2:36" x14ac:dyDescent="0.2">
      <c r="B43" s="332"/>
      <c r="C43" s="316"/>
      <c r="D43" s="91" t="s">
        <v>364</v>
      </c>
      <c r="E43" s="16" t="s">
        <v>365</v>
      </c>
      <c r="F43" s="133" t="s">
        <v>842</v>
      </c>
      <c r="G43" s="134" t="s">
        <v>841</v>
      </c>
      <c r="H43" s="65" t="s">
        <v>347</v>
      </c>
      <c r="I43" s="17" t="s">
        <v>13</v>
      </c>
      <c r="J43" s="43" t="s">
        <v>12</v>
      </c>
      <c r="K43" s="42" t="s">
        <v>83</v>
      </c>
      <c r="L43" s="17"/>
      <c r="M43" s="17"/>
      <c r="N43" s="17"/>
      <c r="O43" s="17"/>
      <c r="P43" s="16"/>
      <c r="Q43" s="135" t="s">
        <v>704</v>
      </c>
      <c r="R43" s="134">
        <v>28</v>
      </c>
      <c r="S43" s="88" t="s">
        <v>592</v>
      </c>
      <c r="T43" s="110"/>
      <c r="U43" s="7"/>
      <c r="V43" s="61"/>
      <c r="Y43" s="359" t="str">
        <f t="shared" si="9"/>
        <v>wing_rear_spar_thickness_p3</v>
      </c>
      <c r="Z43" s="360" t="str">
        <f t="shared" si="10"/>
        <v>double</v>
      </c>
      <c r="AA43" s="360" t="str">
        <f t="shared" si="11"/>
        <v>scalaire</v>
      </c>
      <c r="AB43" s="360" t="str">
        <f t="shared" si="12"/>
        <v>Epaisseur du longeron de bord de fuite au plan 3</v>
      </c>
      <c r="AC43" s="360" t="str">
        <f t="shared" si="13"/>
        <v>m</v>
      </c>
      <c r="AD43" s="361" t="str">
        <f t="shared" si="14"/>
        <v>variable: wing_rear_spar_thickness_p3 double input description= "Epaisseur du longeron de bord de fuite au plan 3" units= "m"</v>
      </c>
      <c r="AE43" s="359" t="str">
        <f t="shared" si="3"/>
        <v>Y30.geometry.wing_body</v>
      </c>
      <c r="AF43" s="360" t="str">
        <f t="shared" si="4"/>
        <v/>
      </c>
      <c r="AG43" s="360" t="str">
        <f t="shared" si="5"/>
        <v/>
      </c>
      <c r="AH43" s="360" t="str">
        <f t="shared" si="6"/>
        <v/>
      </c>
      <c r="AI43" s="360" t="str">
        <f t="shared" si="7"/>
        <v/>
      </c>
      <c r="AJ43" s="361" t="str">
        <f t="shared" si="8"/>
        <v/>
      </c>
    </row>
    <row r="44" spans="2:36" x14ac:dyDescent="0.2">
      <c r="B44" s="332"/>
      <c r="C44" s="316"/>
      <c r="D44" s="91" t="s">
        <v>15</v>
      </c>
      <c r="E44" s="16" t="s">
        <v>366</v>
      </c>
      <c r="F44" s="133" t="s">
        <v>842</v>
      </c>
      <c r="G44" s="134" t="s">
        <v>841</v>
      </c>
      <c r="H44" s="65" t="s">
        <v>347</v>
      </c>
      <c r="I44" s="17" t="s">
        <v>13</v>
      </c>
      <c r="J44" s="43" t="s">
        <v>12</v>
      </c>
      <c r="K44" s="42" t="s">
        <v>83</v>
      </c>
      <c r="L44" s="17" t="s">
        <v>964</v>
      </c>
      <c r="M44" s="17"/>
      <c r="N44" s="17"/>
      <c r="O44" s="17"/>
      <c r="P44" s="16"/>
      <c r="Q44" s="135" t="s">
        <v>639</v>
      </c>
      <c r="R44" s="134">
        <v>29</v>
      </c>
      <c r="S44" s="88" t="s">
        <v>592</v>
      </c>
      <c r="T44" s="110"/>
      <c r="U44" s="7"/>
      <c r="V44" s="61"/>
      <c r="Y44" s="359" t="str">
        <f t="shared" si="9"/>
        <v>wing_chord_p0</v>
      </c>
      <c r="Z44" s="360" t="str">
        <f t="shared" si="10"/>
        <v>double</v>
      </c>
      <c r="AA44" s="360" t="str">
        <f t="shared" si="11"/>
        <v>scalaire</v>
      </c>
      <c r="AB44" s="360" t="str">
        <f t="shared" si="12"/>
        <v>Corde au plan 0</v>
      </c>
      <c r="AC44" s="360" t="str">
        <f t="shared" si="13"/>
        <v>m</v>
      </c>
      <c r="AD44" s="361" t="str">
        <f t="shared" si="14"/>
        <v>variable: wing_chord_p0 double input description= "Corde au plan 0" units= "m"</v>
      </c>
      <c r="AE44" s="359" t="str">
        <f t="shared" si="3"/>
        <v>Y30.geometry.wing_body</v>
      </c>
      <c r="AF44" s="360" t="str">
        <f t="shared" si="4"/>
        <v>Y32.geometry.wing_body</v>
      </c>
      <c r="AG44" s="360" t="str">
        <f t="shared" si="5"/>
        <v/>
      </c>
      <c r="AH44" s="360" t="str">
        <f t="shared" si="6"/>
        <v/>
      </c>
      <c r="AI44" s="360" t="str">
        <f t="shared" si="7"/>
        <v/>
      </c>
      <c r="AJ44" s="361" t="str">
        <f t="shared" si="8"/>
        <v/>
      </c>
    </row>
    <row r="45" spans="2:36" x14ac:dyDescent="0.2">
      <c r="B45" s="332"/>
      <c r="C45" s="316"/>
      <c r="D45" s="91" t="s">
        <v>473</v>
      </c>
      <c r="E45" s="16" t="s">
        <v>548</v>
      </c>
      <c r="F45" s="133" t="s">
        <v>842</v>
      </c>
      <c r="G45" s="134" t="s">
        <v>841</v>
      </c>
      <c r="H45" s="65" t="s">
        <v>347</v>
      </c>
      <c r="I45" s="17" t="s">
        <v>13</v>
      </c>
      <c r="J45" s="43" t="s">
        <v>12</v>
      </c>
      <c r="K45" s="42" t="s">
        <v>83</v>
      </c>
      <c r="L45" s="17" t="s">
        <v>964</v>
      </c>
      <c r="M45" s="17"/>
      <c r="N45" s="17"/>
      <c r="O45" s="17"/>
      <c r="P45" s="16"/>
      <c r="Q45" s="135" t="s">
        <v>643</v>
      </c>
      <c r="R45" s="134">
        <v>30</v>
      </c>
      <c r="S45" s="88" t="s">
        <v>592</v>
      </c>
      <c r="T45" s="110"/>
      <c r="U45" s="7"/>
      <c r="V45" s="61"/>
      <c r="Y45" s="359" t="str">
        <f t="shared" si="9"/>
        <v>wing_chord_p0_1</v>
      </c>
      <c r="Z45" s="360" t="str">
        <f t="shared" si="10"/>
        <v>double</v>
      </c>
      <c r="AA45" s="360" t="str">
        <f t="shared" si="11"/>
        <v>scalaire</v>
      </c>
      <c r="AB45" s="360" t="str">
        <f t="shared" si="12"/>
        <v>Corde au plan 0.1</v>
      </c>
      <c r="AC45" s="360" t="str">
        <f t="shared" si="13"/>
        <v>m</v>
      </c>
      <c r="AD45" s="361" t="str">
        <f t="shared" si="14"/>
        <v>variable: wing_chord_p0_1 double input description= "Corde au plan 0.1" units= "m"</v>
      </c>
      <c r="AE45" s="359" t="str">
        <f t="shared" si="3"/>
        <v>Y30.geometry.wing_body</v>
      </c>
      <c r="AF45" s="360" t="str">
        <f t="shared" si="4"/>
        <v>Y32.geometry.wing_body</v>
      </c>
      <c r="AG45" s="360" t="str">
        <f t="shared" si="5"/>
        <v/>
      </c>
      <c r="AH45" s="360" t="str">
        <f t="shared" si="6"/>
        <v/>
      </c>
      <c r="AI45" s="360" t="str">
        <f t="shared" si="7"/>
        <v/>
      </c>
      <c r="AJ45" s="361" t="str">
        <f t="shared" si="8"/>
        <v/>
      </c>
    </row>
    <row r="46" spans="2:36" x14ac:dyDescent="0.2">
      <c r="B46" s="332"/>
      <c r="C46" s="316"/>
      <c r="D46" s="91" t="s">
        <v>16</v>
      </c>
      <c r="E46" s="16" t="s">
        <v>367</v>
      </c>
      <c r="F46" s="133" t="s">
        <v>842</v>
      </c>
      <c r="G46" s="134" t="s">
        <v>841</v>
      </c>
      <c r="H46" s="65" t="s">
        <v>347</v>
      </c>
      <c r="I46" s="17" t="s">
        <v>13</v>
      </c>
      <c r="J46" s="43" t="s">
        <v>12</v>
      </c>
      <c r="K46" s="42" t="s">
        <v>83</v>
      </c>
      <c r="L46" s="17" t="s">
        <v>964</v>
      </c>
      <c r="M46" s="17"/>
      <c r="N46" s="17"/>
      <c r="O46" s="17"/>
      <c r="P46" s="16"/>
      <c r="Q46" s="135" t="s">
        <v>640</v>
      </c>
      <c r="R46" s="134">
        <v>31</v>
      </c>
      <c r="S46" s="88" t="s">
        <v>592</v>
      </c>
      <c r="T46" s="110"/>
      <c r="U46" s="7"/>
      <c r="V46" s="61"/>
      <c r="Y46" s="359" t="str">
        <f t="shared" si="9"/>
        <v>wing_chord_p1</v>
      </c>
      <c r="Z46" s="360" t="str">
        <f t="shared" si="10"/>
        <v>double</v>
      </c>
      <c r="AA46" s="360" t="str">
        <f t="shared" si="11"/>
        <v>scalaire</v>
      </c>
      <c r="AB46" s="360" t="str">
        <f t="shared" si="12"/>
        <v>Corde au plan 1</v>
      </c>
      <c r="AC46" s="360" t="str">
        <f t="shared" si="13"/>
        <v>m</v>
      </c>
      <c r="AD46" s="361" t="str">
        <f t="shared" si="14"/>
        <v>variable: wing_chord_p1 double input description= "Corde au plan 1" units= "m"</v>
      </c>
      <c r="AE46" s="359" t="str">
        <f t="shared" si="3"/>
        <v>Y30.geometry.wing_body</v>
      </c>
      <c r="AF46" s="360" t="str">
        <f t="shared" si="4"/>
        <v>Y32.geometry.wing_body</v>
      </c>
      <c r="AG46" s="360" t="str">
        <f t="shared" si="5"/>
        <v/>
      </c>
      <c r="AH46" s="360" t="str">
        <f t="shared" si="6"/>
        <v/>
      </c>
      <c r="AI46" s="360" t="str">
        <f t="shared" si="7"/>
        <v/>
      </c>
      <c r="AJ46" s="361" t="str">
        <f t="shared" si="8"/>
        <v/>
      </c>
    </row>
    <row r="47" spans="2:36" x14ac:dyDescent="0.2">
      <c r="B47" s="332"/>
      <c r="C47" s="316"/>
      <c r="D47" s="91" t="s">
        <v>10</v>
      </c>
      <c r="E47" s="16" t="s">
        <v>368</v>
      </c>
      <c r="F47" s="133" t="s">
        <v>842</v>
      </c>
      <c r="G47" s="134" t="s">
        <v>841</v>
      </c>
      <c r="H47" s="65" t="s">
        <v>347</v>
      </c>
      <c r="I47" s="17" t="s">
        <v>13</v>
      </c>
      <c r="J47" s="43" t="s">
        <v>12</v>
      </c>
      <c r="K47" s="42" t="s">
        <v>130</v>
      </c>
      <c r="L47" s="17" t="s">
        <v>419</v>
      </c>
      <c r="M47" s="17" t="s">
        <v>14</v>
      </c>
      <c r="N47" s="17"/>
      <c r="O47" s="17"/>
      <c r="P47" s="16"/>
      <c r="Q47" s="135" t="s">
        <v>641</v>
      </c>
      <c r="R47" s="134">
        <v>32</v>
      </c>
      <c r="S47" s="88" t="s">
        <v>592</v>
      </c>
      <c r="T47" s="110"/>
      <c r="U47" s="7"/>
      <c r="V47" s="61"/>
      <c r="Y47" s="359" t="str">
        <f t="shared" si="9"/>
        <v>wing_chord_p2</v>
      </c>
      <c r="Z47" s="360" t="str">
        <f t="shared" si="10"/>
        <v>double</v>
      </c>
      <c r="AA47" s="360" t="str">
        <f t="shared" si="11"/>
        <v>scalaire</v>
      </c>
      <c r="AB47" s="360" t="str">
        <f t="shared" si="12"/>
        <v>Corde au plan 2</v>
      </c>
      <c r="AC47" s="360" t="str">
        <f t="shared" si="13"/>
        <v>m</v>
      </c>
      <c r="AD47" s="361" t="str">
        <f t="shared" si="14"/>
        <v>variable: wing_chord_p2 double input description= "Corde au plan 2" units= "m"</v>
      </c>
      <c r="AE47" s="359" t="str">
        <f t="shared" si="3"/>
        <v>X0.geometry.wing_body</v>
      </c>
      <c r="AF47" s="360" t="str">
        <f t="shared" si="4"/>
        <v>Y02.geometry.wing_body</v>
      </c>
      <c r="AG47" s="360" t="str">
        <f t="shared" si="5"/>
        <v>Y03.geometry.wing_body</v>
      </c>
      <c r="AH47" s="360" t="str">
        <f t="shared" si="6"/>
        <v/>
      </c>
      <c r="AI47" s="360" t="str">
        <f t="shared" si="7"/>
        <v/>
      </c>
      <c r="AJ47" s="361" t="str">
        <f t="shared" si="8"/>
        <v/>
      </c>
    </row>
    <row r="48" spans="2:36" x14ac:dyDescent="0.2">
      <c r="B48" s="332"/>
      <c r="C48" s="316"/>
      <c r="D48" s="91" t="s">
        <v>474</v>
      </c>
      <c r="E48" s="16" t="s">
        <v>549</v>
      </c>
      <c r="F48" s="133" t="s">
        <v>842</v>
      </c>
      <c r="G48" s="134" t="s">
        <v>841</v>
      </c>
      <c r="H48" s="65" t="s">
        <v>347</v>
      </c>
      <c r="I48" s="17" t="s">
        <v>13</v>
      </c>
      <c r="J48" s="43" t="s">
        <v>12</v>
      </c>
      <c r="K48" s="42" t="s">
        <v>130</v>
      </c>
      <c r="L48" s="17" t="s">
        <v>419</v>
      </c>
      <c r="M48" s="17" t="s">
        <v>14</v>
      </c>
      <c r="N48" s="17"/>
      <c r="O48" s="17"/>
      <c r="P48" s="16"/>
      <c r="Q48" s="135" t="s">
        <v>644</v>
      </c>
      <c r="R48" s="134">
        <v>33</v>
      </c>
      <c r="S48" s="88" t="s">
        <v>592</v>
      </c>
      <c r="T48" s="110"/>
      <c r="U48" s="7"/>
      <c r="V48" s="61"/>
      <c r="Y48" s="359" t="str">
        <f t="shared" si="9"/>
        <v>wing_chord_p2_1</v>
      </c>
      <c r="Z48" s="360" t="str">
        <f t="shared" si="10"/>
        <v>double</v>
      </c>
      <c r="AA48" s="360" t="str">
        <f t="shared" si="11"/>
        <v>scalaire</v>
      </c>
      <c r="AB48" s="360" t="str">
        <f t="shared" si="12"/>
        <v>Corde au plan 2.1</v>
      </c>
      <c r="AC48" s="360" t="str">
        <f t="shared" si="13"/>
        <v>m</v>
      </c>
      <c r="AD48" s="361" t="str">
        <f t="shared" si="14"/>
        <v>variable: wing_chord_p2_1 double input description= "Corde au plan 2.1" units= "m"</v>
      </c>
      <c r="AE48" s="359" t="str">
        <f t="shared" si="3"/>
        <v>X0.geometry.wing_body</v>
      </c>
      <c r="AF48" s="360" t="str">
        <f t="shared" si="4"/>
        <v>Y02.geometry.wing_body</v>
      </c>
      <c r="AG48" s="360" t="str">
        <f t="shared" si="5"/>
        <v>Y03.geometry.wing_body</v>
      </c>
      <c r="AH48" s="360" t="str">
        <f t="shared" si="6"/>
        <v/>
      </c>
      <c r="AI48" s="360" t="str">
        <f t="shared" si="7"/>
        <v/>
      </c>
      <c r="AJ48" s="361" t="str">
        <f t="shared" si="8"/>
        <v/>
      </c>
    </row>
    <row r="49" spans="2:36" x14ac:dyDescent="0.2">
      <c r="B49" s="332"/>
      <c r="C49" s="316"/>
      <c r="D49" s="91" t="s">
        <v>11</v>
      </c>
      <c r="E49" s="16" t="s">
        <v>410</v>
      </c>
      <c r="F49" s="133" t="s">
        <v>842</v>
      </c>
      <c r="G49" s="134" t="s">
        <v>841</v>
      </c>
      <c r="H49" s="65" t="s">
        <v>347</v>
      </c>
      <c r="I49" s="17" t="s">
        <v>13</v>
      </c>
      <c r="J49" s="43" t="s">
        <v>12</v>
      </c>
      <c r="K49" s="42" t="s">
        <v>130</v>
      </c>
      <c r="L49" s="17" t="s">
        <v>419</v>
      </c>
      <c r="M49" s="17" t="s">
        <v>14</v>
      </c>
      <c r="N49" s="17"/>
      <c r="O49" s="17"/>
      <c r="P49" s="16"/>
      <c r="Q49" s="135" t="s">
        <v>642</v>
      </c>
      <c r="R49" s="134">
        <v>34</v>
      </c>
      <c r="S49" s="88" t="s">
        <v>592</v>
      </c>
      <c r="T49" s="110"/>
      <c r="U49" s="7"/>
      <c r="V49" s="61"/>
      <c r="Y49" s="359" t="str">
        <f t="shared" si="9"/>
        <v>wing_chord_p3</v>
      </c>
      <c r="Z49" s="360" t="str">
        <f t="shared" si="10"/>
        <v>double</v>
      </c>
      <c r="AA49" s="360" t="str">
        <f t="shared" si="11"/>
        <v>scalaire</v>
      </c>
      <c r="AB49" s="360" t="str">
        <f t="shared" si="12"/>
        <v>Corde au plan 3</v>
      </c>
      <c r="AC49" s="360" t="str">
        <f t="shared" si="13"/>
        <v>m</v>
      </c>
      <c r="AD49" s="361" t="str">
        <f t="shared" si="14"/>
        <v>variable: wing_chord_p3 double input description= "Corde au plan 3" units= "m"</v>
      </c>
      <c r="AE49" s="359" t="str">
        <f t="shared" si="3"/>
        <v>X0.geometry.wing_body</v>
      </c>
      <c r="AF49" s="360" t="str">
        <f t="shared" si="4"/>
        <v>Y02.geometry.wing_body</v>
      </c>
      <c r="AG49" s="360" t="str">
        <f t="shared" si="5"/>
        <v>Y03.geometry.wing_body</v>
      </c>
      <c r="AH49" s="360" t="str">
        <f t="shared" si="6"/>
        <v/>
      </c>
      <c r="AI49" s="360" t="str">
        <f t="shared" si="7"/>
        <v/>
      </c>
      <c r="AJ49" s="361" t="str">
        <f t="shared" si="8"/>
        <v/>
      </c>
    </row>
    <row r="50" spans="2:36" x14ac:dyDescent="0.2">
      <c r="B50" s="332"/>
      <c r="C50" s="316"/>
      <c r="D50" s="91" t="s">
        <v>486</v>
      </c>
      <c r="E50" s="16" t="s">
        <v>499</v>
      </c>
      <c r="F50" s="133" t="s">
        <v>842</v>
      </c>
      <c r="G50" s="134" t="s">
        <v>841</v>
      </c>
      <c r="H50" s="65" t="s">
        <v>347</v>
      </c>
      <c r="I50" s="17" t="s">
        <v>13</v>
      </c>
      <c r="J50" s="43" t="s">
        <v>12</v>
      </c>
      <c r="K50" s="42" t="s">
        <v>130</v>
      </c>
      <c r="L50" s="17"/>
      <c r="M50" s="17"/>
      <c r="N50" s="17"/>
      <c r="O50" s="17"/>
      <c r="P50" s="16"/>
      <c r="Q50" s="135" t="s">
        <v>839</v>
      </c>
      <c r="R50" s="134">
        <v>35</v>
      </c>
      <c r="S50" s="88" t="s">
        <v>592</v>
      </c>
      <c r="T50" s="110"/>
      <c r="U50" s="7"/>
      <c r="V50" s="61"/>
      <c r="Y50" s="359" t="str">
        <f t="shared" si="9"/>
        <v>distance_y_p1_to_y_p2</v>
      </c>
      <c r="Z50" s="360" t="str">
        <f t="shared" si="10"/>
        <v>double</v>
      </c>
      <c r="AA50" s="360" t="str">
        <f t="shared" si="11"/>
        <v>scalaire</v>
      </c>
      <c r="AB50" s="360" t="str">
        <f t="shared" si="12"/>
        <v>Largeur de la zone de transition (distance latérale entre les plans 1 et 2)</v>
      </c>
      <c r="AC50" s="360" t="str">
        <f t="shared" si="13"/>
        <v>m</v>
      </c>
      <c r="AD50" s="361" t="str">
        <f t="shared" si="14"/>
        <v>variable: distance_y_p1_to_y_p2 double input description= "Largeur de la zone de transition (distance latérale entre les plans 1 et 2)" units= "m"</v>
      </c>
      <c r="AE50" s="359" t="str">
        <f t="shared" si="3"/>
        <v>X0.geometry.wing_body</v>
      </c>
      <c r="AF50" s="360" t="str">
        <f t="shared" si="4"/>
        <v/>
      </c>
      <c r="AG50" s="360" t="str">
        <f t="shared" si="5"/>
        <v/>
      </c>
      <c r="AH50" s="360" t="str">
        <f t="shared" si="6"/>
        <v/>
      </c>
      <c r="AI50" s="360" t="str">
        <f t="shared" si="7"/>
        <v/>
      </c>
      <c r="AJ50" s="361" t="str">
        <f t="shared" si="8"/>
        <v/>
      </c>
    </row>
    <row r="51" spans="2:36" ht="12.75" customHeight="1" x14ac:dyDescent="0.2">
      <c r="B51" s="332"/>
      <c r="C51" s="316"/>
      <c r="D51" s="91" t="s">
        <v>487</v>
      </c>
      <c r="E51" s="16" t="s">
        <v>498</v>
      </c>
      <c r="F51" s="133" t="s">
        <v>842</v>
      </c>
      <c r="G51" s="134" t="s">
        <v>841</v>
      </c>
      <c r="H51" s="65" t="s">
        <v>347</v>
      </c>
      <c r="I51" s="17" t="s">
        <v>13</v>
      </c>
      <c r="J51" s="43" t="s">
        <v>12</v>
      </c>
      <c r="K51" s="42" t="s">
        <v>130</v>
      </c>
      <c r="L51" s="17"/>
      <c r="M51" s="17"/>
      <c r="N51" s="17"/>
      <c r="O51" s="17"/>
      <c r="P51" s="16"/>
      <c r="Q51" s="135" t="s">
        <v>840</v>
      </c>
      <c r="R51" s="134">
        <v>36</v>
      </c>
      <c r="S51" s="88" t="s">
        <v>592</v>
      </c>
      <c r="T51" s="110"/>
      <c r="U51" s="7"/>
      <c r="V51" s="61"/>
      <c r="Y51" s="359" t="str">
        <f t="shared" si="9"/>
        <v>distance_y_p2_to_y_p2_1</v>
      </c>
      <c r="Z51" s="360" t="str">
        <f t="shared" si="10"/>
        <v>double</v>
      </c>
      <c r="AA51" s="360" t="str">
        <f t="shared" si="11"/>
        <v>scalaire</v>
      </c>
      <c r="AB51" s="360" t="str">
        <f t="shared" si="12"/>
        <v>Largeur du premier tronçon de la voilure externe (distance latérale entre les plans 2 et 2.1)</v>
      </c>
      <c r="AC51" s="360" t="str">
        <f t="shared" si="13"/>
        <v>m</v>
      </c>
      <c r="AD51" s="361" t="str">
        <f t="shared" si="14"/>
        <v>variable: distance_y_p2_to_y_p2_1 double input description= "Largeur du premier tronçon de la voilure externe (distance latérale entre les plans 2 et 2.1)" units= "m"</v>
      </c>
      <c r="AE51" s="359" t="str">
        <f t="shared" si="3"/>
        <v>X0.geometry.wing_body</v>
      </c>
      <c r="AF51" s="360" t="str">
        <f t="shared" si="4"/>
        <v/>
      </c>
      <c r="AG51" s="360" t="str">
        <f t="shared" si="5"/>
        <v/>
      </c>
      <c r="AH51" s="360" t="str">
        <f t="shared" si="6"/>
        <v/>
      </c>
      <c r="AI51" s="360" t="str">
        <f t="shared" si="7"/>
        <v/>
      </c>
      <c r="AJ51" s="361" t="str">
        <f t="shared" si="8"/>
        <v/>
      </c>
    </row>
    <row r="52" spans="2:36" ht="12.75" customHeight="1" x14ac:dyDescent="0.2">
      <c r="B52" s="332"/>
      <c r="C52" s="316"/>
      <c r="D52" s="91"/>
      <c r="E52" s="16" t="s">
        <v>1000</v>
      </c>
      <c r="F52" s="133" t="s">
        <v>842</v>
      </c>
      <c r="G52" s="134" t="s">
        <v>841</v>
      </c>
      <c r="H52" s="65" t="s">
        <v>347</v>
      </c>
      <c r="I52" s="17" t="s">
        <v>13</v>
      </c>
      <c r="J52" s="43" t="s">
        <v>12</v>
      </c>
      <c r="K52" s="42" t="s">
        <v>419</v>
      </c>
      <c r="L52" s="17" t="s">
        <v>14</v>
      </c>
      <c r="M52" s="17"/>
      <c r="N52" s="17"/>
      <c r="O52" s="17"/>
      <c r="P52" s="16"/>
      <c r="Q52" s="135" t="s">
        <v>705</v>
      </c>
      <c r="R52" s="134">
        <v>37</v>
      </c>
      <c r="S52" s="88" t="s">
        <v>592</v>
      </c>
      <c r="T52" s="110"/>
      <c r="U52" s="7"/>
      <c r="V52" s="61"/>
      <c r="Y52" s="359" t="str">
        <f t="shared" si="9"/>
        <v>y_p0</v>
      </c>
      <c r="Z52" s="360" t="str">
        <f t="shared" si="10"/>
        <v>double</v>
      </c>
      <c r="AA52" s="360" t="str">
        <f t="shared" si="11"/>
        <v>scalaire</v>
      </c>
      <c r="AB52" s="360" t="str">
        <f t="shared" si="12"/>
        <v>Position latérale du plan 0</v>
      </c>
      <c r="AC52" s="360" t="str">
        <f t="shared" si="13"/>
        <v>m</v>
      </c>
      <c r="AD52" s="361" t="str">
        <f t="shared" si="14"/>
        <v>variable: y_p0 double input description= "Position latérale du plan 0" units= "m"</v>
      </c>
      <c r="AE52" s="359" t="str">
        <f t="shared" si="3"/>
        <v>Y02.geometry.wing_body</v>
      </c>
      <c r="AF52" s="360" t="str">
        <f t="shared" si="4"/>
        <v>Y03.geometry.wing_body</v>
      </c>
      <c r="AG52" s="360" t="str">
        <f t="shared" si="5"/>
        <v/>
      </c>
      <c r="AH52" s="360" t="str">
        <f t="shared" si="6"/>
        <v/>
      </c>
      <c r="AI52" s="360" t="str">
        <f t="shared" si="7"/>
        <v/>
      </c>
      <c r="AJ52" s="361" t="str">
        <f t="shared" si="8"/>
        <v/>
      </c>
    </row>
    <row r="53" spans="2:36" x14ac:dyDescent="0.2">
      <c r="B53" s="332"/>
      <c r="C53" s="316"/>
      <c r="D53" s="91" t="s">
        <v>475</v>
      </c>
      <c r="E53" s="16" t="s">
        <v>555</v>
      </c>
      <c r="F53" s="133" t="s">
        <v>842</v>
      </c>
      <c r="G53" s="134" t="s">
        <v>841</v>
      </c>
      <c r="H53" s="65" t="s">
        <v>347</v>
      </c>
      <c r="I53" s="17" t="s">
        <v>13</v>
      </c>
      <c r="J53" s="43" t="s">
        <v>12</v>
      </c>
      <c r="K53" s="42" t="s">
        <v>419</v>
      </c>
      <c r="L53" s="17" t="s">
        <v>14</v>
      </c>
      <c r="M53" s="17"/>
      <c r="N53" s="17"/>
      <c r="O53" s="17"/>
      <c r="P53" s="16"/>
      <c r="Q53" s="135" t="s">
        <v>706</v>
      </c>
      <c r="R53" s="134">
        <v>38</v>
      </c>
      <c r="S53" s="88" t="s">
        <v>592</v>
      </c>
      <c r="T53" s="110"/>
      <c r="U53" s="7"/>
      <c r="V53" s="61"/>
      <c r="Y53" s="359" t="str">
        <f t="shared" si="9"/>
        <v>y_p0_1</v>
      </c>
      <c r="Z53" s="360" t="str">
        <f t="shared" si="10"/>
        <v>double</v>
      </c>
      <c r="AA53" s="360" t="str">
        <f t="shared" si="11"/>
        <v>scalaire</v>
      </c>
      <c r="AB53" s="360" t="str">
        <f t="shared" si="12"/>
        <v>Position latérale du plan 0.1 ( = lsoute)</v>
      </c>
      <c r="AC53" s="360" t="str">
        <f t="shared" si="13"/>
        <v>m</v>
      </c>
      <c r="AD53" s="361" t="str">
        <f t="shared" si="14"/>
        <v>variable: y_p0_1 double input description= "Position latérale du plan 0.1 ( = lsoute)" units= "m"</v>
      </c>
      <c r="AE53" s="359" t="str">
        <f t="shared" si="3"/>
        <v>Y02.geometry.wing_body</v>
      </c>
      <c r="AF53" s="360" t="str">
        <f t="shared" si="4"/>
        <v>Y03.geometry.wing_body</v>
      </c>
      <c r="AG53" s="360" t="str">
        <f t="shared" si="5"/>
        <v/>
      </c>
      <c r="AH53" s="360" t="str">
        <f t="shared" si="6"/>
        <v/>
      </c>
      <c r="AI53" s="360" t="str">
        <f t="shared" si="7"/>
        <v/>
      </c>
      <c r="AJ53" s="361" t="str">
        <f t="shared" si="8"/>
        <v/>
      </c>
    </row>
    <row r="54" spans="2:36" x14ac:dyDescent="0.2">
      <c r="B54" s="332"/>
      <c r="C54" s="316"/>
      <c r="D54" s="91" t="s">
        <v>55</v>
      </c>
      <c r="E54" s="16" t="s">
        <v>411</v>
      </c>
      <c r="F54" s="133" t="s">
        <v>842</v>
      </c>
      <c r="G54" s="134" t="s">
        <v>841</v>
      </c>
      <c r="H54" s="65" t="s">
        <v>347</v>
      </c>
      <c r="I54" s="17" t="s">
        <v>13</v>
      </c>
      <c r="J54" s="43" t="s">
        <v>12</v>
      </c>
      <c r="K54" s="42" t="s">
        <v>419</v>
      </c>
      <c r="L54" s="17" t="s">
        <v>14</v>
      </c>
      <c r="M54" s="17"/>
      <c r="N54" s="17"/>
      <c r="O54" s="17"/>
      <c r="P54" s="16"/>
      <c r="Q54" s="135" t="s">
        <v>707</v>
      </c>
      <c r="R54" s="134">
        <v>39</v>
      </c>
      <c r="S54" s="88" t="s">
        <v>592</v>
      </c>
      <c r="T54" s="110"/>
      <c r="U54" s="7"/>
      <c r="V54" s="61"/>
      <c r="Y54" s="359" t="str">
        <f t="shared" si="9"/>
        <v>y_p1</v>
      </c>
      <c r="Z54" s="360" t="str">
        <f t="shared" si="10"/>
        <v>double</v>
      </c>
      <c r="AA54" s="360" t="str">
        <f t="shared" si="11"/>
        <v>scalaire</v>
      </c>
      <c r="AB54" s="360" t="str">
        <f t="shared" si="12"/>
        <v>Position latérale du plan 1</v>
      </c>
      <c r="AC54" s="360" t="str">
        <f t="shared" si="13"/>
        <v>m</v>
      </c>
      <c r="AD54" s="361" t="str">
        <f t="shared" si="14"/>
        <v>variable: y_p1 double input description= "Position latérale du plan 1" units= "m"</v>
      </c>
      <c r="AE54" s="359" t="str">
        <f t="shared" si="3"/>
        <v>Y02.geometry.wing_body</v>
      </c>
      <c r="AF54" s="360" t="str">
        <f t="shared" si="4"/>
        <v>Y03.geometry.wing_body</v>
      </c>
      <c r="AG54" s="360" t="str">
        <f t="shared" si="5"/>
        <v/>
      </c>
      <c r="AH54" s="360" t="str">
        <f t="shared" si="6"/>
        <v/>
      </c>
      <c r="AI54" s="360" t="str">
        <f t="shared" si="7"/>
        <v/>
      </c>
      <c r="AJ54" s="361" t="str">
        <f t="shared" si="8"/>
        <v/>
      </c>
    </row>
    <row r="55" spans="2:36" x14ac:dyDescent="0.2">
      <c r="B55" s="332"/>
      <c r="C55" s="316"/>
      <c r="D55" s="91" t="s">
        <v>56</v>
      </c>
      <c r="E55" s="16" t="s">
        <v>412</v>
      </c>
      <c r="F55" s="133" t="s">
        <v>842</v>
      </c>
      <c r="G55" s="134" t="s">
        <v>841</v>
      </c>
      <c r="H55" s="65" t="s">
        <v>347</v>
      </c>
      <c r="I55" s="17" t="s">
        <v>13</v>
      </c>
      <c r="J55" s="43" t="s">
        <v>12</v>
      </c>
      <c r="K55" s="42" t="s">
        <v>419</v>
      </c>
      <c r="L55" s="17" t="s">
        <v>14</v>
      </c>
      <c r="M55" s="17"/>
      <c r="N55" s="17"/>
      <c r="O55" s="17"/>
      <c r="P55" s="16"/>
      <c r="Q55" s="135" t="s">
        <v>708</v>
      </c>
      <c r="R55" s="134">
        <v>40</v>
      </c>
      <c r="S55" s="88" t="s">
        <v>592</v>
      </c>
      <c r="T55" s="110"/>
      <c r="U55" s="7"/>
      <c r="V55" s="61"/>
      <c r="Y55" s="359" t="str">
        <f t="shared" si="9"/>
        <v>y_p2</v>
      </c>
      <c r="Z55" s="360" t="str">
        <f t="shared" si="10"/>
        <v>double</v>
      </c>
      <c r="AA55" s="360" t="str">
        <f t="shared" si="11"/>
        <v>scalaire</v>
      </c>
      <c r="AB55" s="360" t="str">
        <f t="shared" si="12"/>
        <v>Position latérale du plan 2</v>
      </c>
      <c r="AC55" s="360" t="str">
        <f t="shared" si="13"/>
        <v>m</v>
      </c>
      <c r="AD55" s="361" t="str">
        <f t="shared" si="14"/>
        <v>variable: y_p2 double input description= "Position latérale du plan 2" units= "m"</v>
      </c>
      <c r="AE55" s="359" t="str">
        <f t="shared" si="3"/>
        <v>Y02.geometry.wing_body</v>
      </c>
      <c r="AF55" s="360" t="str">
        <f t="shared" si="4"/>
        <v>Y03.geometry.wing_body</v>
      </c>
      <c r="AG55" s="360" t="str">
        <f t="shared" si="5"/>
        <v/>
      </c>
      <c r="AH55" s="360" t="str">
        <f t="shared" si="6"/>
        <v/>
      </c>
      <c r="AI55" s="360" t="str">
        <f t="shared" si="7"/>
        <v/>
      </c>
      <c r="AJ55" s="361" t="str">
        <f t="shared" si="8"/>
        <v/>
      </c>
    </row>
    <row r="56" spans="2:36" x14ac:dyDescent="0.2">
      <c r="B56" s="332"/>
      <c r="C56" s="316"/>
      <c r="D56" s="91" t="s">
        <v>476</v>
      </c>
      <c r="E56" s="16" t="s">
        <v>550</v>
      </c>
      <c r="F56" s="133" t="s">
        <v>842</v>
      </c>
      <c r="G56" s="134" t="s">
        <v>841</v>
      </c>
      <c r="H56" s="65" t="s">
        <v>347</v>
      </c>
      <c r="I56" s="17" t="s">
        <v>13</v>
      </c>
      <c r="J56" s="43" t="s">
        <v>12</v>
      </c>
      <c r="K56" s="42" t="s">
        <v>419</v>
      </c>
      <c r="L56" s="17" t="s">
        <v>14</v>
      </c>
      <c r="M56" s="17"/>
      <c r="N56" s="17"/>
      <c r="O56" s="17"/>
      <c r="P56" s="16"/>
      <c r="Q56" s="135" t="s">
        <v>709</v>
      </c>
      <c r="R56" s="134">
        <v>41</v>
      </c>
      <c r="S56" s="88" t="s">
        <v>592</v>
      </c>
      <c r="T56" s="110"/>
      <c r="U56" s="7"/>
      <c r="V56" s="61"/>
      <c r="Y56" s="359" t="str">
        <f t="shared" si="9"/>
        <v>y_p2_1</v>
      </c>
      <c r="Z56" s="360" t="str">
        <f t="shared" si="10"/>
        <v>double</v>
      </c>
      <c r="AA56" s="360" t="str">
        <f t="shared" si="11"/>
        <v>scalaire</v>
      </c>
      <c r="AB56" s="360" t="str">
        <f t="shared" si="12"/>
        <v>Position latérale du plan 2.1</v>
      </c>
      <c r="AC56" s="360" t="str">
        <f t="shared" si="13"/>
        <v>m</v>
      </c>
      <c r="AD56" s="361" t="str">
        <f t="shared" si="14"/>
        <v>variable: y_p2_1 double input description= "Position latérale du plan 2.1" units= "m"</v>
      </c>
      <c r="AE56" s="359" t="str">
        <f t="shared" si="3"/>
        <v>Y02.geometry.wing_body</v>
      </c>
      <c r="AF56" s="360" t="str">
        <f t="shared" si="4"/>
        <v>Y03.geometry.wing_body</v>
      </c>
      <c r="AG56" s="360" t="str">
        <f t="shared" si="5"/>
        <v/>
      </c>
      <c r="AH56" s="360" t="str">
        <f t="shared" si="6"/>
        <v/>
      </c>
      <c r="AI56" s="360" t="str">
        <f t="shared" si="7"/>
        <v/>
      </c>
      <c r="AJ56" s="361" t="str">
        <f t="shared" si="8"/>
        <v/>
      </c>
    </row>
    <row r="57" spans="2:36" x14ac:dyDescent="0.2">
      <c r="B57" s="332"/>
      <c r="C57" s="316"/>
      <c r="D57" s="91" t="s">
        <v>57</v>
      </c>
      <c r="E57" s="16" t="s">
        <v>557</v>
      </c>
      <c r="F57" s="133" t="s">
        <v>842</v>
      </c>
      <c r="G57" s="134" t="s">
        <v>841</v>
      </c>
      <c r="H57" s="65" t="s">
        <v>347</v>
      </c>
      <c r="I57" s="17" t="s">
        <v>13</v>
      </c>
      <c r="J57" s="43" t="s">
        <v>12</v>
      </c>
      <c r="K57" s="42" t="s">
        <v>419</v>
      </c>
      <c r="L57" s="17" t="s">
        <v>14</v>
      </c>
      <c r="M57" s="17"/>
      <c r="N57" s="17"/>
      <c r="O57" s="17"/>
      <c r="P57" s="16"/>
      <c r="Q57" s="135" t="s">
        <v>710</v>
      </c>
      <c r="R57" s="134">
        <v>42</v>
      </c>
      <c r="S57" s="88" t="s">
        <v>592</v>
      </c>
      <c r="T57" s="110"/>
      <c r="U57" s="7"/>
      <c r="V57" s="61"/>
      <c r="Y57" s="359" t="str">
        <f t="shared" si="9"/>
        <v>y_p3</v>
      </c>
      <c r="Z57" s="360" t="str">
        <f t="shared" si="10"/>
        <v>double</v>
      </c>
      <c r="AA57" s="360" t="str">
        <f t="shared" si="11"/>
        <v>scalaire</v>
      </c>
      <c r="AB57" s="360" t="str">
        <f t="shared" si="12"/>
        <v>Position latérale du plan 3 ( = demi-envergure)</v>
      </c>
      <c r="AC57" s="360" t="str">
        <f t="shared" si="13"/>
        <v>m</v>
      </c>
      <c r="AD57" s="361" t="str">
        <f t="shared" si="14"/>
        <v>variable: y_p3 double input description= "Position latérale du plan 3 ( = demi-envergure)" units= "m"</v>
      </c>
      <c r="AE57" s="359" t="str">
        <f t="shared" si="3"/>
        <v>Y02.geometry.wing_body</v>
      </c>
      <c r="AF57" s="360" t="str">
        <f t="shared" si="4"/>
        <v>Y03.geometry.wing_body</v>
      </c>
      <c r="AG57" s="360" t="str">
        <f t="shared" si="5"/>
        <v/>
      </c>
      <c r="AH57" s="360" t="str">
        <f t="shared" si="6"/>
        <v/>
      </c>
      <c r="AI57" s="360" t="str">
        <f t="shared" si="7"/>
        <v/>
      </c>
      <c r="AJ57" s="361" t="str">
        <f t="shared" si="8"/>
        <v/>
      </c>
    </row>
    <row r="58" spans="2:36" x14ac:dyDescent="0.2">
      <c r="B58" s="332"/>
      <c r="C58" s="316"/>
      <c r="D58" s="91"/>
      <c r="E58" s="16" t="s">
        <v>999</v>
      </c>
      <c r="F58" s="133" t="s">
        <v>842</v>
      </c>
      <c r="G58" s="134" t="s">
        <v>841</v>
      </c>
      <c r="H58" s="65" t="s">
        <v>347</v>
      </c>
      <c r="I58" s="17" t="s">
        <v>13</v>
      </c>
      <c r="J58" s="43" t="s">
        <v>12</v>
      </c>
      <c r="K58" s="42" t="s">
        <v>419</v>
      </c>
      <c r="L58" s="17" t="s">
        <v>14</v>
      </c>
      <c r="M58" s="17"/>
      <c r="N58" s="17"/>
      <c r="O58" s="17"/>
      <c r="P58" s="16"/>
      <c r="Q58" s="135" t="s">
        <v>716</v>
      </c>
      <c r="R58" s="134">
        <v>43</v>
      </c>
      <c r="S58" s="88" t="s">
        <v>592</v>
      </c>
      <c r="T58" s="110"/>
      <c r="U58" s="7"/>
      <c r="V58" s="61"/>
      <c r="Y58" s="359" t="str">
        <f t="shared" si="9"/>
        <v>x_leading_edge_p0</v>
      </c>
      <c r="Z58" s="360" t="str">
        <f t="shared" si="10"/>
        <v>double</v>
      </c>
      <c r="AA58" s="360" t="str">
        <f t="shared" si="11"/>
        <v>scalaire</v>
      </c>
      <c r="AB58" s="360" t="str">
        <f t="shared" si="12"/>
        <v>Position longitudinale du bord d'attaque au plan 0</v>
      </c>
      <c r="AC58" s="360" t="str">
        <f t="shared" si="13"/>
        <v>m</v>
      </c>
      <c r="AD58" s="361" t="str">
        <f t="shared" si="14"/>
        <v>variable: x_leading_edge_p0 double input description= "Position longitudinale du bord d'attaque au plan 0" units= "m"</v>
      </c>
      <c r="AE58" s="359" t="str">
        <f t="shared" si="3"/>
        <v>Y02.geometry.wing_body</v>
      </c>
      <c r="AF58" s="360" t="str">
        <f t="shared" si="4"/>
        <v>Y03.geometry.wing_body</v>
      </c>
      <c r="AG58" s="360" t="str">
        <f t="shared" si="5"/>
        <v/>
      </c>
      <c r="AH58" s="360" t="str">
        <f t="shared" si="6"/>
        <v/>
      </c>
      <c r="AI58" s="360" t="str">
        <f t="shared" si="7"/>
        <v/>
      </c>
      <c r="AJ58" s="361" t="str">
        <f t="shared" si="8"/>
        <v/>
      </c>
    </row>
    <row r="59" spans="2:36" x14ac:dyDescent="0.2">
      <c r="B59" s="332"/>
      <c r="C59" s="316"/>
      <c r="D59" s="91" t="s">
        <v>477</v>
      </c>
      <c r="E59" s="16" t="s">
        <v>551</v>
      </c>
      <c r="F59" s="133" t="s">
        <v>842</v>
      </c>
      <c r="G59" s="134" t="s">
        <v>841</v>
      </c>
      <c r="H59" s="65" t="s">
        <v>347</v>
      </c>
      <c r="I59" s="17" t="s">
        <v>13</v>
      </c>
      <c r="J59" s="43" t="s">
        <v>12</v>
      </c>
      <c r="K59" s="42" t="s">
        <v>419</v>
      </c>
      <c r="L59" s="17" t="s">
        <v>14</v>
      </c>
      <c r="M59" s="17"/>
      <c r="N59" s="17"/>
      <c r="O59" s="17"/>
      <c r="P59" s="16"/>
      <c r="Q59" s="135" t="s">
        <v>711</v>
      </c>
      <c r="R59" s="134">
        <v>44</v>
      </c>
      <c r="S59" s="88" t="s">
        <v>592</v>
      </c>
      <c r="T59" s="110"/>
      <c r="U59" s="7"/>
      <c r="V59" s="61"/>
      <c r="Y59" s="359" t="str">
        <f t="shared" si="9"/>
        <v>x_leading_edge_p0_1</v>
      </c>
      <c r="Z59" s="360" t="str">
        <f t="shared" si="10"/>
        <v>double</v>
      </c>
      <c r="AA59" s="360" t="str">
        <f t="shared" si="11"/>
        <v>scalaire</v>
      </c>
      <c r="AB59" s="360" t="str">
        <f t="shared" si="12"/>
        <v>Position longitudinale du bord d'attaque au plan 0.1</v>
      </c>
      <c r="AC59" s="360" t="str">
        <f t="shared" si="13"/>
        <v>m</v>
      </c>
      <c r="AD59" s="361" t="str">
        <f t="shared" si="14"/>
        <v>variable: x_leading_edge_p0_1 double input description= "Position longitudinale du bord d'attaque au plan 0.1" units= "m"</v>
      </c>
      <c r="AE59" s="359" t="str">
        <f t="shared" si="3"/>
        <v>Y02.geometry.wing_body</v>
      </c>
      <c r="AF59" s="360" t="str">
        <f t="shared" si="4"/>
        <v>Y03.geometry.wing_body</v>
      </c>
      <c r="AG59" s="360" t="str">
        <f t="shared" si="5"/>
        <v/>
      </c>
      <c r="AH59" s="360" t="str">
        <f t="shared" si="6"/>
        <v/>
      </c>
      <c r="AI59" s="360" t="str">
        <f t="shared" si="7"/>
        <v/>
      </c>
      <c r="AJ59" s="361" t="str">
        <f t="shared" si="8"/>
        <v/>
      </c>
    </row>
    <row r="60" spans="2:36" x14ac:dyDescent="0.2">
      <c r="B60" s="332"/>
      <c r="C60" s="316"/>
      <c r="D60" s="91" t="s">
        <v>58</v>
      </c>
      <c r="E60" s="16" t="s">
        <v>75</v>
      </c>
      <c r="F60" s="133" t="s">
        <v>842</v>
      </c>
      <c r="G60" s="134" t="s">
        <v>841</v>
      </c>
      <c r="H60" s="65" t="s">
        <v>347</v>
      </c>
      <c r="I60" s="17" t="s">
        <v>13</v>
      </c>
      <c r="J60" s="43" t="s">
        <v>12</v>
      </c>
      <c r="K60" s="42" t="s">
        <v>419</v>
      </c>
      <c r="L60" s="17" t="s">
        <v>14</v>
      </c>
      <c r="M60" s="17"/>
      <c r="N60" s="17"/>
      <c r="O60" s="17"/>
      <c r="P60" s="16"/>
      <c r="Q60" s="135" t="s">
        <v>712</v>
      </c>
      <c r="R60" s="134">
        <v>45</v>
      </c>
      <c r="S60" s="88" t="s">
        <v>592</v>
      </c>
      <c r="T60" s="110"/>
      <c r="U60" s="7"/>
      <c r="V60" s="61"/>
      <c r="Y60" s="359" t="str">
        <f t="shared" si="9"/>
        <v>x_leading_edge_p1</v>
      </c>
      <c r="Z60" s="360" t="str">
        <f t="shared" si="10"/>
        <v>double</v>
      </c>
      <c r="AA60" s="360" t="str">
        <f t="shared" si="11"/>
        <v>scalaire</v>
      </c>
      <c r="AB60" s="360" t="str">
        <f t="shared" si="12"/>
        <v>Position longitudinale du bord d'attaque au plan 1</v>
      </c>
      <c r="AC60" s="360" t="str">
        <f t="shared" si="13"/>
        <v>m</v>
      </c>
      <c r="AD60" s="361" t="str">
        <f t="shared" si="14"/>
        <v>variable: x_leading_edge_p1 double input description= "Position longitudinale du bord d'attaque au plan 1" units= "m"</v>
      </c>
      <c r="AE60" s="359" t="str">
        <f t="shared" si="3"/>
        <v>Y02.geometry.wing_body</v>
      </c>
      <c r="AF60" s="360" t="str">
        <f t="shared" si="4"/>
        <v>Y03.geometry.wing_body</v>
      </c>
      <c r="AG60" s="360" t="str">
        <f t="shared" si="5"/>
        <v/>
      </c>
      <c r="AH60" s="360" t="str">
        <f t="shared" si="6"/>
        <v/>
      </c>
      <c r="AI60" s="360" t="str">
        <f t="shared" si="7"/>
        <v/>
      </c>
      <c r="AJ60" s="361" t="str">
        <f t="shared" si="8"/>
        <v/>
      </c>
    </row>
    <row r="61" spans="2:36" x14ac:dyDescent="0.2">
      <c r="B61" s="332"/>
      <c r="C61" s="316"/>
      <c r="D61" s="91" t="s">
        <v>59</v>
      </c>
      <c r="E61" s="16" t="s">
        <v>76</v>
      </c>
      <c r="F61" s="133" t="s">
        <v>842</v>
      </c>
      <c r="G61" s="134" t="s">
        <v>841</v>
      </c>
      <c r="H61" s="65" t="s">
        <v>347</v>
      </c>
      <c r="I61" s="17" t="s">
        <v>13</v>
      </c>
      <c r="J61" s="43" t="s">
        <v>12</v>
      </c>
      <c r="K61" s="42" t="s">
        <v>419</v>
      </c>
      <c r="L61" s="17" t="s">
        <v>14</v>
      </c>
      <c r="M61" s="17"/>
      <c r="N61" s="17"/>
      <c r="O61" s="17"/>
      <c r="P61" s="16"/>
      <c r="Q61" s="135" t="s">
        <v>713</v>
      </c>
      <c r="R61" s="134">
        <v>46</v>
      </c>
      <c r="S61" s="88" t="s">
        <v>592</v>
      </c>
      <c r="T61" s="110"/>
      <c r="U61" s="7"/>
      <c r="V61" s="61"/>
      <c r="Y61" s="359" t="str">
        <f t="shared" si="9"/>
        <v>x_leading_edge_p2</v>
      </c>
      <c r="Z61" s="360" t="str">
        <f t="shared" si="10"/>
        <v>double</v>
      </c>
      <c r="AA61" s="360" t="str">
        <f t="shared" si="11"/>
        <v>scalaire</v>
      </c>
      <c r="AB61" s="360" t="str">
        <f t="shared" si="12"/>
        <v>Position longitudinale du bord d'attaque au plan 2</v>
      </c>
      <c r="AC61" s="360" t="str">
        <f t="shared" si="13"/>
        <v>m</v>
      </c>
      <c r="AD61" s="361" t="str">
        <f t="shared" si="14"/>
        <v>variable: x_leading_edge_p2 double input description= "Position longitudinale du bord d'attaque au plan 2" units= "m"</v>
      </c>
      <c r="AE61" s="359" t="str">
        <f t="shared" si="3"/>
        <v>Y02.geometry.wing_body</v>
      </c>
      <c r="AF61" s="360" t="str">
        <f t="shared" si="4"/>
        <v>Y03.geometry.wing_body</v>
      </c>
      <c r="AG61" s="360" t="str">
        <f t="shared" si="5"/>
        <v/>
      </c>
      <c r="AH61" s="360" t="str">
        <f t="shared" si="6"/>
        <v/>
      </c>
      <c r="AI61" s="360" t="str">
        <f t="shared" si="7"/>
        <v/>
      </c>
      <c r="AJ61" s="361" t="str">
        <f t="shared" si="8"/>
        <v/>
      </c>
    </row>
    <row r="62" spans="2:36" x14ac:dyDescent="0.2">
      <c r="B62" s="332"/>
      <c r="C62" s="316"/>
      <c r="D62" s="91" t="s">
        <v>478</v>
      </c>
      <c r="E62" s="16" t="s">
        <v>552</v>
      </c>
      <c r="F62" s="133" t="s">
        <v>842</v>
      </c>
      <c r="G62" s="134" t="s">
        <v>841</v>
      </c>
      <c r="H62" s="65" t="s">
        <v>347</v>
      </c>
      <c r="I62" s="17" t="s">
        <v>13</v>
      </c>
      <c r="J62" s="43" t="s">
        <v>12</v>
      </c>
      <c r="K62" s="42" t="s">
        <v>419</v>
      </c>
      <c r="L62" s="17" t="s">
        <v>14</v>
      </c>
      <c r="M62" s="17"/>
      <c r="N62" s="17"/>
      <c r="O62" s="17"/>
      <c r="P62" s="16"/>
      <c r="Q62" s="135" t="s">
        <v>714</v>
      </c>
      <c r="R62" s="134">
        <v>47</v>
      </c>
      <c r="S62" s="88" t="s">
        <v>592</v>
      </c>
      <c r="T62" s="110"/>
      <c r="U62" s="7"/>
      <c r="V62" s="61"/>
      <c r="Y62" s="359" t="str">
        <f t="shared" si="9"/>
        <v>x_leading_edge_p2_1</v>
      </c>
      <c r="Z62" s="360" t="str">
        <f t="shared" si="10"/>
        <v>double</v>
      </c>
      <c r="AA62" s="360" t="str">
        <f t="shared" si="11"/>
        <v>scalaire</v>
      </c>
      <c r="AB62" s="360" t="str">
        <f t="shared" si="12"/>
        <v>Position longitudinale du bord d'attaque au plan 2.1</v>
      </c>
      <c r="AC62" s="360" t="str">
        <f t="shared" si="13"/>
        <v>m</v>
      </c>
      <c r="AD62" s="361" t="str">
        <f t="shared" si="14"/>
        <v>variable: x_leading_edge_p2_1 double input description= "Position longitudinale du bord d'attaque au plan 2.1" units= "m"</v>
      </c>
      <c r="AE62" s="359" t="str">
        <f t="shared" si="3"/>
        <v>Y02.geometry.wing_body</v>
      </c>
      <c r="AF62" s="360" t="str">
        <f t="shared" si="4"/>
        <v>Y03.geometry.wing_body</v>
      </c>
      <c r="AG62" s="360" t="str">
        <f t="shared" si="5"/>
        <v/>
      </c>
      <c r="AH62" s="360" t="str">
        <f t="shared" si="6"/>
        <v/>
      </c>
      <c r="AI62" s="360" t="str">
        <f t="shared" si="7"/>
        <v/>
      </c>
      <c r="AJ62" s="361" t="str">
        <f t="shared" si="8"/>
        <v/>
      </c>
    </row>
    <row r="63" spans="2:36" x14ac:dyDescent="0.2">
      <c r="B63" s="332"/>
      <c r="C63" s="316"/>
      <c r="D63" s="91" t="s">
        <v>60</v>
      </c>
      <c r="E63" s="16" t="s">
        <v>77</v>
      </c>
      <c r="F63" s="133" t="s">
        <v>842</v>
      </c>
      <c r="G63" s="134" t="s">
        <v>841</v>
      </c>
      <c r="H63" s="65" t="s">
        <v>347</v>
      </c>
      <c r="I63" s="17" t="s">
        <v>13</v>
      </c>
      <c r="J63" s="43" t="s">
        <v>12</v>
      </c>
      <c r="K63" s="42" t="s">
        <v>419</v>
      </c>
      <c r="L63" s="17" t="s">
        <v>14</v>
      </c>
      <c r="M63" s="17"/>
      <c r="N63" s="17"/>
      <c r="O63" s="17"/>
      <c r="P63" s="16"/>
      <c r="Q63" s="135" t="s">
        <v>715</v>
      </c>
      <c r="R63" s="134">
        <v>48</v>
      </c>
      <c r="S63" s="88" t="s">
        <v>592</v>
      </c>
      <c r="T63" s="110"/>
      <c r="U63" s="7"/>
      <c r="V63" s="61"/>
      <c r="Y63" s="359" t="str">
        <f t="shared" si="9"/>
        <v>x_leading_edge_p3</v>
      </c>
      <c r="Z63" s="360" t="str">
        <f t="shared" si="10"/>
        <v>double</v>
      </c>
      <c r="AA63" s="360" t="str">
        <f t="shared" si="11"/>
        <v>scalaire</v>
      </c>
      <c r="AB63" s="360" t="str">
        <f t="shared" si="12"/>
        <v>Position longitudinale du bord d'attaque au plan 3</v>
      </c>
      <c r="AC63" s="360" t="str">
        <f t="shared" si="13"/>
        <v>m</v>
      </c>
      <c r="AD63" s="361" t="str">
        <f t="shared" si="14"/>
        <v>variable: x_leading_edge_p3 double input description= "Position longitudinale du bord d'attaque au plan 3" units= "m"</v>
      </c>
      <c r="AE63" s="359" t="str">
        <f t="shared" si="3"/>
        <v>Y02.geometry.wing_body</v>
      </c>
      <c r="AF63" s="360" t="str">
        <f t="shared" si="4"/>
        <v>Y03.geometry.wing_body</v>
      </c>
      <c r="AG63" s="360" t="str">
        <f t="shared" si="5"/>
        <v/>
      </c>
      <c r="AH63" s="360" t="str">
        <f t="shared" si="6"/>
        <v/>
      </c>
      <c r="AI63" s="360" t="str">
        <f t="shared" si="7"/>
        <v/>
      </c>
      <c r="AJ63" s="361" t="str">
        <f t="shared" si="8"/>
        <v/>
      </c>
    </row>
    <row r="64" spans="2:36" x14ac:dyDescent="0.2">
      <c r="B64" s="332"/>
      <c r="C64" s="316"/>
      <c r="D64" s="91" t="s">
        <v>147</v>
      </c>
      <c r="E64" s="16" t="s">
        <v>148</v>
      </c>
      <c r="F64" s="133" t="s">
        <v>842</v>
      </c>
      <c r="G64" s="134" t="s">
        <v>841</v>
      </c>
      <c r="H64" s="65" t="s">
        <v>347</v>
      </c>
      <c r="I64" s="17" t="s">
        <v>13</v>
      </c>
      <c r="J64" s="43" t="s">
        <v>42</v>
      </c>
      <c r="K64" s="42" t="s">
        <v>130</v>
      </c>
      <c r="L64" s="17" t="s">
        <v>419</v>
      </c>
      <c r="M64" s="17" t="s">
        <v>14</v>
      </c>
      <c r="N64" s="17"/>
      <c r="O64" s="17"/>
      <c r="P64" s="16"/>
      <c r="Q64" s="135" t="s">
        <v>717</v>
      </c>
      <c r="R64" s="134">
        <v>49</v>
      </c>
      <c r="S64" s="88" t="s">
        <v>592</v>
      </c>
      <c r="T64" s="110"/>
      <c r="U64" s="7"/>
      <c r="V64" s="61"/>
      <c r="Y64" s="359" t="str">
        <f t="shared" si="9"/>
        <v>wing_dihedral_p2_to_p3</v>
      </c>
      <c r="Z64" s="360" t="str">
        <f t="shared" si="10"/>
        <v>double</v>
      </c>
      <c r="AA64" s="360" t="str">
        <f t="shared" si="11"/>
        <v>scalaire</v>
      </c>
      <c r="AB64" s="360" t="str">
        <f t="shared" si="12"/>
        <v>Dièdre de la voilure externe, entre les plans 2 et 3</v>
      </c>
      <c r="AC64" s="360" t="str">
        <f t="shared" si="13"/>
        <v>degré</v>
      </c>
      <c r="AD64" s="361" t="str">
        <f t="shared" si="14"/>
        <v>variable: wing_dihedral_p2_to_p3 double input description= "Dièdre de la voilure externe, entre les plans 2 et 3" units= "degré"</v>
      </c>
      <c r="AE64" s="359" t="str">
        <f t="shared" si="3"/>
        <v>X0.geometry.wing_body</v>
      </c>
      <c r="AF64" s="360" t="str">
        <f t="shared" si="4"/>
        <v>Y02.geometry.wing_body</v>
      </c>
      <c r="AG64" s="360" t="str">
        <f t="shared" si="5"/>
        <v>Y03.geometry.wing_body</v>
      </c>
      <c r="AH64" s="360" t="str">
        <f t="shared" si="6"/>
        <v/>
      </c>
      <c r="AI64" s="360" t="str">
        <f t="shared" si="7"/>
        <v/>
      </c>
      <c r="AJ64" s="361" t="str">
        <f t="shared" si="8"/>
        <v/>
      </c>
    </row>
    <row r="65" spans="2:36" x14ac:dyDescent="0.2">
      <c r="B65" s="332"/>
      <c r="C65" s="316"/>
      <c r="D65" s="91" t="s">
        <v>149</v>
      </c>
      <c r="E65" s="16" t="s">
        <v>150</v>
      </c>
      <c r="F65" s="133" t="s">
        <v>842</v>
      </c>
      <c r="G65" s="134" t="s">
        <v>841</v>
      </c>
      <c r="H65" s="65" t="s">
        <v>347</v>
      </c>
      <c r="I65" s="17" t="s">
        <v>13</v>
      </c>
      <c r="J65" s="43" t="s">
        <v>12</v>
      </c>
      <c r="K65" s="42" t="s">
        <v>130</v>
      </c>
      <c r="L65" s="17" t="s">
        <v>419</v>
      </c>
      <c r="M65" s="17" t="s">
        <v>14</v>
      </c>
      <c r="N65" s="17"/>
      <c r="O65" s="17"/>
      <c r="P65" s="16"/>
      <c r="Q65" s="135" t="s">
        <v>718</v>
      </c>
      <c r="R65" s="134">
        <v>50</v>
      </c>
      <c r="S65" s="88" t="s">
        <v>592</v>
      </c>
      <c r="T65" s="110"/>
      <c r="U65" s="7"/>
      <c r="V65" s="61"/>
      <c r="Y65" s="359" t="str">
        <f t="shared" si="9"/>
        <v>z_leading_edge_p0</v>
      </c>
      <c r="Z65" s="360" t="str">
        <f t="shared" si="10"/>
        <v>double</v>
      </c>
      <c r="AA65" s="360" t="str">
        <f t="shared" si="11"/>
        <v>scalaire</v>
      </c>
      <c r="AB65" s="360" t="str">
        <f t="shared" si="12"/>
        <v>Position verticale du bord d'attaque au plan 0</v>
      </c>
      <c r="AC65" s="360" t="str">
        <f t="shared" si="13"/>
        <v>m</v>
      </c>
      <c r="AD65" s="361" t="str">
        <f t="shared" si="14"/>
        <v>variable: z_leading_edge_p0 double input description= "Position verticale du bord d'attaque au plan 0" units= "m"</v>
      </c>
      <c r="AE65" s="359" t="str">
        <f t="shared" si="3"/>
        <v>X0.geometry.wing_body</v>
      </c>
      <c r="AF65" s="360" t="str">
        <f t="shared" si="4"/>
        <v>Y02.geometry.wing_body</v>
      </c>
      <c r="AG65" s="360" t="str">
        <f t="shared" si="5"/>
        <v>Y03.geometry.wing_body</v>
      </c>
      <c r="AH65" s="360" t="str">
        <f t="shared" si="6"/>
        <v/>
      </c>
      <c r="AI65" s="360" t="str">
        <f t="shared" si="7"/>
        <v/>
      </c>
      <c r="AJ65" s="361" t="str">
        <f t="shared" si="8"/>
        <v/>
      </c>
    </row>
    <row r="66" spans="2:36" x14ac:dyDescent="0.2">
      <c r="B66" s="332"/>
      <c r="C66" s="316"/>
      <c r="D66" s="91" t="s">
        <v>479</v>
      </c>
      <c r="E66" s="16" t="s">
        <v>553</v>
      </c>
      <c r="F66" s="133" t="s">
        <v>842</v>
      </c>
      <c r="G66" s="134" t="s">
        <v>841</v>
      </c>
      <c r="H66" s="65" t="s">
        <v>347</v>
      </c>
      <c r="I66" s="17" t="s">
        <v>13</v>
      </c>
      <c r="J66" s="43" t="s">
        <v>12</v>
      </c>
      <c r="K66" s="42" t="s">
        <v>130</v>
      </c>
      <c r="L66" s="17" t="s">
        <v>419</v>
      </c>
      <c r="M66" s="17" t="s">
        <v>14</v>
      </c>
      <c r="N66" s="17"/>
      <c r="O66" s="17"/>
      <c r="P66" s="16"/>
      <c r="Q66" s="135" t="s">
        <v>719</v>
      </c>
      <c r="R66" s="134">
        <v>51</v>
      </c>
      <c r="S66" s="88" t="s">
        <v>592</v>
      </c>
      <c r="T66" s="110"/>
      <c r="U66" s="7"/>
      <c r="V66" s="61"/>
      <c r="Y66" s="359" t="str">
        <f t="shared" si="9"/>
        <v>z_leading_edge_p0_1</v>
      </c>
      <c r="Z66" s="360" t="str">
        <f t="shared" si="10"/>
        <v>double</v>
      </c>
      <c r="AA66" s="360" t="str">
        <f t="shared" si="11"/>
        <v>scalaire</v>
      </c>
      <c r="AB66" s="360" t="str">
        <f t="shared" si="12"/>
        <v>Position verticale du bord d'attaque au plan 0.1</v>
      </c>
      <c r="AC66" s="360" t="str">
        <f t="shared" si="13"/>
        <v>m</v>
      </c>
      <c r="AD66" s="361" t="str">
        <f t="shared" si="14"/>
        <v>variable: z_leading_edge_p0_1 double input description= "Position verticale du bord d'attaque au plan 0.1" units= "m"</v>
      </c>
      <c r="AE66" s="359" t="str">
        <f t="shared" si="3"/>
        <v>X0.geometry.wing_body</v>
      </c>
      <c r="AF66" s="360" t="str">
        <f t="shared" si="4"/>
        <v>Y02.geometry.wing_body</v>
      </c>
      <c r="AG66" s="360" t="str">
        <f t="shared" si="5"/>
        <v>Y03.geometry.wing_body</v>
      </c>
      <c r="AH66" s="360" t="str">
        <f t="shared" si="6"/>
        <v/>
      </c>
      <c r="AI66" s="360" t="str">
        <f t="shared" si="7"/>
        <v/>
      </c>
      <c r="AJ66" s="361" t="str">
        <f t="shared" si="8"/>
        <v/>
      </c>
    </row>
    <row r="67" spans="2:36" x14ac:dyDescent="0.2">
      <c r="B67" s="332"/>
      <c r="C67" s="316"/>
      <c r="D67" s="91" t="s">
        <v>151</v>
      </c>
      <c r="E67" s="16" t="s">
        <v>152</v>
      </c>
      <c r="F67" s="133" t="s">
        <v>842</v>
      </c>
      <c r="G67" s="134" t="s">
        <v>841</v>
      </c>
      <c r="H67" s="65" t="s">
        <v>347</v>
      </c>
      <c r="I67" s="17" t="s">
        <v>13</v>
      </c>
      <c r="J67" s="43" t="s">
        <v>12</v>
      </c>
      <c r="K67" s="42" t="s">
        <v>130</v>
      </c>
      <c r="L67" s="17" t="s">
        <v>419</v>
      </c>
      <c r="M67" s="17" t="s">
        <v>14</v>
      </c>
      <c r="N67" s="17"/>
      <c r="O67" s="17"/>
      <c r="P67" s="16"/>
      <c r="Q67" s="135" t="s">
        <v>720</v>
      </c>
      <c r="R67" s="134">
        <v>52</v>
      </c>
      <c r="S67" s="88" t="s">
        <v>592</v>
      </c>
      <c r="T67" s="110"/>
      <c r="U67" s="7"/>
      <c r="V67" s="61"/>
      <c r="Y67" s="359" t="str">
        <f t="shared" si="9"/>
        <v>z_leading_edge_p1</v>
      </c>
      <c r="Z67" s="360" t="str">
        <f t="shared" si="10"/>
        <v>double</v>
      </c>
      <c r="AA67" s="360" t="str">
        <f t="shared" si="11"/>
        <v>scalaire</v>
      </c>
      <c r="AB67" s="360" t="str">
        <f t="shared" si="12"/>
        <v>Position verticale du bord d'attaque au plan 1</v>
      </c>
      <c r="AC67" s="360" t="str">
        <f t="shared" si="13"/>
        <v>m</v>
      </c>
      <c r="AD67" s="361" t="str">
        <f t="shared" si="14"/>
        <v>variable: z_leading_edge_p1 double input description= "Position verticale du bord d'attaque au plan 1" units= "m"</v>
      </c>
      <c r="AE67" s="359" t="str">
        <f t="shared" si="3"/>
        <v>X0.geometry.wing_body</v>
      </c>
      <c r="AF67" s="360" t="str">
        <f t="shared" si="4"/>
        <v>Y02.geometry.wing_body</v>
      </c>
      <c r="AG67" s="360" t="str">
        <f t="shared" si="5"/>
        <v>Y03.geometry.wing_body</v>
      </c>
      <c r="AH67" s="360" t="str">
        <f t="shared" si="6"/>
        <v/>
      </c>
      <c r="AI67" s="360" t="str">
        <f t="shared" si="7"/>
        <v/>
      </c>
      <c r="AJ67" s="361" t="str">
        <f t="shared" si="8"/>
        <v/>
      </c>
    </row>
    <row r="68" spans="2:36" x14ac:dyDescent="0.2">
      <c r="B68" s="332"/>
      <c r="C68" s="316"/>
      <c r="D68" s="91" t="s">
        <v>153</v>
      </c>
      <c r="E68" s="16" t="s">
        <v>154</v>
      </c>
      <c r="F68" s="133" t="s">
        <v>842</v>
      </c>
      <c r="G68" s="134" t="s">
        <v>841</v>
      </c>
      <c r="H68" s="65" t="s">
        <v>347</v>
      </c>
      <c r="I68" s="17" t="s">
        <v>13</v>
      </c>
      <c r="J68" s="43" t="s">
        <v>12</v>
      </c>
      <c r="K68" s="42" t="s">
        <v>130</v>
      </c>
      <c r="L68" s="17" t="s">
        <v>419</v>
      </c>
      <c r="M68" s="17" t="s">
        <v>14</v>
      </c>
      <c r="N68" s="17"/>
      <c r="O68" s="17"/>
      <c r="P68" s="16"/>
      <c r="Q68" s="135" t="s">
        <v>721</v>
      </c>
      <c r="R68" s="134">
        <v>53</v>
      </c>
      <c r="S68" s="88" t="s">
        <v>592</v>
      </c>
      <c r="T68" s="110"/>
      <c r="U68" s="7"/>
      <c r="V68" s="61"/>
      <c r="Y68" s="359" t="str">
        <f t="shared" si="9"/>
        <v>z_leading_edge_p2</v>
      </c>
      <c r="Z68" s="360" t="str">
        <f t="shared" si="10"/>
        <v>double</v>
      </c>
      <c r="AA68" s="360" t="str">
        <f t="shared" si="11"/>
        <v>scalaire</v>
      </c>
      <c r="AB68" s="360" t="str">
        <f t="shared" si="12"/>
        <v>Position verticale du bord d'attaque au plan 2</v>
      </c>
      <c r="AC68" s="360" t="str">
        <f t="shared" si="13"/>
        <v>m</v>
      </c>
      <c r="AD68" s="361" t="str">
        <f t="shared" si="14"/>
        <v>variable: z_leading_edge_p2 double input description= "Position verticale du bord d'attaque au plan 2" units= "m"</v>
      </c>
      <c r="AE68" s="359" t="str">
        <f t="shared" si="3"/>
        <v>X0.geometry.wing_body</v>
      </c>
      <c r="AF68" s="360" t="str">
        <f t="shared" si="4"/>
        <v>Y02.geometry.wing_body</v>
      </c>
      <c r="AG68" s="360" t="str">
        <f t="shared" si="5"/>
        <v>Y03.geometry.wing_body</v>
      </c>
      <c r="AH68" s="360" t="str">
        <f t="shared" si="6"/>
        <v/>
      </c>
      <c r="AI68" s="360" t="str">
        <f t="shared" si="7"/>
        <v/>
      </c>
      <c r="AJ68" s="361" t="str">
        <f t="shared" si="8"/>
        <v/>
      </c>
    </row>
    <row r="69" spans="2:36" x14ac:dyDescent="0.2">
      <c r="B69" s="332"/>
      <c r="C69" s="316"/>
      <c r="D69" s="91" t="s">
        <v>480</v>
      </c>
      <c r="E69" s="16" t="s">
        <v>554</v>
      </c>
      <c r="F69" s="133" t="s">
        <v>842</v>
      </c>
      <c r="G69" s="134" t="s">
        <v>841</v>
      </c>
      <c r="H69" s="65" t="s">
        <v>347</v>
      </c>
      <c r="I69" s="17" t="s">
        <v>13</v>
      </c>
      <c r="J69" s="43" t="s">
        <v>12</v>
      </c>
      <c r="K69" s="42" t="s">
        <v>419</v>
      </c>
      <c r="L69" s="17" t="s">
        <v>14</v>
      </c>
      <c r="M69" s="17"/>
      <c r="N69" s="17"/>
      <c r="O69" s="17"/>
      <c r="P69" s="16"/>
      <c r="Q69" s="135" t="s">
        <v>723</v>
      </c>
      <c r="R69" s="134">
        <v>54</v>
      </c>
      <c r="S69" s="88" t="s">
        <v>592</v>
      </c>
      <c r="T69" s="110"/>
      <c r="U69" s="7"/>
      <c r="V69" s="61"/>
      <c r="Y69" s="359" t="str">
        <f t="shared" si="9"/>
        <v>z_leading_edge_p2_1</v>
      </c>
      <c r="Z69" s="360" t="str">
        <f t="shared" si="10"/>
        <v>double</v>
      </c>
      <c r="AA69" s="360" t="str">
        <f t="shared" si="11"/>
        <v>scalaire</v>
      </c>
      <c r="AB69" s="360" t="str">
        <f t="shared" si="12"/>
        <v>Position verticale du bord d'attaque au plan 2.1</v>
      </c>
      <c r="AC69" s="360" t="str">
        <f t="shared" si="13"/>
        <v>m</v>
      </c>
      <c r="AD69" s="361" t="str">
        <f t="shared" si="14"/>
        <v>variable: z_leading_edge_p2_1 double input description= "Position verticale du bord d'attaque au plan 2.1" units= "m"</v>
      </c>
      <c r="AE69" s="359" t="str">
        <f t="shared" si="3"/>
        <v>Y02.geometry.wing_body</v>
      </c>
      <c r="AF69" s="360" t="str">
        <f t="shared" si="4"/>
        <v>Y03.geometry.wing_body</v>
      </c>
      <c r="AG69" s="360" t="str">
        <f t="shared" si="5"/>
        <v/>
      </c>
      <c r="AH69" s="360" t="str">
        <f t="shared" si="6"/>
        <v/>
      </c>
      <c r="AI69" s="360" t="str">
        <f t="shared" si="7"/>
        <v/>
      </c>
      <c r="AJ69" s="361" t="str">
        <f t="shared" si="8"/>
        <v/>
      </c>
    </row>
    <row r="70" spans="2:36" x14ac:dyDescent="0.2">
      <c r="B70" s="332"/>
      <c r="C70" s="316"/>
      <c r="D70" s="91" t="s">
        <v>155</v>
      </c>
      <c r="E70" s="16" t="s">
        <v>156</v>
      </c>
      <c r="F70" s="133" t="s">
        <v>842</v>
      </c>
      <c r="G70" s="134" t="s">
        <v>841</v>
      </c>
      <c r="H70" s="65" t="s">
        <v>347</v>
      </c>
      <c r="I70" s="17" t="s">
        <v>13</v>
      </c>
      <c r="J70" s="43" t="s">
        <v>12</v>
      </c>
      <c r="K70" s="42" t="s">
        <v>419</v>
      </c>
      <c r="L70" s="17" t="s">
        <v>14</v>
      </c>
      <c r="M70" s="17"/>
      <c r="N70" s="17"/>
      <c r="O70" s="17"/>
      <c r="P70" s="16"/>
      <c r="Q70" s="135" t="s">
        <v>722</v>
      </c>
      <c r="R70" s="134">
        <v>55</v>
      </c>
      <c r="S70" s="88" t="s">
        <v>592</v>
      </c>
      <c r="T70" s="110"/>
      <c r="U70" s="7"/>
      <c r="V70" s="61"/>
      <c r="Y70" s="359" t="str">
        <f t="shared" si="9"/>
        <v>z_leading_edge_p3</v>
      </c>
      <c r="Z70" s="360" t="str">
        <f t="shared" si="10"/>
        <v>double</v>
      </c>
      <c r="AA70" s="360" t="str">
        <f t="shared" si="11"/>
        <v>scalaire</v>
      </c>
      <c r="AB70" s="360" t="str">
        <f t="shared" si="12"/>
        <v>Position verticale du bord d'attaque au plan 3</v>
      </c>
      <c r="AC70" s="360" t="str">
        <f t="shared" si="13"/>
        <v>m</v>
      </c>
      <c r="AD70" s="361" t="str">
        <f t="shared" si="14"/>
        <v>variable: z_leading_edge_p3 double input description= "Position verticale du bord d'attaque au plan 3" units= "m"</v>
      </c>
      <c r="AE70" s="359" t="str">
        <f t="shared" si="3"/>
        <v>Y02.geometry.wing_body</v>
      </c>
      <c r="AF70" s="360" t="str">
        <f t="shared" si="4"/>
        <v>Y03.geometry.wing_body</v>
      </c>
      <c r="AG70" s="360" t="str">
        <f t="shared" si="5"/>
        <v/>
      </c>
      <c r="AH70" s="360" t="str">
        <f t="shared" si="6"/>
        <v/>
      </c>
      <c r="AI70" s="360" t="str">
        <f t="shared" si="7"/>
        <v/>
      </c>
      <c r="AJ70" s="361" t="str">
        <f t="shared" si="8"/>
        <v/>
      </c>
    </row>
    <row r="71" spans="2:36" x14ac:dyDescent="0.2">
      <c r="B71" s="332"/>
      <c r="C71" s="317"/>
      <c r="D71" s="91" t="s">
        <v>158</v>
      </c>
      <c r="E71" s="16" t="s">
        <v>82</v>
      </c>
      <c r="F71" s="133" t="s">
        <v>842</v>
      </c>
      <c r="G71" s="134" t="s">
        <v>841</v>
      </c>
      <c r="H71" s="65" t="s">
        <v>347</v>
      </c>
      <c r="I71" s="17" t="s">
        <v>13</v>
      </c>
      <c r="J71" s="43" t="s">
        <v>12</v>
      </c>
      <c r="K71" s="42" t="s">
        <v>130</v>
      </c>
      <c r="L71" s="17" t="s">
        <v>419</v>
      </c>
      <c r="M71" s="17" t="s">
        <v>14</v>
      </c>
      <c r="N71" s="17"/>
      <c r="O71" s="17"/>
      <c r="P71" s="16"/>
      <c r="Q71" s="135" t="s">
        <v>724</v>
      </c>
      <c r="R71" s="134">
        <v>56</v>
      </c>
      <c r="S71" s="88" t="s">
        <v>592</v>
      </c>
      <c r="T71" s="110"/>
      <c r="U71" s="7"/>
      <c r="V71" s="61"/>
      <c r="Y71" s="359" t="str">
        <f t="shared" si="9"/>
        <v>cockpit_curvature_radius</v>
      </c>
      <c r="Z71" s="360" t="str">
        <f t="shared" si="10"/>
        <v>double</v>
      </c>
      <c r="AA71" s="360" t="str">
        <f t="shared" si="11"/>
        <v>scalaire</v>
      </c>
      <c r="AB71" s="360" t="str">
        <f t="shared" si="12"/>
        <v>Rayon de courbure du nez de l'avion</v>
      </c>
      <c r="AC71" s="360" t="str">
        <f t="shared" si="13"/>
        <v>m</v>
      </c>
      <c r="AD71" s="361" t="str">
        <f t="shared" si="14"/>
        <v>variable: cockpit_curvature_radius double input description= "Rayon de courbure du nez de l'avion" units= "m"</v>
      </c>
      <c r="AE71" s="359" t="str">
        <f t="shared" si="3"/>
        <v>X0.geometry.wing_body</v>
      </c>
      <c r="AF71" s="360" t="str">
        <f t="shared" si="4"/>
        <v>Y02.geometry.wing_body</v>
      </c>
      <c r="AG71" s="360" t="str">
        <f t="shared" si="5"/>
        <v>Y03.geometry.wing_body</v>
      </c>
      <c r="AH71" s="360" t="str">
        <f t="shared" si="6"/>
        <v/>
      </c>
      <c r="AI71" s="360" t="str">
        <f t="shared" si="7"/>
        <v/>
      </c>
      <c r="AJ71" s="361" t="str">
        <f t="shared" si="8"/>
        <v/>
      </c>
    </row>
    <row r="72" spans="2:36" x14ac:dyDescent="0.2">
      <c r="B72" s="332"/>
      <c r="C72" s="315" t="s">
        <v>21</v>
      </c>
      <c r="D72" s="91" t="s">
        <v>22</v>
      </c>
      <c r="E72" s="16" t="s">
        <v>23</v>
      </c>
      <c r="F72" s="133" t="s">
        <v>842</v>
      </c>
      <c r="G72" s="134" t="s">
        <v>691</v>
      </c>
      <c r="H72" s="65" t="s">
        <v>347</v>
      </c>
      <c r="I72" s="17" t="s">
        <v>13</v>
      </c>
      <c r="J72" s="43" t="s">
        <v>12</v>
      </c>
      <c r="K72" s="42" t="s">
        <v>14</v>
      </c>
      <c r="L72" s="17"/>
      <c r="M72" s="17"/>
      <c r="N72" s="17"/>
      <c r="O72" s="17"/>
      <c r="P72" s="16"/>
      <c r="Q72" s="135" t="s">
        <v>654</v>
      </c>
      <c r="R72" s="134">
        <v>57</v>
      </c>
      <c r="S72" s="88" t="s">
        <v>592</v>
      </c>
      <c r="T72" s="110"/>
      <c r="U72" s="7"/>
      <c r="V72" s="61"/>
      <c r="Y72" s="359" t="str">
        <f t="shared" si="9"/>
        <v>cockpit_length</v>
      </c>
      <c r="Z72" s="360" t="str">
        <f t="shared" si="10"/>
        <v>double</v>
      </c>
      <c r="AA72" s="360" t="str">
        <f t="shared" si="11"/>
        <v>scalaire</v>
      </c>
      <c r="AB72" s="360" t="str">
        <f t="shared" si="12"/>
        <v>Longueur du cockpit</v>
      </c>
      <c r="AC72" s="360" t="str">
        <f t="shared" si="13"/>
        <v>m</v>
      </c>
      <c r="AD72" s="361" t="str">
        <f t="shared" si="14"/>
        <v>variable: cockpit_length double input description= "Longueur du cockpit" units= "m"</v>
      </c>
      <c r="AE72" s="359" t="str">
        <f t="shared" si="3"/>
        <v>Y03.geometry.cabin</v>
      </c>
      <c r="AF72" s="360" t="str">
        <f t="shared" si="4"/>
        <v/>
      </c>
      <c r="AG72" s="360" t="str">
        <f t="shared" si="5"/>
        <v/>
      </c>
      <c r="AH72" s="360" t="str">
        <f t="shared" si="6"/>
        <v/>
      </c>
      <c r="AI72" s="360" t="str">
        <f t="shared" si="7"/>
        <v/>
      </c>
      <c r="AJ72" s="361" t="str">
        <f t="shared" si="8"/>
        <v/>
      </c>
    </row>
    <row r="73" spans="2:36" x14ac:dyDescent="0.2">
      <c r="B73" s="332"/>
      <c r="C73" s="316"/>
      <c r="D73" s="91" t="s">
        <v>26</v>
      </c>
      <c r="E73" s="16" t="s">
        <v>28</v>
      </c>
      <c r="F73" s="133" t="s">
        <v>842</v>
      </c>
      <c r="G73" s="134" t="s">
        <v>691</v>
      </c>
      <c r="H73" s="65" t="s">
        <v>347</v>
      </c>
      <c r="I73" s="17" t="s">
        <v>13</v>
      </c>
      <c r="J73" s="43" t="s">
        <v>12</v>
      </c>
      <c r="K73" s="42" t="s">
        <v>14</v>
      </c>
      <c r="L73" s="17"/>
      <c r="M73" s="17"/>
      <c r="N73" s="17"/>
      <c r="O73" s="17"/>
      <c r="P73" s="16"/>
      <c r="Q73" s="135" t="s">
        <v>726</v>
      </c>
      <c r="R73" s="134">
        <v>58</v>
      </c>
      <c r="S73" s="88" t="s">
        <v>592</v>
      </c>
      <c r="T73" s="110"/>
      <c r="U73" s="7"/>
      <c r="V73" s="61"/>
      <c r="Y73" s="359" t="str">
        <f t="shared" si="9"/>
        <v>cabin_rectangular_part_length</v>
      </c>
      <c r="Z73" s="360" t="str">
        <f t="shared" si="10"/>
        <v>double</v>
      </c>
      <c r="AA73" s="360" t="str">
        <f t="shared" si="11"/>
        <v>scalaire</v>
      </c>
      <c r="AB73" s="360" t="str">
        <f t="shared" si="12"/>
        <v>Longueur de la zone rectangulaire arrière de la cabine</v>
      </c>
      <c r="AC73" s="360" t="str">
        <f t="shared" si="13"/>
        <v>m</v>
      </c>
      <c r="AD73" s="361" t="str">
        <f t="shared" si="14"/>
        <v>variable: cabin_rectangular_part_length double input description= "Longueur de la zone rectangulaire arrière de la cabine" units= "m"</v>
      </c>
      <c r="AE73" s="359" t="str">
        <f t="shared" si="3"/>
        <v>Y03.geometry.cabin</v>
      </c>
      <c r="AF73" s="360" t="str">
        <f t="shared" si="4"/>
        <v/>
      </c>
      <c r="AG73" s="360" t="str">
        <f t="shared" si="5"/>
        <v/>
      </c>
      <c r="AH73" s="360" t="str">
        <f t="shared" si="6"/>
        <v/>
      </c>
      <c r="AI73" s="360" t="str">
        <f t="shared" si="7"/>
        <v/>
      </c>
      <c r="AJ73" s="361" t="str">
        <f t="shared" si="8"/>
        <v/>
      </c>
    </row>
    <row r="74" spans="2:36" x14ac:dyDescent="0.2">
      <c r="B74" s="332"/>
      <c r="C74" s="316"/>
      <c r="D74" s="91" t="s">
        <v>25</v>
      </c>
      <c r="E74" s="16" t="s">
        <v>27</v>
      </c>
      <c r="F74" s="133" t="s">
        <v>842</v>
      </c>
      <c r="G74" s="134" t="s">
        <v>691</v>
      </c>
      <c r="H74" s="65" t="s">
        <v>347</v>
      </c>
      <c r="I74" s="17" t="s">
        <v>13</v>
      </c>
      <c r="J74" s="43" t="s">
        <v>12</v>
      </c>
      <c r="K74" s="42" t="s">
        <v>14</v>
      </c>
      <c r="L74" s="17"/>
      <c r="M74" s="17"/>
      <c r="N74" s="17"/>
      <c r="O74" s="17"/>
      <c r="P74" s="16"/>
      <c r="Q74" s="135" t="s">
        <v>725</v>
      </c>
      <c r="R74" s="134">
        <v>59</v>
      </c>
      <c r="S74" s="88" t="s">
        <v>592</v>
      </c>
      <c r="T74" s="110"/>
      <c r="U74" s="7"/>
      <c r="V74" s="61"/>
      <c r="Y74" s="359" t="str">
        <f t="shared" si="9"/>
        <v>cabin_triangular_part_length</v>
      </c>
      <c r="Z74" s="360" t="str">
        <f t="shared" si="10"/>
        <v>double</v>
      </c>
      <c r="AA74" s="360" t="str">
        <f t="shared" si="11"/>
        <v>scalaire</v>
      </c>
      <c r="AB74" s="360" t="str">
        <f t="shared" si="12"/>
        <v>Longueur de la zone triangulaire avant de la cabine</v>
      </c>
      <c r="AC74" s="360" t="str">
        <f t="shared" si="13"/>
        <v>m</v>
      </c>
      <c r="AD74" s="361" t="str">
        <f t="shared" si="14"/>
        <v>variable: cabin_triangular_part_length double input description= "Longueur de la zone triangulaire avant de la cabine" units= "m"</v>
      </c>
      <c r="AE74" s="359" t="str">
        <f t="shared" si="3"/>
        <v>Y03.geometry.cabin</v>
      </c>
      <c r="AF74" s="360" t="str">
        <f t="shared" si="4"/>
        <v/>
      </c>
      <c r="AG74" s="360" t="str">
        <f t="shared" si="5"/>
        <v/>
      </c>
      <c r="AH74" s="360" t="str">
        <f t="shared" si="6"/>
        <v/>
      </c>
      <c r="AI74" s="360" t="str">
        <f t="shared" si="7"/>
        <v/>
      </c>
      <c r="AJ74" s="361" t="str">
        <f t="shared" si="8"/>
        <v/>
      </c>
    </row>
    <row r="75" spans="2:36" x14ac:dyDescent="0.2">
      <c r="B75" s="332"/>
      <c r="C75" s="316"/>
      <c r="D75" s="91" t="s">
        <v>526</v>
      </c>
      <c r="E75" s="16" t="s">
        <v>527</v>
      </c>
      <c r="F75" s="133" t="s">
        <v>842</v>
      </c>
      <c r="G75" s="134" t="s">
        <v>691</v>
      </c>
      <c r="H75" s="65" t="s">
        <v>347</v>
      </c>
      <c r="I75" s="17" t="s">
        <v>13</v>
      </c>
      <c r="J75" s="43" t="s">
        <v>12</v>
      </c>
      <c r="K75" s="42" t="s">
        <v>14</v>
      </c>
      <c r="L75" s="17"/>
      <c r="M75" s="17"/>
      <c r="N75" s="17"/>
      <c r="O75" s="17"/>
      <c r="P75" s="16"/>
      <c r="Q75" s="135" t="s">
        <v>727</v>
      </c>
      <c r="R75" s="134">
        <v>60</v>
      </c>
      <c r="S75" s="88" t="s">
        <v>592</v>
      </c>
      <c r="T75" s="110"/>
      <c r="U75" s="7"/>
      <c r="V75" s="61"/>
      <c r="Y75" s="359" t="str">
        <f t="shared" si="9"/>
        <v>central_body_rear_length_p0</v>
      </c>
      <c r="Z75" s="360" t="str">
        <f t="shared" si="10"/>
        <v>double</v>
      </c>
      <c r="AA75" s="360" t="str">
        <f t="shared" si="11"/>
        <v>scalaire</v>
      </c>
      <c r="AB75" s="360" t="str">
        <f t="shared" si="12"/>
        <v>Longueur de la zone arrière du corps central au plan 0</v>
      </c>
      <c r="AC75" s="360" t="str">
        <f t="shared" si="13"/>
        <v>m</v>
      </c>
      <c r="AD75" s="361" t="str">
        <f t="shared" si="14"/>
        <v>variable: central_body_rear_length_p0 double input description= "Longueur de la zone arrière du corps central au plan 0" units= "m"</v>
      </c>
      <c r="AE75" s="359" t="str">
        <f t="shared" si="3"/>
        <v>Y03.geometry.cabin</v>
      </c>
      <c r="AF75" s="360" t="str">
        <f t="shared" si="4"/>
        <v/>
      </c>
      <c r="AG75" s="360" t="str">
        <f t="shared" si="5"/>
        <v/>
      </c>
      <c r="AH75" s="360" t="str">
        <f t="shared" si="6"/>
        <v/>
      </c>
      <c r="AI75" s="360" t="str">
        <f t="shared" si="7"/>
        <v/>
      </c>
      <c r="AJ75" s="361" t="str">
        <f t="shared" si="8"/>
        <v/>
      </c>
    </row>
    <row r="76" spans="2:36" x14ac:dyDescent="0.2">
      <c r="B76" s="332"/>
      <c r="C76" s="316"/>
      <c r="D76" s="91" t="s">
        <v>500</v>
      </c>
      <c r="E76" s="16" t="s">
        <v>501</v>
      </c>
      <c r="F76" s="133" t="s">
        <v>842</v>
      </c>
      <c r="G76" s="134" t="s">
        <v>691</v>
      </c>
      <c r="H76" s="65" t="s">
        <v>347</v>
      </c>
      <c r="I76" s="17" t="s">
        <v>13</v>
      </c>
      <c r="J76" s="43" t="s">
        <v>12</v>
      </c>
      <c r="K76" s="42" t="s">
        <v>14</v>
      </c>
      <c r="L76" s="17"/>
      <c r="M76" s="17"/>
      <c r="N76" s="17"/>
      <c r="O76" s="17"/>
      <c r="P76" s="16"/>
      <c r="Q76" s="135" t="s">
        <v>728</v>
      </c>
      <c r="R76" s="134">
        <v>61</v>
      </c>
      <c r="S76" s="88" t="s">
        <v>592</v>
      </c>
      <c r="T76" s="110"/>
      <c r="U76" s="7"/>
      <c r="V76" s="61"/>
      <c r="Y76" s="359" t="str">
        <f t="shared" si="9"/>
        <v>central_body_rear_length_p0_1</v>
      </c>
      <c r="Z76" s="360" t="str">
        <f t="shared" si="10"/>
        <v>double</v>
      </c>
      <c r="AA76" s="360" t="str">
        <f t="shared" si="11"/>
        <v>scalaire</v>
      </c>
      <c r="AB76" s="360" t="str">
        <f t="shared" si="12"/>
        <v>Longueur de la zone arrière du corps central au plan 0.1</v>
      </c>
      <c r="AC76" s="360" t="str">
        <f t="shared" si="13"/>
        <v>m</v>
      </c>
      <c r="AD76" s="361" t="str">
        <f t="shared" si="14"/>
        <v>variable: central_body_rear_length_p0_1 double input description= "Longueur de la zone arrière du corps central au plan 0.1" units= "m"</v>
      </c>
      <c r="AE76" s="359" t="str">
        <f t="shared" si="3"/>
        <v>Y03.geometry.cabin</v>
      </c>
      <c r="AF76" s="360" t="str">
        <f t="shared" si="4"/>
        <v/>
      </c>
      <c r="AG76" s="360" t="str">
        <f t="shared" si="5"/>
        <v/>
      </c>
      <c r="AH76" s="360" t="str">
        <f t="shared" si="6"/>
        <v/>
      </c>
      <c r="AI76" s="360" t="str">
        <f t="shared" si="7"/>
        <v/>
      </c>
      <c r="AJ76" s="361" t="str">
        <f t="shared" si="8"/>
        <v/>
      </c>
    </row>
    <row r="77" spans="2:36" x14ac:dyDescent="0.2">
      <c r="B77" s="332"/>
      <c r="C77" s="316"/>
      <c r="D77" s="91"/>
      <c r="E77" s="16" t="s">
        <v>998</v>
      </c>
      <c r="F77" s="133" t="s">
        <v>842</v>
      </c>
      <c r="G77" s="134" t="s">
        <v>691</v>
      </c>
      <c r="H77" s="65" t="s">
        <v>347</v>
      </c>
      <c r="I77" s="17" t="s">
        <v>13</v>
      </c>
      <c r="J77" s="43" t="s">
        <v>12</v>
      </c>
      <c r="K77" s="42" t="s">
        <v>14</v>
      </c>
      <c r="L77" s="17"/>
      <c r="M77" s="17"/>
      <c r="N77" s="17"/>
      <c r="O77" s="17"/>
      <c r="P77" s="16"/>
      <c r="Q77" s="135" t="s">
        <v>729</v>
      </c>
      <c r="R77" s="134">
        <v>62</v>
      </c>
      <c r="S77" s="88" t="s">
        <v>592</v>
      </c>
      <c r="T77" s="110"/>
      <c r="U77" s="7"/>
      <c r="V77" s="61"/>
      <c r="Y77" s="359" t="str">
        <f t="shared" si="9"/>
        <v>central_body_rear_length_p1</v>
      </c>
      <c r="Z77" s="360" t="str">
        <f t="shared" si="10"/>
        <v>double</v>
      </c>
      <c r="AA77" s="360" t="str">
        <f t="shared" si="11"/>
        <v>scalaire</v>
      </c>
      <c r="AB77" s="360" t="str">
        <f t="shared" si="12"/>
        <v>Longueur de la zone arrière du corps central au plan 1</v>
      </c>
      <c r="AC77" s="360" t="str">
        <f t="shared" si="13"/>
        <v>m</v>
      </c>
      <c r="AD77" s="361" t="str">
        <f t="shared" si="14"/>
        <v>variable: central_body_rear_length_p1 double input description= "Longueur de la zone arrière du corps central au plan 1" units= "m"</v>
      </c>
      <c r="AE77" s="359" t="str">
        <f t="shared" si="3"/>
        <v>Y03.geometry.cabin</v>
      </c>
      <c r="AF77" s="360" t="str">
        <f t="shared" si="4"/>
        <v/>
      </c>
      <c r="AG77" s="360" t="str">
        <f t="shared" si="5"/>
        <v/>
      </c>
      <c r="AH77" s="360" t="str">
        <f t="shared" si="6"/>
        <v/>
      </c>
      <c r="AI77" s="360" t="str">
        <f t="shared" si="7"/>
        <v/>
      </c>
      <c r="AJ77" s="361" t="str">
        <f t="shared" si="8"/>
        <v/>
      </c>
    </row>
    <row r="78" spans="2:36" x14ac:dyDescent="0.2">
      <c r="B78" s="332"/>
      <c r="C78" s="316"/>
      <c r="D78" s="91" t="s">
        <v>45</v>
      </c>
      <c r="E78" s="16" t="s">
        <v>46</v>
      </c>
      <c r="F78" s="133" t="s">
        <v>842</v>
      </c>
      <c r="G78" s="134" t="s">
        <v>691</v>
      </c>
      <c r="H78" s="65" t="s">
        <v>347</v>
      </c>
      <c r="I78" s="17" t="s">
        <v>13</v>
      </c>
      <c r="J78" s="43" t="s">
        <v>12</v>
      </c>
      <c r="K78" s="42" t="s">
        <v>14</v>
      </c>
      <c r="L78" s="17"/>
      <c r="M78" s="17"/>
      <c r="N78" s="17"/>
      <c r="O78" s="17"/>
      <c r="P78" s="16"/>
      <c r="Q78" s="135" t="s">
        <v>730</v>
      </c>
      <c r="R78" s="134">
        <v>63</v>
      </c>
      <c r="S78" s="88" t="s">
        <v>592</v>
      </c>
      <c r="T78" s="110"/>
      <c r="U78" s="7"/>
      <c r="V78" s="61"/>
      <c r="Y78" s="359" t="str">
        <f t="shared" si="9"/>
        <v>x_leading_edge_internal_partition</v>
      </c>
      <c r="Z78" s="360" t="str">
        <f t="shared" si="10"/>
        <v>double</v>
      </c>
      <c r="AA78" s="360" t="str">
        <f t="shared" si="11"/>
        <v>scalaire</v>
      </c>
      <c r="AB78" s="360" t="str">
        <f t="shared" si="12"/>
        <v>Position longitudinale du bord d'attaque de la cloison interne</v>
      </c>
      <c r="AC78" s="360" t="str">
        <f t="shared" si="13"/>
        <v>m</v>
      </c>
      <c r="AD78" s="361" t="str">
        <f t="shared" si="14"/>
        <v>variable: x_leading_edge_internal_partition double input description= "Position longitudinale du bord d'attaque de la cloison interne" units= "m"</v>
      </c>
      <c r="AE78" s="359" t="str">
        <f t="shared" si="3"/>
        <v>Y03.geometry.cabin</v>
      </c>
      <c r="AF78" s="360" t="str">
        <f t="shared" si="4"/>
        <v/>
      </c>
      <c r="AG78" s="360" t="str">
        <f t="shared" si="5"/>
        <v/>
      </c>
      <c r="AH78" s="360" t="str">
        <f t="shared" si="6"/>
        <v/>
      </c>
      <c r="AI78" s="360" t="str">
        <f t="shared" si="7"/>
        <v/>
      </c>
      <c r="AJ78" s="361" t="str">
        <f t="shared" si="8"/>
        <v/>
      </c>
    </row>
    <row r="79" spans="2:36" x14ac:dyDescent="0.2">
      <c r="B79" s="332"/>
      <c r="C79" s="316"/>
      <c r="D79" s="91" t="s">
        <v>43</v>
      </c>
      <c r="E79" s="16" t="s">
        <v>44</v>
      </c>
      <c r="F79" s="133" t="s">
        <v>842</v>
      </c>
      <c r="G79" s="134" t="s">
        <v>691</v>
      </c>
      <c r="H79" s="65" t="s">
        <v>347</v>
      </c>
      <c r="I79" s="17" t="s">
        <v>13</v>
      </c>
      <c r="J79" s="43" t="s">
        <v>12</v>
      </c>
      <c r="K79" s="42" t="s">
        <v>14</v>
      </c>
      <c r="L79" s="17"/>
      <c r="M79" s="17"/>
      <c r="N79" s="17"/>
      <c r="O79" s="17"/>
      <c r="P79" s="16"/>
      <c r="Q79" s="135" t="s">
        <v>655</v>
      </c>
      <c r="R79" s="134">
        <v>64</v>
      </c>
      <c r="S79" s="88" t="s">
        <v>592</v>
      </c>
      <c r="T79" s="110"/>
      <c r="U79" s="7"/>
      <c r="V79" s="61"/>
      <c r="Y79" s="359" t="str">
        <f t="shared" si="9"/>
        <v>cockpit_width</v>
      </c>
      <c r="Z79" s="360" t="str">
        <f t="shared" si="10"/>
        <v>double</v>
      </c>
      <c r="AA79" s="360" t="str">
        <f t="shared" si="11"/>
        <v>scalaire</v>
      </c>
      <c r="AB79" s="360" t="str">
        <f t="shared" si="12"/>
        <v>Largeur du cockpit</v>
      </c>
      <c r="AC79" s="360" t="str">
        <f t="shared" si="13"/>
        <v>m</v>
      </c>
      <c r="AD79" s="361" t="str">
        <f t="shared" si="14"/>
        <v>variable: cockpit_width double input description= "Largeur du cockpit" units= "m"</v>
      </c>
      <c r="AE79" s="359" t="str">
        <f t="shared" si="3"/>
        <v>Y03.geometry.cabin</v>
      </c>
      <c r="AF79" s="360" t="str">
        <f t="shared" si="4"/>
        <v/>
      </c>
      <c r="AG79" s="360" t="str">
        <f t="shared" si="5"/>
        <v/>
      </c>
      <c r="AH79" s="360" t="str">
        <f t="shared" si="6"/>
        <v/>
      </c>
      <c r="AI79" s="360" t="str">
        <f t="shared" si="7"/>
        <v/>
      </c>
      <c r="AJ79" s="361" t="str">
        <f t="shared" si="8"/>
        <v/>
      </c>
    </row>
    <row r="80" spans="2:36" x14ac:dyDescent="0.2">
      <c r="B80" s="332"/>
      <c r="C80" s="316"/>
      <c r="D80" s="91" t="s">
        <v>29</v>
      </c>
      <c r="E80" s="16" t="s">
        <v>30</v>
      </c>
      <c r="F80" s="133" t="s">
        <v>842</v>
      </c>
      <c r="G80" s="134" t="s">
        <v>691</v>
      </c>
      <c r="H80" s="65" t="s">
        <v>347</v>
      </c>
      <c r="I80" s="17" t="s">
        <v>13</v>
      </c>
      <c r="J80" s="43" t="s">
        <v>12</v>
      </c>
      <c r="K80" s="42" t="s">
        <v>14</v>
      </c>
      <c r="L80" s="17"/>
      <c r="M80" s="17"/>
      <c r="N80" s="17"/>
      <c r="O80" s="17"/>
      <c r="P80" s="16"/>
      <c r="Q80" s="135" t="s">
        <v>731</v>
      </c>
      <c r="R80" s="134">
        <v>65</v>
      </c>
      <c r="S80" s="88" t="s">
        <v>592</v>
      </c>
      <c r="T80" s="110"/>
      <c r="U80" s="7"/>
      <c r="V80" s="61"/>
      <c r="Y80" s="359" t="str">
        <f t="shared" si="9"/>
        <v>y_internal_partition</v>
      </c>
      <c r="Z80" s="360" t="str">
        <f t="shared" si="10"/>
        <v>double</v>
      </c>
      <c r="AA80" s="360" t="str">
        <f t="shared" si="11"/>
        <v>scalaire</v>
      </c>
      <c r="AB80" s="360" t="str">
        <f t="shared" si="12"/>
        <v>Position latérale de la cloison interne</v>
      </c>
      <c r="AC80" s="360" t="str">
        <f t="shared" si="13"/>
        <v>m</v>
      </c>
      <c r="AD80" s="361" t="str">
        <f t="shared" si="14"/>
        <v>variable: y_internal_partition double input description= "Position latérale de la cloison interne" units= "m"</v>
      </c>
      <c r="AE80" s="359" t="str">
        <f t="shared" ref="AE80:AE143" si="15">CONCATENER_MODELCENTER(K80,$F80,$G80)</f>
        <v>Y03.geometry.cabin</v>
      </c>
      <c r="AF80" s="360" t="str">
        <f t="shared" ref="AF80:AF143" si="16">CONCATENER_MODELCENTER(L80,$F80,$G80)</f>
        <v/>
      </c>
      <c r="AG80" s="360" t="str">
        <f t="shared" ref="AG80:AG143" si="17">CONCATENER_MODELCENTER(M80,$F80,$G80)</f>
        <v/>
      </c>
      <c r="AH80" s="360" t="str">
        <f t="shared" ref="AH80:AH143" si="18">CONCATENER_MODELCENTER(N80,$F80,$G80)</f>
        <v/>
      </c>
      <c r="AI80" s="360" t="str">
        <f t="shared" ref="AI80:AI143" si="19">CONCATENER_MODELCENTER(O80,$F80,$G80)</f>
        <v/>
      </c>
      <c r="AJ80" s="361" t="str">
        <f t="shared" ref="AJ80:AJ143" si="20">CONCATENER_MODELCENTER(P80,$F80,$G80)</f>
        <v/>
      </c>
    </row>
    <row r="81" spans="2:36" x14ac:dyDescent="0.2">
      <c r="B81" s="332"/>
      <c r="C81" s="316"/>
      <c r="D81" s="91" t="s">
        <v>31</v>
      </c>
      <c r="E81" s="16" t="s">
        <v>39</v>
      </c>
      <c r="F81" s="133" t="s">
        <v>842</v>
      </c>
      <c r="G81" s="134" t="s">
        <v>691</v>
      </c>
      <c r="H81" s="65" t="s">
        <v>347</v>
      </c>
      <c r="I81" s="17" t="s">
        <v>13</v>
      </c>
      <c r="J81" s="43" t="s">
        <v>12</v>
      </c>
      <c r="K81" s="42" t="s">
        <v>14</v>
      </c>
      <c r="L81" s="17"/>
      <c r="M81" s="17"/>
      <c r="N81" s="17"/>
      <c r="O81" s="17"/>
      <c r="P81" s="16"/>
      <c r="Q81" s="135" t="s">
        <v>732</v>
      </c>
      <c r="R81" s="134">
        <v>66</v>
      </c>
      <c r="S81" s="88" t="s">
        <v>592</v>
      </c>
      <c r="T81" s="110"/>
      <c r="U81" s="7"/>
      <c r="V81" s="61"/>
      <c r="Y81" s="359" t="str">
        <f t="shared" ref="Y81:Y144" si="21">Q81</f>
        <v>internal_partition_thickness</v>
      </c>
      <c r="Z81" s="360" t="str">
        <f t="shared" ref="Z81:Z144" si="22">I81</f>
        <v>double</v>
      </c>
      <c r="AA81" s="360" t="str">
        <f t="shared" ref="AA81:AA144" si="23">H81</f>
        <v>scalaire</v>
      </c>
      <c r="AB81" s="360" t="str">
        <f t="shared" ref="AB81:AB144" si="24">E81</f>
        <v>Epaisseur d'une cloison interne</v>
      </c>
      <c r="AC81" s="360" t="str">
        <f t="shared" ref="AC81:AC144" si="25">J81</f>
        <v>m</v>
      </c>
      <c r="AD81" s="361" t="str">
        <f t="shared" ref="AD81:AD144" si="26">CONCATENATE(IF(S81="oui","#",""),"variable: ",Y81," ",Z81," input ","description= """,AB81,""" units= """,AC81,"""")</f>
        <v>variable: internal_partition_thickness double input description= "Epaisseur d'une cloison interne" units= "m"</v>
      </c>
      <c r="AE81" s="359" t="str">
        <f t="shared" si="15"/>
        <v>Y03.geometry.cabin</v>
      </c>
      <c r="AF81" s="360" t="str">
        <f t="shared" si="16"/>
        <v/>
      </c>
      <c r="AG81" s="360" t="str">
        <f t="shared" si="17"/>
        <v/>
      </c>
      <c r="AH81" s="360" t="str">
        <f t="shared" si="18"/>
        <v/>
      </c>
      <c r="AI81" s="360" t="str">
        <f t="shared" si="19"/>
        <v/>
      </c>
      <c r="AJ81" s="361" t="str">
        <f t="shared" si="20"/>
        <v/>
      </c>
    </row>
    <row r="82" spans="2:36" x14ac:dyDescent="0.2">
      <c r="B82" s="332"/>
      <c r="C82" s="316"/>
      <c r="D82" s="91" t="s">
        <v>84</v>
      </c>
      <c r="E82" s="16" t="s">
        <v>24</v>
      </c>
      <c r="F82" s="133" t="s">
        <v>842</v>
      </c>
      <c r="G82" s="134" t="s">
        <v>691</v>
      </c>
      <c r="H82" s="65" t="s">
        <v>347</v>
      </c>
      <c r="I82" s="17" t="s">
        <v>13</v>
      </c>
      <c r="J82" s="43" t="s">
        <v>12</v>
      </c>
      <c r="K82" s="42" t="s">
        <v>14</v>
      </c>
      <c r="L82" s="17"/>
      <c r="M82" s="17"/>
      <c r="N82" s="17"/>
      <c r="O82" s="17"/>
      <c r="P82" s="16"/>
      <c r="Q82" s="135" t="s">
        <v>656</v>
      </c>
      <c r="R82" s="134">
        <v>67</v>
      </c>
      <c r="S82" s="88" t="s">
        <v>592</v>
      </c>
      <c r="T82" s="110"/>
      <c r="U82" s="7"/>
      <c r="V82" s="61"/>
      <c r="Y82" s="359" t="str">
        <f t="shared" si="21"/>
        <v>bulkhead_thickness</v>
      </c>
      <c r="Z82" s="360" t="str">
        <f t="shared" si="22"/>
        <v>double</v>
      </c>
      <c r="AA82" s="360" t="str">
        <f t="shared" si="23"/>
        <v>scalaire</v>
      </c>
      <c r="AB82" s="360" t="str">
        <f t="shared" si="24"/>
        <v>Epaisseur de la paroi cabine (bulkhead)</v>
      </c>
      <c r="AC82" s="360" t="str">
        <f t="shared" si="25"/>
        <v>m</v>
      </c>
      <c r="AD82" s="361" t="str">
        <f t="shared" si="26"/>
        <v>variable: bulkhead_thickness double input description= "Epaisseur de la paroi cabine (bulkhead)" units= "m"</v>
      </c>
      <c r="AE82" s="359" t="str">
        <f t="shared" si="15"/>
        <v>Y03.geometry.cabin</v>
      </c>
      <c r="AF82" s="360" t="str">
        <f t="shared" si="16"/>
        <v/>
      </c>
      <c r="AG82" s="360" t="str">
        <f t="shared" si="17"/>
        <v/>
      </c>
      <c r="AH82" s="360" t="str">
        <f t="shared" si="18"/>
        <v/>
      </c>
      <c r="AI82" s="360" t="str">
        <f t="shared" si="19"/>
        <v/>
      </c>
      <c r="AJ82" s="361" t="str">
        <f t="shared" si="20"/>
        <v/>
      </c>
    </row>
    <row r="83" spans="2:36" x14ac:dyDescent="0.2">
      <c r="B83" s="332"/>
      <c r="C83" s="316"/>
      <c r="D83" s="91" t="s">
        <v>32</v>
      </c>
      <c r="E83" s="16" t="s">
        <v>33</v>
      </c>
      <c r="F83" s="133" t="s">
        <v>842</v>
      </c>
      <c r="G83" s="134" t="s">
        <v>691</v>
      </c>
      <c r="H83" s="65" t="s">
        <v>347</v>
      </c>
      <c r="I83" s="17" t="s">
        <v>13</v>
      </c>
      <c r="J83" s="43" t="s">
        <v>12</v>
      </c>
      <c r="K83" s="42" t="s">
        <v>14</v>
      </c>
      <c r="L83" s="17"/>
      <c r="M83" s="17"/>
      <c r="N83" s="17"/>
      <c r="O83" s="17"/>
      <c r="P83" s="16"/>
      <c r="Q83" s="135" t="s">
        <v>657</v>
      </c>
      <c r="R83" s="134">
        <v>68</v>
      </c>
      <c r="S83" s="88" t="s">
        <v>592</v>
      </c>
      <c r="T83" s="110"/>
      <c r="U83" s="7"/>
      <c r="V83" s="61"/>
      <c r="Y83" s="359" t="str">
        <f t="shared" si="21"/>
        <v>cabin_height</v>
      </c>
      <c r="Z83" s="360" t="str">
        <f t="shared" si="22"/>
        <v>double</v>
      </c>
      <c r="AA83" s="360" t="str">
        <f t="shared" si="23"/>
        <v>scalaire</v>
      </c>
      <c r="AB83" s="360" t="str">
        <f t="shared" si="24"/>
        <v>Hauteur de la cabine</v>
      </c>
      <c r="AC83" s="360" t="str">
        <f t="shared" si="25"/>
        <v>m</v>
      </c>
      <c r="AD83" s="361" t="str">
        <f t="shared" si="26"/>
        <v>variable: cabin_height double input description= "Hauteur de la cabine" units= "m"</v>
      </c>
      <c r="AE83" s="359" t="str">
        <f t="shared" si="15"/>
        <v>Y03.geometry.cabin</v>
      </c>
      <c r="AF83" s="360" t="str">
        <f t="shared" si="16"/>
        <v/>
      </c>
      <c r="AG83" s="360" t="str">
        <f t="shared" si="17"/>
        <v/>
      </c>
      <c r="AH83" s="360" t="str">
        <f t="shared" si="18"/>
        <v/>
      </c>
      <c r="AI83" s="360" t="str">
        <f t="shared" si="19"/>
        <v/>
      </c>
      <c r="AJ83" s="361" t="str">
        <f t="shared" si="20"/>
        <v/>
      </c>
    </row>
    <row r="84" spans="2:36" x14ac:dyDescent="0.2">
      <c r="B84" s="332"/>
      <c r="C84" s="316"/>
      <c r="D84" s="91" t="s">
        <v>40</v>
      </c>
      <c r="E84" s="16" t="s">
        <v>41</v>
      </c>
      <c r="F84" s="133" t="s">
        <v>842</v>
      </c>
      <c r="G84" s="134" t="s">
        <v>691</v>
      </c>
      <c r="H84" s="65" t="s">
        <v>347</v>
      </c>
      <c r="I84" s="17" t="s">
        <v>13</v>
      </c>
      <c r="J84" s="43" t="s">
        <v>12</v>
      </c>
      <c r="K84" s="42" t="s">
        <v>14</v>
      </c>
      <c r="L84" s="17"/>
      <c r="M84" s="17"/>
      <c r="N84" s="17"/>
      <c r="O84" s="17"/>
      <c r="P84" s="16"/>
      <c r="Q84" s="135" t="s">
        <v>658</v>
      </c>
      <c r="R84" s="134">
        <v>69</v>
      </c>
      <c r="S84" s="88" t="s">
        <v>592</v>
      </c>
      <c r="T84" s="110"/>
      <c r="U84" s="7"/>
      <c r="V84" s="61"/>
      <c r="Y84" s="359" t="str">
        <f t="shared" si="21"/>
        <v>cabin_floor_thickness</v>
      </c>
      <c r="Z84" s="360" t="str">
        <f t="shared" si="22"/>
        <v>double</v>
      </c>
      <c r="AA84" s="360" t="str">
        <f t="shared" si="23"/>
        <v>scalaire</v>
      </c>
      <c r="AB84" s="360" t="str">
        <f t="shared" si="24"/>
        <v>Epaisseur du plancher cabine</v>
      </c>
      <c r="AC84" s="360" t="str">
        <f t="shared" si="25"/>
        <v>m</v>
      </c>
      <c r="AD84" s="361" t="str">
        <f t="shared" si="26"/>
        <v>variable: cabin_floor_thickness double input description= "Epaisseur du plancher cabine" units= "m"</v>
      </c>
      <c r="AE84" s="359" t="str">
        <f t="shared" si="15"/>
        <v>Y03.geometry.cabin</v>
      </c>
      <c r="AF84" s="360" t="str">
        <f t="shared" si="16"/>
        <v/>
      </c>
      <c r="AG84" s="360" t="str">
        <f t="shared" si="17"/>
        <v/>
      </c>
      <c r="AH84" s="360" t="str">
        <f t="shared" si="18"/>
        <v/>
      </c>
      <c r="AI84" s="360" t="str">
        <f t="shared" si="19"/>
        <v/>
      </c>
      <c r="AJ84" s="361" t="str">
        <f t="shared" si="20"/>
        <v/>
      </c>
    </row>
    <row r="85" spans="2:36" x14ac:dyDescent="0.2">
      <c r="B85" s="332"/>
      <c r="C85" s="316"/>
      <c r="D85" s="91" t="s">
        <v>85</v>
      </c>
      <c r="E85" s="16" t="s">
        <v>86</v>
      </c>
      <c r="F85" s="133" t="s">
        <v>842</v>
      </c>
      <c r="G85" s="134" t="s">
        <v>691</v>
      </c>
      <c r="H85" s="65" t="s">
        <v>347</v>
      </c>
      <c r="I85" s="17" t="s">
        <v>13</v>
      </c>
      <c r="J85" s="43" t="s">
        <v>12</v>
      </c>
      <c r="K85" s="42" t="s">
        <v>83</v>
      </c>
      <c r="L85" s="17"/>
      <c r="M85" s="17"/>
      <c r="N85" s="17"/>
      <c r="O85" s="17"/>
      <c r="P85" s="16"/>
      <c r="Q85" s="135" t="s">
        <v>733</v>
      </c>
      <c r="R85" s="134">
        <v>70</v>
      </c>
      <c r="S85" s="88" t="s">
        <v>592</v>
      </c>
      <c r="T85" s="110"/>
      <c r="U85" s="7"/>
      <c r="V85" s="61"/>
      <c r="Y85" s="359" t="str">
        <f t="shared" si="21"/>
        <v>z_cabin_floor</v>
      </c>
      <c r="Z85" s="360" t="str">
        <f t="shared" si="22"/>
        <v>double</v>
      </c>
      <c r="AA85" s="360" t="str">
        <f t="shared" si="23"/>
        <v>scalaire</v>
      </c>
      <c r="AB85" s="360" t="str">
        <f t="shared" si="24"/>
        <v>Position verticale du plancher cabine</v>
      </c>
      <c r="AC85" s="360" t="str">
        <f t="shared" si="25"/>
        <v>m</v>
      </c>
      <c r="AD85" s="361" t="str">
        <f t="shared" si="26"/>
        <v>variable: z_cabin_floor double input description= "Position verticale du plancher cabine" units= "m"</v>
      </c>
      <c r="AE85" s="359" t="str">
        <f t="shared" si="15"/>
        <v>Y30.geometry.cabin</v>
      </c>
      <c r="AF85" s="360" t="str">
        <f t="shared" si="16"/>
        <v/>
      </c>
      <c r="AG85" s="360" t="str">
        <f t="shared" si="17"/>
        <v/>
      </c>
      <c r="AH85" s="360" t="str">
        <f t="shared" si="18"/>
        <v/>
      </c>
      <c r="AI85" s="360" t="str">
        <f t="shared" si="19"/>
        <v/>
      </c>
      <c r="AJ85" s="361" t="str">
        <f t="shared" si="20"/>
        <v/>
      </c>
    </row>
    <row r="86" spans="2:36" x14ac:dyDescent="0.2">
      <c r="B86" s="332"/>
      <c r="C86" s="317"/>
      <c r="D86" s="91" t="s">
        <v>174</v>
      </c>
      <c r="E86" s="16" t="s">
        <v>87</v>
      </c>
      <c r="F86" s="133" t="s">
        <v>842</v>
      </c>
      <c r="G86" s="134" t="s">
        <v>691</v>
      </c>
      <c r="H86" s="65" t="s">
        <v>347</v>
      </c>
      <c r="I86" s="17" t="s">
        <v>13</v>
      </c>
      <c r="J86" s="43" t="s">
        <v>42</v>
      </c>
      <c r="K86" s="42" t="s">
        <v>83</v>
      </c>
      <c r="L86" s="17"/>
      <c r="M86" s="17"/>
      <c r="N86" s="17"/>
      <c r="O86" s="17"/>
      <c r="P86" s="16"/>
      <c r="Q86" s="135" t="s">
        <v>659</v>
      </c>
      <c r="R86" s="134">
        <v>71</v>
      </c>
      <c r="S86" s="88" t="s">
        <v>592</v>
      </c>
      <c r="T86" s="110"/>
      <c r="U86" s="7"/>
      <c r="V86" s="61"/>
      <c r="Y86" s="359" t="str">
        <f t="shared" si="21"/>
        <v>cabin_angle</v>
      </c>
      <c r="Z86" s="360" t="str">
        <f t="shared" si="22"/>
        <v>double</v>
      </c>
      <c r="AA86" s="360" t="str">
        <f t="shared" si="23"/>
        <v>scalaire</v>
      </c>
      <c r="AB86" s="360" t="str">
        <f t="shared" si="24"/>
        <v>Angle de la cabine par rapport à l'axe longitudinal</v>
      </c>
      <c r="AC86" s="360" t="str">
        <f t="shared" si="25"/>
        <v>degré</v>
      </c>
      <c r="AD86" s="361" t="str">
        <f t="shared" si="26"/>
        <v>variable: cabin_angle double input description= "Angle de la cabine par rapport à l'axe longitudinal" units= "degré"</v>
      </c>
      <c r="AE86" s="359" t="str">
        <f t="shared" si="15"/>
        <v>Y30.geometry.cabin</v>
      </c>
      <c r="AF86" s="360" t="str">
        <f t="shared" si="16"/>
        <v/>
      </c>
      <c r="AG86" s="360" t="str">
        <f t="shared" si="17"/>
        <v/>
      </c>
      <c r="AH86" s="360" t="str">
        <f t="shared" si="18"/>
        <v/>
      </c>
      <c r="AI86" s="360" t="str">
        <f t="shared" si="19"/>
        <v/>
      </c>
      <c r="AJ86" s="361" t="str">
        <f t="shared" si="20"/>
        <v/>
      </c>
    </row>
    <row r="87" spans="2:36" x14ac:dyDescent="0.2">
      <c r="B87" s="332"/>
      <c r="C87" s="315" t="s">
        <v>34</v>
      </c>
      <c r="D87" s="91" t="s">
        <v>35</v>
      </c>
      <c r="E87" s="16" t="s">
        <v>36</v>
      </c>
      <c r="F87" s="133" t="s">
        <v>842</v>
      </c>
      <c r="G87" s="134" t="s">
        <v>690</v>
      </c>
      <c r="H87" s="65" t="s">
        <v>347</v>
      </c>
      <c r="I87" s="17" t="s">
        <v>13</v>
      </c>
      <c r="J87" s="43" t="s">
        <v>12</v>
      </c>
      <c r="K87" s="42" t="s">
        <v>14</v>
      </c>
      <c r="L87" s="17"/>
      <c r="M87" s="17"/>
      <c r="N87" s="17"/>
      <c r="O87" s="17"/>
      <c r="P87" s="16"/>
      <c r="Q87" s="135" t="s">
        <v>660</v>
      </c>
      <c r="R87" s="134">
        <v>72</v>
      </c>
      <c r="S87" s="88" t="s">
        <v>592</v>
      </c>
      <c r="T87" s="110"/>
      <c r="U87" s="7"/>
      <c r="V87" s="61"/>
      <c r="Y87" s="359" t="str">
        <f t="shared" si="21"/>
        <v>hold_length</v>
      </c>
      <c r="Z87" s="360" t="str">
        <f t="shared" si="22"/>
        <v>double</v>
      </c>
      <c r="AA87" s="360" t="str">
        <f t="shared" si="23"/>
        <v>scalaire</v>
      </c>
      <c r="AB87" s="360" t="str">
        <f t="shared" si="24"/>
        <v>Longueur de la soute</v>
      </c>
      <c r="AC87" s="360" t="str">
        <f t="shared" si="25"/>
        <v>m</v>
      </c>
      <c r="AD87" s="361" t="str">
        <f t="shared" si="26"/>
        <v>variable: hold_length double input description= "Longueur de la soute" units= "m"</v>
      </c>
      <c r="AE87" s="359" t="str">
        <f t="shared" si="15"/>
        <v>Y03.geometry.cargo_hold</v>
      </c>
      <c r="AF87" s="360" t="str">
        <f t="shared" si="16"/>
        <v/>
      </c>
      <c r="AG87" s="360" t="str">
        <f t="shared" si="17"/>
        <v/>
      </c>
      <c r="AH87" s="360" t="str">
        <f t="shared" si="18"/>
        <v/>
      </c>
      <c r="AI87" s="360" t="str">
        <f t="shared" si="19"/>
        <v/>
      </c>
      <c r="AJ87" s="361" t="str">
        <f t="shared" si="20"/>
        <v/>
      </c>
    </row>
    <row r="88" spans="2:36" x14ac:dyDescent="0.2">
      <c r="B88" s="332"/>
      <c r="C88" s="316"/>
      <c r="D88" s="91" t="s">
        <v>488</v>
      </c>
      <c r="E88" s="16" t="s">
        <v>525</v>
      </c>
      <c r="F88" s="133" t="s">
        <v>842</v>
      </c>
      <c r="G88" s="134" t="s">
        <v>690</v>
      </c>
      <c r="H88" s="65" t="s">
        <v>347</v>
      </c>
      <c r="I88" s="17" t="s">
        <v>13</v>
      </c>
      <c r="J88" s="43" t="s">
        <v>12</v>
      </c>
      <c r="K88" s="42" t="s">
        <v>14</v>
      </c>
      <c r="L88" s="17"/>
      <c r="M88" s="17"/>
      <c r="N88" s="17"/>
      <c r="O88" s="17"/>
      <c r="P88" s="16"/>
      <c r="Q88" s="135" t="s">
        <v>661</v>
      </c>
      <c r="R88" s="134">
        <v>73</v>
      </c>
      <c r="S88" s="88" t="s">
        <v>592</v>
      </c>
      <c r="T88" s="110"/>
      <c r="U88" s="7"/>
      <c r="V88" s="61"/>
      <c r="Y88" s="359" t="str">
        <f t="shared" si="21"/>
        <v>hold_width</v>
      </c>
      <c r="Z88" s="360" t="str">
        <f t="shared" si="22"/>
        <v>double</v>
      </c>
      <c r="AA88" s="360" t="str">
        <f t="shared" si="23"/>
        <v>scalaire</v>
      </c>
      <c r="AB88" s="360" t="str">
        <f t="shared" si="24"/>
        <v>Largeur de la soute ( = ycloison)</v>
      </c>
      <c r="AC88" s="360" t="str">
        <f t="shared" si="25"/>
        <v>m</v>
      </c>
      <c r="AD88" s="361" t="str">
        <f t="shared" si="26"/>
        <v>variable: hold_width double input description= "Largeur de la soute ( = ycloison)" units= "m"</v>
      </c>
      <c r="AE88" s="359" t="str">
        <f t="shared" si="15"/>
        <v>Y03.geometry.cargo_hold</v>
      </c>
      <c r="AF88" s="360" t="str">
        <f t="shared" si="16"/>
        <v/>
      </c>
      <c r="AG88" s="360" t="str">
        <f t="shared" si="17"/>
        <v/>
      </c>
      <c r="AH88" s="360" t="str">
        <f t="shared" si="18"/>
        <v/>
      </c>
      <c r="AI88" s="360" t="str">
        <f t="shared" si="19"/>
        <v/>
      </c>
      <c r="AJ88" s="361" t="str">
        <f t="shared" si="20"/>
        <v/>
      </c>
    </row>
    <row r="89" spans="2:36" x14ac:dyDescent="0.2">
      <c r="B89" s="332"/>
      <c r="C89" s="317"/>
      <c r="D89" s="91" t="s">
        <v>37</v>
      </c>
      <c r="E89" s="16" t="s">
        <v>38</v>
      </c>
      <c r="F89" s="133" t="s">
        <v>842</v>
      </c>
      <c r="G89" s="134" t="s">
        <v>690</v>
      </c>
      <c r="H89" s="65" t="s">
        <v>347</v>
      </c>
      <c r="I89" s="17" t="s">
        <v>13</v>
      </c>
      <c r="J89" s="43" t="s">
        <v>12</v>
      </c>
      <c r="K89" s="42" t="s">
        <v>14</v>
      </c>
      <c r="L89" s="17"/>
      <c r="M89" s="17"/>
      <c r="N89" s="17"/>
      <c r="O89" s="17"/>
      <c r="P89" s="16"/>
      <c r="Q89" s="135" t="s">
        <v>662</v>
      </c>
      <c r="R89" s="134">
        <v>74</v>
      </c>
      <c r="S89" s="88" t="s">
        <v>592</v>
      </c>
      <c r="T89" s="110"/>
      <c r="U89" s="7"/>
      <c r="V89" s="61"/>
      <c r="Y89" s="359" t="str">
        <f t="shared" si="21"/>
        <v>hold_height</v>
      </c>
      <c r="Z89" s="360" t="str">
        <f t="shared" si="22"/>
        <v>double</v>
      </c>
      <c r="AA89" s="360" t="str">
        <f t="shared" si="23"/>
        <v>scalaire</v>
      </c>
      <c r="AB89" s="360" t="str">
        <f t="shared" si="24"/>
        <v>Hauteur de la soute</v>
      </c>
      <c r="AC89" s="360" t="str">
        <f t="shared" si="25"/>
        <v>m</v>
      </c>
      <c r="AD89" s="361" t="str">
        <f t="shared" si="26"/>
        <v>variable: hold_height double input description= "Hauteur de la soute" units= "m"</v>
      </c>
      <c r="AE89" s="359" t="str">
        <f t="shared" si="15"/>
        <v>Y03.geometry.cargo_hold</v>
      </c>
      <c r="AF89" s="360" t="str">
        <f t="shared" si="16"/>
        <v/>
      </c>
      <c r="AG89" s="360" t="str">
        <f t="shared" si="17"/>
        <v/>
      </c>
      <c r="AH89" s="360" t="str">
        <f t="shared" si="18"/>
        <v/>
      </c>
      <c r="AI89" s="360" t="str">
        <f t="shared" si="19"/>
        <v/>
      </c>
      <c r="AJ89" s="361" t="str">
        <f t="shared" si="20"/>
        <v/>
      </c>
    </row>
    <row r="90" spans="2:36" x14ac:dyDescent="0.2">
      <c r="B90" s="332"/>
      <c r="C90" s="315" t="s">
        <v>206</v>
      </c>
      <c r="D90" s="91" t="s">
        <v>208</v>
      </c>
      <c r="E90" s="16" t="s">
        <v>207</v>
      </c>
      <c r="F90" s="133" t="s">
        <v>842</v>
      </c>
      <c r="G90" s="134" t="s">
        <v>848</v>
      </c>
      <c r="H90" s="65" t="s">
        <v>347</v>
      </c>
      <c r="I90" s="17" t="s">
        <v>13</v>
      </c>
      <c r="J90" s="43" t="s">
        <v>462</v>
      </c>
      <c r="K90" s="42" t="s">
        <v>130</v>
      </c>
      <c r="L90" s="17"/>
      <c r="M90" s="17"/>
      <c r="N90" s="17"/>
      <c r="O90" s="17"/>
      <c r="P90" s="16"/>
      <c r="Q90" s="135" t="s">
        <v>734</v>
      </c>
      <c r="R90" s="134">
        <v>75</v>
      </c>
      <c r="S90" s="88" t="s">
        <v>592</v>
      </c>
      <c r="T90" s="110"/>
      <c r="U90" s="7"/>
      <c r="V90" s="61"/>
      <c r="Y90" s="359" t="str">
        <f t="shared" si="21"/>
        <v>vertical_surface_reference_surface</v>
      </c>
      <c r="Z90" s="360" t="str">
        <f t="shared" si="22"/>
        <v>double</v>
      </c>
      <c r="AA90" s="360" t="str">
        <f t="shared" si="23"/>
        <v>scalaire</v>
      </c>
      <c r="AB90" s="360" t="str">
        <f t="shared" si="24"/>
        <v>Surface de référence de la surface verticale</v>
      </c>
      <c r="AC90" s="360" t="str">
        <f t="shared" si="25"/>
        <v>m2</v>
      </c>
      <c r="AD90" s="361" t="str">
        <f t="shared" si="26"/>
        <v>variable: vertical_surface_reference_surface double input description= "Surface de référence de la surface verticale" units= "m2"</v>
      </c>
      <c r="AE90" s="359" t="str">
        <f t="shared" si="15"/>
        <v>X0.geometry.vertical_surfaces</v>
      </c>
      <c r="AF90" s="360" t="str">
        <f t="shared" si="16"/>
        <v/>
      </c>
      <c r="AG90" s="360" t="str">
        <f t="shared" si="17"/>
        <v/>
      </c>
      <c r="AH90" s="360" t="str">
        <f t="shared" si="18"/>
        <v/>
      </c>
      <c r="AI90" s="360" t="str">
        <f t="shared" si="19"/>
        <v/>
      </c>
      <c r="AJ90" s="361" t="str">
        <f t="shared" si="20"/>
        <v/>
      </c>
    </row>
    <row r="91" spans="2:36" x14ac:dyDescent="0.2">
      <c r="B91" s="332"/>
      <c r="C91" s="316"/>
      <c r="D91" s="91" t="s">
        <v>209</v>
      </c>
      <c r="E91" s="16" t="s">
        <v>213</v>
      </c>
      <c r="F91" s="133" t="s">
        <v>842</v>
      </c>
      <c r="G91" s="134" t="s">
        <v>848</v>
      </c>
      <c r="H91" s="65" t="s">
        <v>347</v>
      </c>
      <c r="I91" s="17" t="s">
        <v>13</v>
      </c>
      <c r="J91" s="43" t="s">
        <v>51</v>
      </c>
      <c r="K91" s="42" t="s">
        <v>130</v>
      </c>
      <c r="L91" s="17"/>
      <c r="M91" s="17"/>
      <c r="N91" s="17"/>
      <c r="O91" s="17"/>
      <c r="P91" s="16"/>
      <c r="Q91" s="135" t="s">
        <v>735</v>
      </c>
      <c r="R91" s="134">
        <v>76</v>
      </c>
      <c r="S91" s="88" t="s">
        <v>592</v>
      </c>
      <c r="T91" s="110"/>
      <c r="U91" s="7"/>
      <c r="V91" s="61"/>
      <c r="Y91" s="359" t="str">
        <f t="shared" si="21"/>
        <v>vertical_surface_aspect_ratio</v>
      </c>
      <c r="Z91" s="360" t="str">
        <f t="shared" si="22"/>
        <v>double</v>
      </c>
      <c r="AA91" s="360" t="str">
        <f t="shared" si="23"/>
        <v>scalaire</v>
      </c>
      <c r="AB91" s="360" t="str">
        <f t="shared" si="24"/>
        <v>Allongement de la surface verticale</v>
      </c>
      <c r="AC91" s="360" t="str">
        <f t="shared" si="25"/>
        <v>(-)</v>
      </c>
      <c r="AD91" s="361" t="str">
        <f t="shared" si="26"/>
        <v>variable: vertical_surface_aspect_ratio double input description= "Allongement de la surface verticale" units= "(-)"</v>
      </c>
      <c r="AE91" s="359" t="str">
        <f t="shared" si="15"/>
        <v>X0.geometry.vertical_surfaces</v>
      </c>
      <c r="AF91" s="360" t="str">
        <f t="shared" si="16"/>
        <v/>
      </c>
      <c r="AG91" s="360" t="str">
        <f t="shared" si="17"/>
        <v/>
      </c>
      <c r="AH91" s="360" t="str">
        <f t="shared" si="18"/>
        <v/>
      </c>
      <c r="AI91" s="360" t="str">
        <f t="shared" si="19"/>
        <v/>
      </c>
      <c r="AJ91" s="361" t="str">
        <f t="shared" si="20"/>
        <v/>
      </c>
    </row>
    <row r="92" spans="2:36" x14ac:dyDescent="0.2">
      <c r="B92" s="332"/>
      <c r="C92" s="316"/>
      <c r="D92" s="91" t="s">
        <v>383</v>
      </c>
      <c r="E92" s="16" t="s">
        <v>210</v>
      </c>
      <c r="F92" s="133" t="s">
        <v>842</v>
      </c>
      <c r="G92" s="134" t="s">
        <v>848</v>
      </c>
      <c r="H92" s="65" t="s">
        <v>347</v>
      </c>
      <c r="I92" s="17" t="s">
        <v>13</v>
      </c>
      <c r="J92" s="43" t="s">
        <v>51</v>
      </c>
      <c r="K92" s="42" t="s">
        <v>130</v>
      </c>
      <c r="L92" s="17" t="s">
        <v>419</v>
      </c>
      <c r="M92" s="17"/>
      <c r="N92" s="17"/>
      <c r="O92" s="17"/>
      <c r="P92" s="16"/>
      <c r="Q92" s="135" t="s">
        <v>736</v>
      </c>
      <c r="R92" s="134">
        <v>77</v>
      </c>
      <c r="S92" s="88" t="s">
        <v>592</v>
      </c>
      <c r="T92" s="110"/>
      <c r="U92" s="7"/>
      <c r="V92" s="61"/>
      <c r="Y92" s="359" t="str">
        <f t="shared" si="21"/>
        <v>vertical_surface_taper_ratio</v>
      </c>
      <c r="Z92" s="360" t="str">
        <f t="shared" si="22"/>
        <v>double</v>
      </c>
      <c r="AA92" s="360" t="str">
        <f t="shared" si="23"/>
        <v>scalaire</v>
      </c>
      <c r="AB92" s="360" t="str">
        <f t="shared" si="24"/>
        <v>Effilement de la surface verticale</v>
      </c>
      <c r="AC92" s="360" t="str">
        <f t="shared" si="25"/>
        <v>(-)</v>
      </c>
      <c r="AD92" s="361" t="str">
        <f t="shared" si="26"/>
        <v>variable: vertical_surface_taper_ratio double input description= "Effilement de la surface verticale" units= "(-)"</v>
      </c>
      <c r="AE92" s="359" t="str">
        <f t="shared" si="15"/>
        <v>X0.geometry.vertical_surfaces</v>
      </c>
      <c r="AF92" s="360" t="str">
        <f t="shared" si="16"/>
        <v>Y02.geometry.vertical_surfaces</v>
      </c>
      <c r="AG92" s="360" t="str">
        <f t="shared" si="17"/>
        <v/>
      </c>
      <c r="AH92" s="360" t="str">
        <f t="shared" si="18"/>
        <v/>
      </c>
      <c r="AI92" s="360" t="str">
        <f t="shared" si="19"/>
        <v/>
      </c>
      <c r="AJ92" s="361" t="str">
        <f t="shared" si="20"/>
        <v/>
      </c>
    </row>
    <row r="93" spans="2:36" x14ac:dyDescent="0.2">
      <c r="B93" s="332"/>
      <c r="C93" s="316"/>
      <c r="D93" s="91" t="s">
        <v>211</v>
      </c>
      <c r="E93" s="16" t="s">
        <v>214</v>
      </c>
      <c r="F93" s="133" t="s">
        <v>842</v>
      </c>
      <c r="G93" s="134" t="s">
        <v>848</v>
      </c>
      <c r="H93" s="65" t="s">
        <v>347</v>
      </c>
      <c r="I93" s="17" t="s">
        <v>13</v>
      </c>
      <c r="J93" s="43" t="s">
        <v>42</v>
      </c>
      <c r="K93" s="42" t="s">
        <v>130</v>
      </c>
      <c r="L93" s="17" t="s">
        <v>419</v>
      </c>
      <c r="M93" s="17"/>
      <c r="N93" s="17"/>
      <c r="O93" s="17"/>
      <c r="P93" s="16"/>
      <c r="Q93" s="135" t="s">
        <v>737</v>
      </c>
      <c r="R93" s="134">
        <v>78</v>
      </c>
      <c r="S93" s="88" t="s">
        <v>592</v>
      </c>
      <c r="T93" s="110"/>
      <c r="U93" s="7"/>
      <c r="V93" s="61"/>
      <c r="Y93" s="359" t="str">
        <f t="shared" si="21"/>
        <v>vertical_surface_sweep_leading_edge</v>
      </c>
      <c r="Z93" s="360" t="str">
        <f t="shared" si="22"/>
        <v>double</v>
      </c>
      <c r="AA93" s="360" t="str">
        <f t="shared" si="23"/>
        <v>scalaire</v>
      </c>
      <c r="AB93" s="360" t="str">
        <f t="shared" si="24"/>
        <v>Flèche au bord d'attaque à l'emplanture de la surface verticale</v>
      </c>
      <c r="AC93" s="360" t="str">
        <f t="shared" si="25"/>
        <v>degré</v>
      </c>
      <c r="AD93" s="361" t="str">
        <f t="shared" si="26"/>
        <v>variable: vertical_surface_sweep_leading_edge double input description= "Flèche au bord d'attaque à l'emplanture de la surface verticale" units= "degré"</v>
      </c>
      <c r="AE93" s="359" t="str">
        <f t="shared" si="15"/>
        <v>X0.geometry.vertical_surfaces</v>
      </c>
      <c r="AF93" s="360" t="str">
        <f t="shared" si="16"/>
        <v>Y02.geometry.vertical_surfaces</v>
      </c>
      <c r="AG93" s="360" t="str">
        <f t="shared" si="17"/>
        <v/>
      </c>
      <c r="AH93" s="360" t="str">
        <f t="shared" si="18"/>
        <v/>
      </c>
      <c r="AI93" s="360" t="str">
        <f t="shared" si="19"/>
        <v/>
      </c>
      <c r="AJ93" s="361" t="str">
        <f t="shared" si="20"/>
        <v/>
      </c>
    </row>
    <row r="94" spans="2:36" x14ac:dyDescent="0.2">
      <c r="B94" s="332"/>
      <c r="C94" s="316"/>
      <c r="D94" s="91" t="s">
        <v>212</v>
      </c>
      <c r="E94" s="16" t="s">
        <v>215</v>
      </c>
      <c r="F94" s="133" t="s">
        <v>842</v>
      </c>
      <c r="G94" s="134" t="s">
        <v>848</v>
      </c>
      <c r="H94" s="65" t="s">
        <v>347</v>
      </c>
      <c r="I94" s="17" t="s">
        <v>13</v>
      </c>
      <c r="J94" s="43" t="s">
        <v>51</v>
      </c>
      <c r="K94" s="42" t="s">
        <v>130</v>
      </c>
      <c r="L94" s="17" t="s">
        <v>419</v>
      </c>
      <c r="M94" s="17"/>
      <c r="N94" s="17"/>
      <c r="O94" s="17"/>
      <c r="P94" s="16"/>
      <c r="Q94" s="135" t="s">
        <v>738</v>
      </c>
      <c r="R94" s="134">
        <v>79</v>
      </c>
      <c r="S94" s="88" t="s">
        <v>592</v>
      </c>
      <c r="T94" s="110"/>
      <c r="U94" s="7"/>
      <c r="V94" s="61"/>
      <c r="Y94" s="359" t="str">
        <f t="shared" si="21"/>
        <v>vertical_surface_thickness_ratio</v>
      </c>
      <c r="Z94" s="360" t="str">
        <f t="shared" si="22"/>
        <v>double</v>
      </c>
      <c r="AA94" s="360" t="str">
        <f t="shared" si="23"/>
        <v>scalaire</v>
      </c>
      <c r="AB94" s="360" t="str">
        <f t="shared" si="24"/>
        <v>Epaisseur relative de la surface verticale</v>
      </c>
      <c r="AC94" s="360" t="str">
        <f t="shared" si="25"/>
        <v>(-)</v>
      </c>
      <c r="AD94" s="361" t="str">
        <f t="shared" si="26"/>
        <v>variable: vertical_surface_thickness_ratio double input description= "Epaisseur relative de la surface verticale" units= "(-)"</v>
      </c>
      <c r="AE94" s="359" t="str">
        <f t="shared" si="15"/>
        <v>X0.geometry.vertical_surfaces</v>
      </c>
      <c r="AF94" s="360" t="str">
        <f t="shared" si="16"/>
        <v>Y02.geometry.vertical_surfaces</v>
      </c>
      <c r="AG94" s="360" t="str">
        <f t="shared" si="17"/>
        <v/>
      </c>
      <c r="AH94" s="360" t="str">
        <f t="shared" si="18"/>
        <v/>
      </c>
      <c r="AI94" s="360" t="str">
        <f t="shared" si="19"/>
        <v/>
      </c>
      <c r="AJ94" s="361" t="str">
        <f t="shared" si="20"/>
        <v/>
      </c>
    </row>
    <row r="95" spans="2:36" x14ac:dyDescent="0.2">
      <c r="B95" s="332"/>
      <c r="C95" s="316"/>
      <c r="D95" s="91" t="s">
        <v>417</v>
      </c>
      <c r="E95" s="16" t="s">
        <v>418</v>
      </c>
      <c r="F95" s="133" t="s">
        <v>842</v>
      </c>
      <c r="G95" s="134" t="s">
        <v>848</v>
      </c>
      <c r="H95" s="65" t="s">
        <v>347</v>
      </c>
      <c r="I95" s="17" t="s">
        <v>13</v>
      </c>
      <c r="J95" s="43" t="s">
        <v>12</v>
      </c>
      <c r="K95" s="42" t="s">
        <v>419</v>
      </c>
      <c r="L95" s="17"/>
      <c r="M95" s="17"/>
      <c r="N95" s="17"/>
      <c r="O95" s="17"/>
      <c r="P95" s="16"/>
      <c r="Q95" s="135" t="s">
        <v>739</v>
      </c>
      <c r="R95" s="134">
        <v>80</v>
      </c>
      <c r="S95" s="88" t="s">
        <v>592</v>
      </c>
      <c r="T95" s="110"/>
      <c r="U95" s="7"/>
      <c r="V95" s="61"/>
      <c r="Y95" s="359" t="str">
        <f t="shared" si="21"/>
        <v>vertical_surface_height</v>
      </c>
      <c r="Z95" s="360" t="str">
        <f t="shared" si="22"/>
        <v>double</v>
      </c>
      <c r="AA95" s="360" t="str">
        <f t="shared" si="23"/>
        <v>scalaire</v>
      </c>
      <c r="AB95" s="360" t="str">
        <f t="shared" si="24"/>
        <v>Hauteur de la surface verticale</v>
      </c>
      <c r="AC95" s="360" t="str">
        <f t="shared" si="25"/>
        <v>m</v>
      </c>
      <c r="AD95" s="361" t="str">
        <f t="shared" si="26"/>
        <v>variable: vertical_surface_height double input description= "Hauteur de la surface verticale" units= "m"</v>
      </c>
      <c r="AE95" s="359" t="str">
        <f t="shared" si="15"/>
        <v>Y02.geometry.vertical_surfaces</v>
      </c>
      <c r="AF95" s="360" t="str">
        <f t="shared" si="16"/>
        <v/>
      </c>
      <c r="AG95" s="360" t="str">
        <f t="shared" si="17"/>
        <v/>
      </c>
      <c r="AH95" s="360" t="str">
        <f t="shared" si="18"/>
        <v/>
      </c>
      <c r="AI95" s="360" t="str">
        <f t="shared" si="19"/>
        <v/>
      </c>
      <c r="AJ95" s="361" t="str">
        <f t="shared" si="20"/>
        <v/>
      </c>
    </row>
    <row r="96" spans="2:36" x14ac:dyDescent="0.2">
      <c r="B96" s="332"/>
      <c r="C96" s="316"/>
      <c r="D96" s="91" t="s">
        <v>219</v>
      </c>
      <c r="E96" s="16" t="s">
        <v>216</v>
      </c>
      <c r="F96" s="133" t="s">
        <v>842</v>
      </c>
      <c r="G96" s="134" t="s">
        <v>848</v>
      </c>
      <c r="H96" s="65" t="s">
        <v>347</v>
      </c>
      <c r="I96" s="17" t="s">
        <v>13</v>
      </c>
      <c r="J96" s="43" t="s">
        <v>12</v>
      </c>
      <c r="K96" s="42" t="s">
        <v>130</v>
      </c>
      <c r="L96" s="17" t="s">
        <v>419</v>
      </c>
      <c r="M96" s="17" t="s">
        <v>14</v>
      </c>
      <c r="N96" s="17"/>
      <c r="O96" s="17"/>
      <c r="P96" s="16"/>
      <c r="Q96" s="135" t="s">
        <v>741</v>
      </c>
      <c r="R96" s="134">
        <v>81</v>
      </c>
      <c r="S96" s="88" t="s">
        <v>592</v>
      </c>
      <c r="T96" s="110"/>
      <c r="U96" s="7"/>
      <c r="V96" s="61"/>
      <c r="Y96" s="359" t="str">
        <f t="shared" si="21"/>
        <v>x_vertical_surface_root_leading_edge</v>
      </c>
      <c r="Z96" s="360" t="str">
        <f t="shared" si="22"/>
        <v>double</v>
      </c>
      <c r="AA96" s="360" t="str">
        <f t="shared" si="23"/>
        <v>scalaire</v>
      </c>
      <c r="AB96" s="360" t="str">
        <f t="shared" si="24"/>
        <v>Position longitudinale du bord d'attaque de l'emplanture de la surface verticale</v>
      </c>
      <c r="AC96" s="360" t="str">
        <f t="shared" si="25"/>
        <v>m</v>
      </c>
      <c r="AD96" s="361" t="str">
        <f t="shared" si="26"/>
        <v>variable: x_vertical_surface_root_leading_edge double input description= "Position longitudinale du bord d'attaque de l'emplanture de la surface verticale" units= "m"</v>
      </c>
      <c r="AE96" s="359" t="str">
        <f t="shared" si="15"/>
        <v>X0.geometry.vertical_surfaces</v>
      </c>
      <c r="AF96" s="360" t="str">
        <f t="shared" si="16"/>
        <v>Y02.geometry.vertical_surfaces</v>
      </c>
      <c r="AG96" s="360" t="str">
        <f t="shared" si="17"/>
        <v>Y03.geometry.vertical_surfaces</v>
      </c>
      <c r="AH96" s="360" t="str">
        <f t="shared" si="18"/>
        <v/>
      </c>
      <c r="AI96" s="360" t="str">
        <f t="shared" si="19"/>
        <v/>
      </c>
      <c r="AJ96" s="361" t="str">
        <f t="shared" si="20"/>
        <v/>
      </c>
    </row>
    <row r="97" spans="2:36" x14ac:dyDescent="0.2">
      <c r="B97" s="332"/>
      <c r="C97" s="316"/>
      <c r="D97" s="91" t="s">
        <v>220</v>
      </c>
      <c r="E97" s="16" t="s">
        <v>217</v>
      </c>
      <c r="F97" s="133" t="s">
        <v>842</v>
      </c>
      <c r="G97" s="134" t="s">
        <v>848</v>
      </c>
      <c r="H97" s="65" t="s">
        <v>347</v>
      </c>
      <c r="I97" s="17" t="s">
        <v>13</v>
      </c>
      <c r="J97" s="43" t="s">
        <v>12</v>
      </c>
      <c r="K97" s="42" t="s">
        <v>130</v>
      </c>
      <c r="L97" s="17" t="s">
        <v>419</v>
      </c>
      <c r="M97" s="17" t="s">
        <v>14</v>
      </c>
      <c r="N97" s="17"/>
      <c r="O97" s="17"/>
      <c r="P97" s="16"/>
      <c r="Q97" s="135" t="s">
        <v>740</v>
      </c>
      <c r="R97" s="134">
        <v>82</v>
      </c>
      <c r="S97" s="88" t="s">
        <v>592</v>
      </c>
      <c r="T97" s="110"/>
      <c r="U97" s="7"/>
      <c r="V97" s="61"/>
      <c r="Y97" s="359" t="str">
        <f t="shared" si="21"/>
        <v>y_vertical_surface_root_leading_edge</v>
      </c>
      <c r="Z97" s="360" t="str">
        <f t="shared" si="22"/>
        <v>double</v>
      </c>
      <c r="AA97" s="360" t="str">
        <f t="shared" si="23"/>
        <v>scalaire</v>
      </c>
      <c r="AB97" s="360" t="str">
        <f t="shared" si="24"/>
        <v>Position latérale du bord d'attaque de l'emplanture de la surface verticale</v>
      </c>
      <c r="AC97" s="360" t="str">
        <f t="shared" si="25"/>
        <v>m</v>
      </c>
      <c r="AD97" s="361" t="str">
        <f t="shared" si="26"/>
        <v>variable: y_vertical_surface_root_leading_edge double input description= "Position latérale du bord d'attaque de l'emplanture de la surface verticale" units= "m"</v>
      </c>
      <c r="AE97" s="359" t="str">
        <f t="shared" si="15"/>
        <v>X0.geometry.vertical_surfaces</v>
      </c>
      <c r="AF97" s="360" t="str">
        <f t="shared" si="16"/>
        <v>Y02.geometry.vertical_surfaces</v>
      </c>
      <c r="AG97" s="360" t="str">
        <f t="shared" si="17"/>
        <v>Y03.geometry.vertical_surfaces</v>
      </c>
      <c r="AH97" s="360" t="str">
        <f t="shared" si="18"/>
        <v/>
      </c>
      <c r="AI97" s="360" t="str">
        <f t="shared" si="19"/>
        <v/>
      </c>
      <c r="AJ97" s="361" t="str">
        <f t="shared" si="20"/>
        <v/>
      </c>
    </row>
    <row r="98" spans="2:36" x14ac:dyDescent="0.2">
      <c r="B98" s="332"/>
      <c r="C98" s="316"/>
      <c r="D98" s="91" t="s">
        <v>228</v>
      </c>
      <c r="E98" s="16" t="s">
        <v>229</v>
      </c>
      <c r="F98" s="133" t="s">
        <v>842</v>
      </c>
      <c r="G98" s="134" t="s">
        <v>848</v>
      </c>
      <c r="H98" s="65" t="s">
        <v>347</v>
      </c>
      <c r="I98" s="17" t="s">
        <v>13</v>
      </c>
      <c r="J98" s="43" t="s">
        <v>12</v>
      </c>
      <c r="K98" s="42" t="s">
        <v>419</v>
      </c>
      <c r="L98" s="17" t="s">
        <v>14</v>
      </c>
      <c r="M98" s="17"/>
      <c r="N98" s="17"/>
      <c r="O98" s="17"/>
      <c r="P98" s="16"/>
      <c r="Q98" s="135" t="s">
        <v>742</v>
      </c>
      <c r="R98" s="134">
        <v>83</v>
      </c>
      <c r="S98" s="88" t="s">
        <v>592</v>
      </c>
      <c r="T98" s="110"/>
      <c r="U98" s="7"/>
      <c r="V98" s="61"/>
      <c r="Y98" s="359" t="str">
        <f t="shared" si="21"/>
        <v>y_vertical_surface_tip_leading_edge</v>
      </c>
      <c r="Z98" s="360" t="str">
        <f t="shared" si="22"/>
        <v>double</v>
      </c>
      <c r="AA98" s="360" t="str">
        <f t="shared" si="23"/>
        <v>scalaire</v>
      </c>
      <c r="AB98" s="360" t="str">
        <f t="shared" si="24"/>
        <v>Position latérale du bord d'attaque du saumon de la surface verticale</v>
      </c>
      <c r="AC98" s="360" t="str">
        <f t="shared" si="25"/>
        <v>m</v>
      </c>
      <c r="AD98" s="361" t="str">
        <f t="shared" si="26"/>
        <v>variable: y_vertical_surface_tip_leading_edge double input description= "Position latérale du bord d'attaque du saumon de la surface verticale" units= "m"</v>
      </c>
      <c r="AE98" s="359" t="str">
        <f t="shared" si="15"/>
        <v>Y02.geometry.vertical_surfaces</v>
      </c>
      <c r="AF98" s="360" t="str">
        <f t="shared" si="16"/>
        <v>Y03.geometry.vertical_surfaces</v>
      </c>
      <c r="AG98" s="360" t="str">
        <f t="shared" si="17"/>
        <v/>
      </c>
      <c r="AH98" s="360" t="str">
        <f t="shared" si="18"/>
        <v/>
      </c>
      <c r="AI98" s="360" t="str">
        <f t="shared" si="19"/>
        <v/>
      </c>
      <c r="AJ98" s="361" t="str">
        <f t="shared" si="20"/>
        <v/>
      </c>
    </row>
    <row r="99" spans="2:36" x14ac:dyDescent="0.2">
      <c r="B99" s="332"/>
      <c r="C99" s="316"/>
      <c r="D99" s="91" t="s">
        <v>221</v>
      </c>
      <c r="E99" s="16" t="s">
        <v>218</v>
      </c>
      <c r="F99" s="133" t="s">
        <v>842</v>
      </c>
      <c r="G99" s="134" t="s">
        <v>848</v>
      </c>
      <c r="H99" s="65" t="s">
        <v>347</v>
      </c>
      <c r="I99" s="17" t="s">
        <v>13</v>
      </c>
      <c r="J99" s="43" t="s">
        <v>12</v>
      </c>
      <c r="K99" s="42" t="s">
        <v>130</v>
      </c>
      <c r="L99" s="17" t="s">
        <v>419</v>
      </c>
      <c r="M99" s="17" t="s">
        <v>14</v>
      </c>
      <c r="N99" s="17"/>
      <c r="O99" s="17"/>
      <c r="P99" s="16"/>
      <c r="Q99" s="135" t="s">
        <v>743</v>
      </c>
      <c r="R99" s="134">
        <v>84</v>
      </c>
      <c r="S99" s="88" t="s">
        <v>592</v>
      </c>
      <c r="T99" s="110"/>
      <c r="U99" s="7"/>
      <c r="V99" s="61"/>
      <c r="Y99" s="359" t="str">
        <f t="shared" si="21"/>
        <v>z_vertical_surface_root_leading_edge</v>
      </c>
      <c r="Z99" s="360" t="str">
        <f t="shared" si="22"/>
        <v>double</v>
      </c>
      <c r="AA99" s="360" t="str">
        <f t="shared" si="23"/>
        <v>scalaire</v>
      </c>
      <c r="AB99" s="360" t="str">
        <f t="shared" si="24"/>
        <v>Position verticale du bord d'attaque de l'emplanture de la surface verticale</v>
      </c>
      <c r="AC99" s="360" t="str">
        <f t="shared" si="25"/>
        <v>m</v>
      </c>
      <c r="AD99" s="361" t="str">
        <f t="shared" si="26"/>
        <v>variable: z_vertical_surface_root_leading_edge double input description= "Position verticale du bord d'attaque de l'emplanture de la surface verticale" units= "m"</v>
      </c>
      <c r="AE99" s="359" t="str">
        <f t="shared" si="15"/>
        <v>X0.geometry.vertical_surfaces</v>
      </c>
      <c r="AF99" s="360" t="str">
        <f t="shared" si="16"/>
        <v>Y02.geometry.vertical_surfaces</v>
      </c>
      <c r="AG99" s="360" t="str">
        <f t="shared" si="17"/>
        <v>Y03.geometry.vertical_surfaces</v>
      </c>
      <c r="AH99" s="360" t="str">
        <f t="shared" si="18"/>
        <v/>
      </c>
      <c r="AI99" s="360" t="str">
        <f t="shared" si="19"/>
        <v/>
      </c>
      <c r="AJ99" s="361" t="str">
        <f t="shared" si="20"/>
        <v/>
      </c>
    </row>
    <row r="100" spans="2:36" x14ac:dyDescent="0.2">
      <c r="B100" s="332"/>
      <c r="C100" s="316"/>
      <c r="D100" s="91" t="s">
        <v>225</v>
      </c>
      <c r="E100" s="16" t="s">
        <v>224</v>
      </c>
      <c r="F100" s="133" t="s">
        <v>842</v>
      </c>
      <c r="G100" s="134" t="s">
        <v>848</v>
      </c>
      <c r="H100" s="65" t="s">
        <v>347</v>
      </c>
      <c r="I100" s="17" t="s">
        <v>13</v>
      </c>
      <c r="J100" s="43" t="s">
        <v>12</v>
      </c>
      <c r="K100" s="42" t="s">
        <v>130</v>
      </c>
      <c r="L100" s="17" t="s">
        <v>419</v>
      </c>
      <c r="M100" s="17" t="s">
        <v>14</v>
      </c>
      <c r="N100" s="17"/>
      <c r="O100" s="17"/>
      <c r="P100" s="16"/>
      <c r="Q100" s="135" t="s">
        <v>744</v>
      </c>
      <c r="R100" s="134">
        <v>85</v>
      </c>
      <c r="S100" s="88" t="s">
        <v>592</v>
      </c>
      <c r="T100" s="110"/>
      <c r="U100" s="7"/>
      <c r="V100" s="61"/>
      <c r="Y100" s="359" t="str">
        <f t="shared" si="21"/>
        <v>vertical_surface_root_chord</v>
      </c>
      <c r="Z100" s="360" t="str">
        <f t="shared" si="22"/>
        <v>double</v>
      </c>
      <c r="AA100" s="360" t="str">
        <f t="shared" si="23"/>
        <v>scalaire</v>
      </c>
      <c r="AB100" s="360" t="str">
        <f t="shared" si="24"/>
        <v>Corde à l'emplanture de la surface verticale</v>
      </c>
      <c r="AC100" s="360" t="str">
        <f t="shared" si="25"/>
        <v>m</v>
      </c>
      <c r="AD100" s="361" t="str">
        <f t="shared" si="26"/>
        <v>variable: vertical_surface_root_chord double input description= "Corde à l'emplanture de la surface verticale" units= "m"</v>
      </c>
      <c r="AE100" s="359" t="str">
        <f t="shared" si="15"/>
        <v>X0.geometry.vertical_surfaces</v>
      </c>
      <c r="AF100" s="360" t="str">
        <f t="shared" si="16"/>
        <v>Y02.geometry.vertical_surfaces</v>
      </c>
      <c r="AG100" s="360" t="str">
        <f t="shared" si="17"/>
        <v>Y03.geometry.vertical_surfaces</v>
      </c>
      <c r="AH100" s="360" t="str">
        <f t="shared" si="18"/>
        <v/>
      </c>
      <c r="AI100" s="360" t="str">
        <f t="shared" si="19"/>
        <v/>
      </c>
      <c r="AJ100" s="361" t="str">
        <f t="shared" si="20"/>
        <v/>
      </c>
    </row>
    <row r="101" spans="2:36" x14ac:dyDescent="0.2">
      <c r="B101" s="332"/>
      <c r="C101" s="316"/>
      <c r="D101" s="91" t="s">
        <v>226</v>
      </c>
      <c r="E101" s="16" t="s">
        <v>227</v>
      </c>
      <c r="F101" s="133" t="s">
        <v>842</v>
      </c>
      <c r="G101" s="134" t="s">
        <v>848</v>
      </c>
      <c r="H101" s="65" t="s">
        <v>347</v>
      </c>
      <c r="I101" s="17" t="s">
        <v>13</v>
      </c>
      <c r="J101" s="43" t="s">
        <v>12</v>
      </c>
      <c r="K101" s="42" t="s">
        <v>419</v>
      </c>
      <c r="L101" s="17" t="s">
        <v>14</v>
      </c>
      <c r="M101" s="17"/>
      <c r="N101" s="17"/>
      <c r="O101" s="17"/>
      <c r="P101" s="16"/>
      <c r="Q101" s="135" t="s">
        <v>745</v>
      </c>
      <c r="R101" s="134">
        <v>86</v>
      </c>
      <c r="S101" s="88" t="s">
        <v>592</v>
      </c>
      <c r="T101" s="110"/>
      <c r="U101" s="7"/>
      <c r="V101" s="61"/>
      <c r="Y101" s="359" t="str">
        <f t="shared" si="21"/>
        <v>vertical_surface_tip_chord</v>
      </c>
      <c r="Z101" s="360" t="str">
        <f t="shared" si="22"/>
        <v>double</v>
      </c>
      <c r="AA101" s="360" t="str">
        <f t="shared" si="23"/>
        <v>scalaire</v>
      </c>
      <c r="AB101" s="360" t="str">
        <f t="shared" si="24"/>
        <v>Corde au saumon de la surface verticale</v>
      </c>
      <c r="AC101" s="360" t="str">
        <f t="shared" si="25"/>
        <v>m</v>
      </c>
      <c r="AD101" s="361" t="str">
        <f t="shared" si="26"/>
        <v>variable: vertical_surface_tip_chord double input description= "Corde au saumon de la surface verticale" units= "m"</v>
      </c>
      <c r="AE101" s="359" t="str">
        <f t="shared" si="15"/>
        <v>Y02.geometry.vertical_surfaces</v>
      </c>
      <c r="AF101" s="360" t="str">
        <f t="shared" si="16"/>
        <v>Y03.geometry.vertical_surfaces</v>
      </c>
      <c r="AG101" s="360" t="str">
        <f t="shared" si="17"/>
        <v/>
      </c>
      <c r="AH101" s="360" t="str">
        <f t="shared" si="18"/>
        <v/>
      </c>
      <c r="AI101" s="360" t="str">
        <f t="shared" si="19"/>
        <v/>
      </c>
      <c r="AJ101" s="361" t="str">
        <f t="shared" si="20"/>
        <v/>
      </c>
    </row>
    <row r="102" spans="2:36" x14ac:dyDescent="0.2">
      <c r="B102" s="332"/>
      <c r="C102" s="317"/>
      <c r="D102" s="91" t="s">
        <v>222</v>
      </c>
      <c r="E102" s="16" t="s">
        <v>223</v>
      </c>
      <c r="F102" s="133" t="s">
        <v>842</v>
      </c>
      <c r="G102" s="134" t="s">
        <v>848</v>
      </c>
      <c r="H102" s="65" t="s">
        <v>347</v>
      </c>
      <c r="I102" s="17" t="s">
        <v>13</v>
      </c>
      <c r="J102" s="43" t="s">
        <v>42</v>
      </c>
      <c r="K102" s="42" t="s">
        <v>130</v>
      </c>
      <c r="L102" s="17" t="s">
        <v>419</v>
      </c>
      <c r="M102" s="17" t="s">
        <v>14</v>
      </c>
      <c r="N102" s="17"/>
      <c r="O102" s="17"/>
      <c r="P102" s="16"/>
      <c r="Q102" s="135" t="s">
        <v>746</v>
      </c>
      <c r="R102" s="134">
        <v>87</v>
      </c>
      <c r="S102" s="88" t="s">
        <v>592</v>
      </c>
      <c r="T102" s="110"/>
      <c r="U102" s="7"/>
      <c r="V102" s="61"/>
      <c r="Y102" s="359" t="str">
        <f t="shared" si="21"/>
        <v>vertical_surface_dihedral</v>
      </c>
      <c r="Z102" s="360" t="str">
        <f t="shared" si="22"/>
        <v>double</v>
      </c>
      <c r="AA102" s="360" t="str">
        <f t="shared" si="23"/>
        <v>scalaire</v>
      </c>
      <c r="AB102" s="360" t="str">
        <f t="shared" si="24"/>
        <v>Dièdre de la surface verticale</v>
      </c>
      <c r="AC102" s="360" t="str">
        <f t="shared" si="25"/>
        <v>degré</v>
      </c>
      <c r="AD102" s="361" t="str">
        <f t="shared" si="26"/>
        <v>variable: vertical_surface_dihedral double input description= "Dièdre de la surface verticale" units= "degré"</v>
      </c>
      <c r="AE102" s="359" t="str">
        <f t="shared" si="15"/>
        <v>X0.geometry.vertical_surfaces</v>
      </c>
      <c r="AF102" s="360" t="str">
        <f t="shared" si="16"/>
        <v>Y02.geometry.vertical_surfaces</v>
      </c>
      <c r="AG102" s="360" t="str">
        <f t="shared" si="17"/>
        <v>Y03.geometry.vertical_surfaces</v>
      </c>
      <c r="AH102" s="360" t="str">
        <f t="shared" si="18"/>
        <v/>
      </c>
      <c r="AI102" s="360" t="str">
        <f t="shared" si="19"/>
        <v/>
      </c>
      <c r="AJ102" s="361" t="str">
        <f t="shared" si="20"/>
        <v/>
      </c>
    </row>
    <row r="103" spans="2:36" x14ac:dyDescent="0.2">
      <c r="B103" s="332"/>
      <c r="C103" s="315" t="s">
        <v>47</v>
      </c>
      <c r="D103" s="91" t="s">
        <v>52</v>
      </c>
      <c r="E103" s="16" t="s">
        <v>369</v>
      </c>
      <c r="F103" s="133" t="s">
        <v>842</v>
      </c>
      <c r="G103" s="134" t="s">
        <v>685</v>
      </c>
      <c r="H103" s="65" t="s">
        <v>347</v>
      </c>
      <c r="I103" s="17" t="s">
        <v>13</v>
      </c>
      <c r="J103" s="43" t="s">
        <v>12</v>
      </c>
      <c r="K103" s="42" t="s">
        <v>560</v>
      </c>
      <c r="L103" s="17" t="s">
        <v>91</v>
      </c>
      <c r="M103" s="17"/>
      <c r="N103" s="17"/>
      <c r="O103" s="17"/>
      <c r="P103" s="16"/>
      <c r="Q103" s="135" t="s">
        <v>663</v>
      </c>
      <c r="R103" s="134">
        <v>88</v>
      </c>
      <c r="S103" s="88" t="s">
        <v>592</v>
      </c>
      <c r="T103" s="110"/>
      <c r="U103" s="7"/>
      <c r="V103" s="61"/>
      <c r="Y103" s="359" t="str">
        <f t="shared" si="21"/>
        <v>engine_total_diameter</v>
      </c>
      <c r="Z103" s="360" t="str">
        <f t="shared" si="22"/>
        <v>double</v>
      </c>
      <c r="AA103" s="360" t="str">
        <f t="shared" si="23"/>
        <v>scalaire</v>
      </c>
      <c r="AB103" s="360" t="str">
        <f t="shared" si="24"/>
        <v>Diamètre total d'un moteur</v>
      </c>
      <c r="AC103" s="360" t="str">
        <f t="shared" si="25"/>
        <v>m</v>
      </c>
      <c r="AD103" s="361" t="str">
        <f t="shared" si="26"/>
        <v>variable: engine_total_diameter double input description= "Diamètre total d'un moteur" units= "m"</v>
      </c>
      <c r="AE103" s="359" t="str">
        <f t="shared" si="15"/>
        <v>Y10.geometry.engines</v>
      </c>
      <c r="AF103" s="360" t="str">
        <f t="shared" si="16"/>
        <v>Y13.geometry.engines</v>
      </c>
      <c r="AG103" s="360" t="str">
        <f t="shared" si="17"/>
        <v/>
      </c>
      <c r="AH103" s="360" t="str">
        <f t="shared" si="18"/>
        <v/>
      </c>
      <c r="AI103" s="360" t="str">
        <f t="shared" si="19"/>
        <v/>
      </c>
      <c r="AJ103" s="361" t="str">
        <f t="shared" si="20"/>
        <v/>
      </c>
    </row>
    <row r="104" spans="2:36" x14ac:dyDescent="0.2">
      <c r="B104" s="332"/>
      <c r="C104" s="316"/>
      <c r="D104" s="91" t="s">
        <v>53</v>
      </c>
      <c r="E104" s="16" t="s">
        <v>370</v>
      </c>
      <c r="F104" s="133" t="s">
        <v>842</v>
      </c>
      <c r="G104" s="134" t="s">
        <v>685</v>
      </c>
      <c r="H104" s="65" t="s">
        <v>347</v>
      </c>
      <c r="I104" s="17" t="s">
        <v>13</v>
      </c>
      <c r="J104" s="43" t="s">
        <v>12</v>
      </c>
      <c r="K104" s="42" t="s">
        <v>560</v>
      </c>
      <c r="L104" s="17" t="s">
        <v>91</v>
      </c>
      <c r="M104" s="17"/>
      <c r="N104" s="17"/>
      <c r="O104" s="17"/>
      <c r="P104" s="16"/>
      <c r="Q104" s="135" t="s">
        <v>664</v>
      </c>
      <c r="R104" s="134">
        <v>89</v>
      </c>
      <c r="S104" s="88" t="s">
        <v>592</v>
      </c>
      <c r="T104" s="110"/>
      <c r="U104" s="7"/>
      <c r="V104" s="61"/>
      <c r="Y104" s="359" t="str">
        <f t="shared" si="21"/>
        <v>engine_total_length</v>
      </c>
      <c r="Z104" s="360" t="str">
        <f t="shared" si="22"/>
        <v>double</v>
      </c>
      <c r="AA104" s="360" t="str">
        <f t="shared" si="23"/>
        <v>scalaire</v>
      </c>
      <c r="AB104" s="360" t="str">
        <f t="shared" si="24"/>
        <v>Longueur totale d'un moteur</v>
      </c>
      <c r="AC104" s="360" t="str">
        <f t="shared" si="25"/>
        <v>m</v>
      </c>
      <c r="AD104" s="361" t="str">
        <f t="shared" si="26"/>
        <v>variable: engine_total_length double input description= "Longueur totale d'un moteur" units= "m"</v>
      </c>
      <c r="AE104" s="359" t="str">
        <f t="shared" si="15"/>
        <v>Y10.geometry.engines</v>
      </c>
      <c r="AF104" s="360" t="str">
        <f t="shared" si="16"/>
        <v>Y13.geometry.engines</v>
      </c>
      <c r="AG104" s="360" t="str">
        <f t="shared" si="17"/>
        <v/>
      </c>
      <c r="AH104" s="360" t="str">
        <f t="shared" si="18"/>
        <v/>
      </c>
      <c r="AI104" s="360" t="str">
        <f t="shared" si="19"/>
        <v/>
      </c>
      <c r="AJ104" s="361" t="str">
        <f t="shared" si="20"/>
        <v/>
      </c>
    </row>
    <row r="105" spans="2:36" x14ac:dyDescent="0.2">
      <c r="B105" s="332"/>
      <c r="C105" s="316"/>
      <c r="D105" s="91" t="s">
        <v>371</v>
      </c>
      <c r="E105" s="16" t="s">
        <v>372</v>
      </c>
      <c r="F105" s="133" t="s">
        <v>842</v>
      </c>
      <c r="G105" s="134" t="s">
        <v>685</v>
      </c>
      <c r="H105" s="65" t="s">
        <v>347</v>
      </c>
      <c r="I105" s="17" t="s">
        <v>13</v>
      </c>
      <c r="J105" s="43" t="s">
        <v>12</v>
      </c>
      <c r="K105" s="59" t="s">
        <v>560</v>
      </c>
      <c r="L105" s="20" t="s">
        <v>189</v>
      </c>
      <c r="M105" s="20"/>
      <c r="N105" s="20"/>
      <c r="O105" s="20"/>
      <c r="P105" s="21"/>
      <c r="Q105" s="135" t="s">
        <v>665</v>
      </c>
      <c r="R105" s="134">
        <v>90</v>
      </c>
      <c r="S105" s="88" t="s">
        <v>592</v>
      </c>
      <c r="T105" s="110"/>
      <c r="U105" s="7"/>
      <c r="V105" s="61"/>
      <c r="Y105" s="359" t="str">
        <f t="shared" si="21"/>
        <v>engine_fan_diameter</v>
      </c>
      <c r="Z105" s="360" t="str">
        <f t="shared" si="22"/>
        <v>double</v>
      </c>
      <c r="AA105" s="360" t="str">
        <f t="shared" si="23"/>
        <v>scalaire</v>
      </c>
      <c r="AB105" s="360" t="str">
        <f t="shared" si="24"/>
        <v>Diamètre du fan d'un moteur (correspond au diamètre du moteur si Nflux = 1)</v>
      </c>
      <c r="AC105" s="360" t="str">
        <f t="shared" si="25"/>
        <v>m</v>
      </c>
      <c r="AD105" s="361" t="str">
        <f t="shared" si="26"/>
        <v>variable: engine_fan_diameter double input description= "Diamètre du fan d'un moteur (correspond au diamètre du moteur si Nflux = 1)" units= "m"</v>
      </c>
      <c r="AE105" s="359" t="str">
        <f t="shared" si="15"/>
        <v>Y10.geometry.engines</v>
      </c>
      <c r="AF105" s="360" t="str">
        <f t="shared" si="16"/>
        <v>Y12.geometry.engines</v>
      </c>
      <c r="AG105" s="360" t="str">
        <f t="shared" si="17"/>
        <v/>
      </c>
      <c r="AH105" s="360" t="str">
        <f t="shared" si="18"/>
        <v/>
      </c>
      <c r="AI105" s="360" t="str">
        <f t="shared" si="19"/>
        <v/>
      </c>
      <c r="AJ105" s="361" t="str">
        <f t="shared" si="20"/>
        <v/>
      </c>
    </row>
    <row r="106" spans="2:36" x14ac:dyDescent="0.2">
      <c r="B106" s="332"/>
      <c r="C106" s="316"/>
      <c r="D106" s="91" t="s">
        <v>373</v>
      </c>
      <c r="E106" s="16" t="s">
        <v>374</v>
      </c>
      <c r="F106" s="133" t="s">
        <v>842</v>
      </c>
      <c r="G106" s="134" t="s">
        <v>685</v>
      </c>
      <c r="H106" s="65" t="s">
        <v>347</v>
      </c>
      <c r="I106" s="17" t="s">
        <v>13</v>
      </c>
      <c r="J106" s="43" t="s">
        <v>12</v>
      </c>
      <c r="K106" s="59" t="s">
        <v>560</v>
      </c>
      <c r="L106" s="20" t="s">
        <v>189</v>
      </c>
      <c r="M106" s="20"/>
      <c r="N106" s="20"/>
      <c r="O106" s="20"/>
      <c r="P106" s="21"/>
      <c r="Q106" s="135" t="s">
        <v>666</v>
      </c>
      <c r="R106" s="134">
        <v>91</v>
      </c>
      <c r="S106" s="88" t="s">
        <v>592</v>
      </c>
      <c r="T106" s="110"/>
      <c r="U106" s="7"/>
      <c r="V106" s="61"/>
      <c r="Y106" s="359" t="str">
        <f t="shared" si="21"/>
        <v>engine_fan_length</v>
      </c>
      <c r="Z106" s="360" t="str">
        <f t="shared" si="22"/>
        <v>double</v>
      </c>
      <c r="AA106" s="360" t="str">
        <f t="shared" si="23"/>
        <v>scalaire</v>
      </c>
      <c r="AB106" s="360" t="str">
        <f t="shared" si="24"/>
        <v>Longueur du fan d'un moteur (correspond à la longueur du moteur si Nflux = 1)</v>
      </c>
      <c r="AC106" s="360" t="str">
        <f t="shared" si="25"/>
        <v>m</v>
      </c>
      <c r="AD106" s="361" t="str">
        <f t="shared" si="26"/>
        <v>variable: engine_fan_length double input description= "Longueur du fan d'un moteur (correspond à la longueur du moteur si Nflux = 1)" units= "m"</v>
      </c>
      <c r="AE106" s="359" t="str">
        <f t="shared" si="15"/>
        <v>Y10.geometry.engines</v>
      </c>
      <c r="AF106" s="360" t="str">
        <f t="shared" si="16"/>
        <v>Y12.geometry.engines</v>
      </c>
      <c r="AG106" s="360" t="str">
        <f t="shared" si="17"/>
        <v/>
      </c>
      <c r="AH106" s="360" t="str">
        <f t="shared" si="18"/>
        <v/>
      </c>
      <c r="AI106" s="360" t="str">
        <f t="shared" si="19"/>
        <v/>
      </c>
      <c r="AJ106" s="361" t="str">
        <f t="shared" si="20"/>
        <v/>
      </c>
    </row>
    <row r="107" spans="2:36" x14ac:dyDescent="0.2">
      <c r="B107" s="332"/>
      <c r="C107" s="316"/>
      <c r="D107" s="91" t="s">
        <v>375</v>
      </c>
      <c r="E107" s="16" t="s">
        <v>376</v>
      </c>
      <c r="F107" s="133" t="s">
        <v>842</v>
      </c>
      <c r="G107" s="134" t="s">
        <v>685</v>
      </c>
      <c r="H107" s="65" t="s">
        <v>347</v>
      </c>
      <c r="I107" s="17" t="s">
        <v>13</v>
      </c>
      <c r="J107" s="43" t="s">
        <v>12</v>
      </c>
      <c r="K107" s="59" t="s">
        <v>560</v>
      </c>
      <c r="L107" s="20" t="s">
        <v>189</v>
      </c>
      <c r="M107" s="20"/>
      <c r="N107" s="20"/>
      <c r="O107" s="20"/>
      <c r="P107" s="21"/>
      <c r="Q107" s="135" t="s">
        <v>667</v>
      </c>
      <c r="R107" s="134">
        <v>92</v>
      </c>
      <c r="S107" s="88" t="s">
        <v>592</v>
      </c>
      <c r="T107" s="110"/>
      <c r="U107" s="7"/>
      <c r="V107" s="61"/>
      <c r="Y107" s="359" t="str">
        <f t="shared" si="21"/>
        <v>engine_turbine_diameter</v>
      </c>
      <c r="Z107" s="360" t="str">
        <f t="shared" si="22"/>
        <v>double</v>
      </c>
      <c r="AA107" s="360" t="str">
        <f t="shared" si="23"/>
        <v>scalaire</v>
      </c>
      <c r="AB107" s="360" t="str">
        <f t="shared" si="24"/>
        <v>Diamètre de la turbine d'un moteur</v>
      </c>
      <c r="AC107" s="360" t="str">
        <f t="shared" si="25"/>
        <v>m</v>
      </c>
      <c r="AD107" s="361" t="str">
        <f t="shared" si="26"/>
        <v>variable: engine_turbine_diameter double input description= "Diamètre de la turbine d'un moteur" units= "m"</v>
      </c>
      <c r="AE107" s="359" t="str">
        <f t="shared" si="15"/>
        <v>Y10.geometry.engines</v>
      </c>
      <c r="AF107" s="360" t="str">
        <f t="shared" si="16"/>
        <v>Y12.geometry.engines</v>
      </c>
      <c r="AG107" s="360" t="str">
        <f t="shared" si="17"/>
        <v/>
      </c>
      <c r="AH107" s="360" t="str">
        <f t="shared" si="18"/>
        <v/>
      </c>
      <c r="AI107" s="360" t="str">
        <f t="shared" si="19"/>
        <v/>
      </c>
      <c r="AJ107" s="361" t="str">
        <f t="shared" si="20"/>
        <v/>
      </c>
    </row>
    <row r="108" spans="2:36" x14ac:dyDescent="0.2">
      <c r="B108" s="332"/>
      <c r="C108" s="316"/>
      <c r="D108" s="91" t="s">
        <v>377</v>
      </c>
      <c r="E108" s="16" t="s">
        <v>378</v>
      </c>
      <c r="F108" s="133" t="s">
        <v>842</v>
      </c>
      <c r="G108" s="134" t="s">
        <v>685</v>
      </c>
      <c r="H108" s="65" t="s">
        <v>347</v>
      </c>
      <c r="I108" s="17" t="s">
        <v>13</v>
      </c>
      <c r="J108" s="43" t="s">
        <v>12</v>
      </c>
      <c r="K108" s="59" t="s">
        <v>560</v>
      </c>
      <c r="L108" s="20" t="s">
        <v>189</v>
      </c>
      <c r="M108" s="20"/>
      <c r="N108" s="20"/>
      <c r="O108" s="20"/>
      <c r="P108" s="21"/>
      <c r="Q108" s="135" t="s">
        <v>668</v>
      </c>
      <c r="R108" s="134">
        <v>93</v>
      </c>
      <c r="S108" s="88" t="s">
        <v>592</v>
      </c>
      <c r="T108" s="110"/>
      <c r="U108" s="7"/>
      <c r="V108" s="61"/>
      <c r="Y108" s="359" t="str">
        <f t="shared" si="21"/>
        <v>engine_turbine_length</v>
      </c>
      <c r="Z108" s="360" t="str">
        <f t="shared" si="22"/>
        <v>double</v>
      </c>
      <c r="AA108" s="360" t="str">
        <f t="shared" si="23"/>
        <v>scalaire</v>
      </c>
      <c r="AB108" s="360" t="str">
        <f t="shared" si="24"/>
        <v>Longueur de la turbine d'un moteur</v>
      </c>
      <c r="AC108" s="360" t="str">
        <f t="shared" si="25"/>
        <v>m</v>
      </c>
      <c r="AD108" s="361" t="str">
        <f t="shared" si="26"/>
        <v>variable: engine_turbine_length double input description= "Longueur de la turbine d'un moteur" units= "m"</v>
      </c>
      <c r="AE108" s="359" t="str">
        <f t="shared" si="15"/>
        <v>Y10.geometry.engines</v>
      </c>
      <c r="AF108" s="360" t="str">
        <f t="shared" si="16"/>
        <v>Y12.geometry.engines</v>
      </c>
      <c r="AG108" s="360" t="str">
        <f t="shared" si="17"/>
        <v/>
      </c>
      <c r="AH108" s="360" t="str">
        <f t="shared" si="18"/>
        <v/>
      </c>
      <c r="AI108" s="360" t="str">
        <f t="shared" si="19"/>
        <v/>
      </c>
      <c r="AJ108" s="361" t="str">
        <f t="shared" si="20"/>
        <v/>
      </c>
    </row>
    <row r="109" spans="2:36" x14ac:dyDescent="0.2">
      <c r="B109" s="332"/>
      <c r="C109" s="316"/>
      <c r="D109" s="91" t="s">
        <v>379</v>
      </c>
      <c r="E109" s="16" t="s">
        <v>380</v>
      </c>
      <c r="F109" s="133" t="s">
        <v>842</v>
      </c>
      <c r="G109" s="134" t="s">
        <v>685</v>
      </c>
      <c r="H109" s="65" t="s">
        <v>347</v>
      </c>
      <c r="I109" s="17" t="s">
        <v>13</v>
      </c>
      <c r="J109" s="43" t="s">
        <v>12</v>
      </c>
      <c r="K109" s="59" t="s">
        <v>560</v>
      </c>
      <c r="L109" s="20" t="s">
        <v>189</v>
      </c>
      <c r="M109" s="20"/>
      <c r="N109" s="20"/>
      <c r="O109" s="20"/>
      <c r="P109" s="21"/>
      <c r="Q109" s="135" t="s">
        <v>747</v>
      </c>
      <c r="R109" s="134">
        <v>94</v>
      </c>
      <c r="S109" s="88" t="s">
        <v>592</v>
      </c>
      <c r="T109" s="110"/>
      <c r="U109" s="7"/>
      <c r="V109" s="61"/>
      <c r="Y109" s="359" t="str">
        <f t="shared" si="21"/>
        <v>engine_primary_nozzle_diameter</v>
      </c>
      <c r="Z109" s="360" t="str">
        <f t="shared" si="22"/>
        <v>double</v>
      </c>
      <c r="AA109" s="360" t="str">
        <f t="shared" si="23"/>
        <v>scalaire</v>
      </c>
      <c r="AB109" s="360" t="str">
        <f t="shared" si="24"/>
        <v>Diamètre de la tuyère primaire</v>
      </c>
      <c r="AC109" s="360" t="str">
        <f t="shared" si="25"/>
        <v>m</v>
      </c>
      <c r="AD109" s="361" t="str">
        <f t="shared" si="26"/>
        <v>variable: engine_primary_nozzle_diameter double input description= "Diamètre de la tuyère primaire" units= "m"</v>
      </c>
      <c r="AE109" s="359" t="str">
        <f t="shared" si="15"/>
        <v>Y10.geometry.engines</v>
      </c>
      <c r="AF109" s="360" t="str">
        <f t="shared" si="16"/>
        <v>Y12.geometry.engines</v>
      </c>
      <c r="AG109" s="360" t="str">
        <f t="shared" si="17"/>
        <v/>
      </c>
      <c r="AH109" s="360" t="str">
        <f t="shared" si="18"/>
        <v/>
      </c>
      <c r="AI109" s="360" t="str">
        <f t="shared" si="19"/>
        <v/>
      </c>
      <c r="AJ109" s="361" t="str">
        <f t="shared" si="20"/>
        <v/>
      </c>
    </row>
    <row r="110" spans="2:36" x14ac:dyDescent="0.2">
      <c r="B110" s="332"/>
      <c r="C110" s="316"/>
      <c r="D110" s="91" t="s">
        <v>381</v>
      </c>
      <c r="E110" s="16" t="s">
        <v>382</v>
      </c>
      <c r="F110" s="133" t="s">
        <v>842</v>
      </c>
      <c r="G110" s="134" t="s">
        <v>685</v>
      </c>
      <c r="H110" s="65" t="s">
        <v>347</v>
      </c>
      <c r="I110" s="17" t="s">
        <v>13</v>
      </c>
      <c r="J110" s="43" t="s">
        <v>12</v>
      </c>
      <c r="K110" s="59" t="s">
        <v>560</v>
      </c>
      <c r="L110" s="20" t="s">
        <v>189</v>
      </c>
      <c r="M110" s="20"/>
      <c r="N110" s="20"/>
      <c r="O110" s="20"/>
      <c r="P110" s="21"/>
      <c r="Q110" s="135" t="s">
        <v>748</v>
      </c>
      <c r="R110" s="134">
        <v>95</v>
      </c>
      <c r="S110" s="88" t="s">
        <v>592</v>
      </c>
      <c r="T110" s="110"/>
      <c r="U110" s="7"/>
      <c r="V110" s="61"/>
      <c r="Y110" s="359" t="str">
        <f t="shared" si="21"/>
        <v>engine_secondary_nozzle_diameter</v>
      </c>
      <c r="Z110" s="360" t="str">
        <f t="shared" si="22"/>
        <v>double</v>
      </c>
      <c r="AA110" s="360" t="str">
        <f t="shared" si="23"/>
        <v>scalaire</v>
      </c>
      <c r="AB110" s="360" t="str">
        <f t="shared" si="24"/>
        <v>Diamètre de la tuyère secondaire</v>
      </c>
      <c r="AC110" s="360" t="str">
        <f t="shared" si="25"/>
        <v>m</v>
      </c>
      <c r="AD110" s="361" t="str">
        <f t="shared" si="26"/>
        <v>variable: engine_secondary_nozzle_diameter double input description= "Diamètre de la tuyère secondaire" units= "m"</v>
      </c>
      <c r="AE110" s="359" t="str">
        <f t="shared" si="15"/>
        <v>Y10.geometry.engines</v>
      </c>
      <c r="AF110" s="360" t="str">
        <f t="shared" si="16"/>
        <v>Y12.geometry.engines</v>
      </c>
      <c r="AG110" s="360" t="str">
        <f t="shared" si="17"/>
        <v/>
      </c>
      <c r="AH110" s="360" t="str">
        <f t="shared" si="18"/>
        <v/>
      </c>
      <c r="AI110" s="360" t="str">
        <f t="shared" si="19"/>
        <v/>
      </c>
      <c r="AJ110" s="361" t="str">
        <f t="shared" si="20"/>
        <v/>
      </c>
    </row>
    <row r="111" spans="2:36" x14ac:dyDescent="0.2">
      <c r="B111" s="332"/>
      <c r="C111" s="316"/>
      <c r="D111" s="91" t="s">
        <v>252</v>
      </c>
      <c r="E111" s="16" t="s">
        <v>247</v>
      </c>
      <c r="F111" s="133" t="s">
        <v>842</v>
      </c>
      <c r="G111" s="134" t="s">
        <v>685</v>
      </c>
      <c r="H111" s="65" t="s">
        <v>347</v>
      </c>
      <c r="I111" s="17" t="s">
        <v>13</v>
      </c>
      <c r="J111" s="43" t="s">
        <v>42</v>
      </c>
      <c r="K111" s="42" t="s">
        <v>130</v>
      </c>
      <c r="L111" s="17" t="s">
        <v>965</v>
      </c>
      <c r="M111" s="17"/>
      <c r="N111" s="17"/>
      <c r="O111" s="17"/>
      <c r="P111" s="16"/>
      <c r="Q111" s="135" t="s">
        <v>749</v>
      </c>
      <c r="R111" s="134">
        <v>96</v>
      </c>
      <c r="S111" s="88" t="s">
        <v>592</v>
      </c>
      <c r="T111" s="110"/>
      <c r="U111" s="7"/>
      <c r="V111" s="61"/>
      <c r="Y111" s="359" t="str">
        <f t="shared" si="21"/>
        <v>engine_inclination_angle</v>
      </c>
      <c r="Z111" s="360" t="str">
        <f t="shared" si="22"/>
        <v>double</v>
      </c>
      <c r="AA111" s="360" t="str">
        <f t="shared" si="23"/>
        <v>scalaire</v>
      </c>
      <c r="AB111" s="360" t="str">
        <f t="shared" si="24"/>
        <v>Angle d'inclinaison des moteurs par rapport à l'axe longitudinal</v>
      </c>
      <c r="AC111" s="360" t="str">
        <f t="shared" si="25"/>
        <v>degré</v>
      </c>
      <c r="AD111" s="361" t="str">
        <f t="shared" si="26"/>
        <v>variable: engine_inclination_angle double input description= "Angle d'inclinaison des moteurs par rapport à l'axe longitudinal" units= "degré"</v>
      </c>
      <c r="AE111" s="359" t="str">
        <f t="shared" si="15"/>
        <v>X0.geometry.engines</v>
      </c>
      <c r="AF111" s="360" t="str">
        <f t="shared" si="16"/>
        <v>Y01.geometry.engines</v>
      </c>
      <c r="AG111" s="360" t="str">
        <f t="shared" si="17"/>
        <v/>
      </c>
      <c r="AH111" s="360" t="str">
        <f t="shared" si="18"/>
        <v/>
      </c>
      <c r="AI111" s="360" t="str">
        <f t="shared" si="19"/>
        <v/>
      </c>
      <c r="AJ111" s="361" t="str">
        <f t="shared" si="20"/>
        <v/>
      </c>
    </row>
    <row r="112" spans="2:36" x14ac:dyDescent="0.2">
      <c r="B112" s="332"/>
      <c r="C112" s="315" t="s">
        <v>54</v>
      </c>
      <c r="D112" s="93" t="s">
        <v>384</v>
      </c>
      <c r="E112" s="21" t="s">
        <v>385</v>
      </c>
      <c r="F112" s="133" t="s">
        <v>842</v>
      </c>
      <c r="G112" s="134" t="s">
        <v>849</v>
      </c>
      <c r="H112" s="65" t="s">
        <v>347</v>
      </c>
      <c r="I112" s="17" t="s">
        <v>13</v>
      </c>
      <c r="J112" s="43" t="s">
        <v>12</v>
      </c>
      <c r="K112" s="59" t="s">
        <v>130</v>
      </c>
      <c r="L112" s="20" t="s">
        <v>14</v>
      </c>
      <c r="M112" s="20"/>
      <c r="N112" s="20"/>
      <c r="O112" s="20"/>
      <c r="P112" s="21"/>
      <c r="Q112" s="135" t="s">
        <v>750</v>
      </c>
      <c r="R112" s="134">
        <v>97</v>
      </c>
      <c r="S112" s="88" t="s">
        <v>592</v>
      </c>
      <c r="T112" s="110"/>
      <c r="U112" s="7"/>
      <c r="V112" s="61"/>
      <c r="Y112" s="359" t="str">
        <f t="shared" si="21"/>
        <v>nose_landing_gear_length</v>
      </c>
      <c r="Z112" s="360" t="str">
        <f t="shared" si="22"/>
        <v>double</v>
      </c>
      <c r="AA112" s="360" t="str">
        <f t="shared" si="23"/>
        <v>scalaire</v>
      </c>
      <c r="AB112" s="360" t="str">
        <f t="shared" si="24"/>
        <v>Longueur de la case du train avant, suivant l'axe x</v>
      </c>
      <c r="AC112" s="360" t="str">
        <f t="shared" si="25"/>
        <v>m</v>
      </c>
      <c r="AD112" s="361" t="str">
        <f t="shared" si="26"/>
        <v>variable: nose_landing_gear_length double input description= "Longueur de la case du train avant, suivant l'axe x" units= "m"</v>
      </c>
      <c r="AE112" s="359" t="str">
        <f t="shared" si="15"/>
        <v>X0.geometry.landing_gears</v>
      </c>
      <c r="AF112" s="360" t="str">
        <f t="shared" si="16"/>
        <v>Y03.geometry.landing_gears</v>
      </c>
      <c r="AG112" s="360" t="str">
        <f t="shared" si="17"/>
        <v/>
      </c>
      <c r="AH112" s="360" t="str">
        <f t="shared" si="18"/>
        <v/>
      </c>
      <c r="AI112" s="360" t="str">
        <f t="shared" si="19"/>
        <v/>
      </c>
      <c r="AJ112" s="361" t="str">
        <f t="shared" si="20"/>
        <v/>
      </c>
    </row>
    <row r="113" spans="2:36" x14ac:dyDescent="0.2">
      <c r="B113" s="332"/>
      <c r="C113" s="316"/>
      <c r="D113" s="93" t="s">
        <v>386</v>
      </c>
      <c r="E113" s="21" t="s">
        <v>387</v>
      </c>
      <c r="F113" s="133" t="s">
        <v>842</v>
      </c>
      <c r="G113" s="134" t="s">
        <v>849</v>
      </c>
      <c r="H113" s="65" t="s">
        <v>347</v>
      </c>
      <c r="I113" s="17" t="s">
        <v>13</v>
      </c>
      <c r="J113" s="43" t="s">
        <v>12</v>
      </c>
      <c r="K113" s="59" t="s">
        <v>130</v>
      </c>
      <c r="L113" s="20" t="s">
        <v>14</v>
      </c>
      <c r="M113" s="20"/>
      <c r="N113" s="20"/>
      <c r="O113" s="20"/>
      <c r="P113" s="21"/>
      <c r="Q113" s="135" t="s">
        <v>751</v>
      </c>
      <c r="R113" s="134">
        <v>98</v>
      </c>
      <c r="S113" s="88" t="s">
        <v>592</v>
      </c>
      <c r="T113" s="110"/>
      <c r="U113" s="7"/>
      <c r="V113" s="61"/>
      <c r="Y113" s="359" t="str">
        <f t="shared" si="21"/>
        <v>nose_landing_gear_width</v>
      </c>
      <c r="Z113" s="360" t="str">
        <f t="shared" si="22"/>
        <v>double</v>
      </c>
      <c r="AA113" s="360" t="str">
        <f t="shared" si="23"/>
        <v>scalaire</v>
      </c>
      <c r="AB113" s="360" t="str">
        <f t="shared" si="24"/>
        <v>Largeur de la case du train avant, suivant l'axe y</v>
      </c>
      <c r="AC113" s="360" t="str">
        <f t="shared" si="25"/>
        <v>m</v>
      </c>
      <c r="AD113" s="361" t="str">
        <f t="shared" si="26"/>
        <v>variable: nose_landing_gear_width double input description= "Largeur de la case du train avant, suivant l'axe y" units= "m"</v>
      </c>
      <c r="AE113" s="359" t="str">
        <f t="shared" si="15"/>
        <v>X0.geometry.landing_gears</v>
      </c>
      <c r="AF113" s="360" t="str">
        <f t="shared" si="16"/>
        <v>Y03.geometry.landing_gears</v>
      </c>
      <c r="AG113" s="360" t="str">
        <f t="shared" si="17"/>
        <v/>
      </c>
      <c r="AH113" s="360" t="str">
        <f t="shared" si="18"/>
        <v/>
      </c>
      <c r="AI113" s="360" t="str">
        <f t="shared" si="19"/>
        <v/>
      </c>
      <c r="AJ113" s="361" t="str">
        <f t="shared" si="20"/>
        <v/>
      </c>
    </row>
    <row r="114" spans="2:36" x14ac:dyDescent="0.2">
      <c r="B114" s="332"/>
      <c r="C114" s="316"/>
      <c r="D114" s="93" t="s">
        <v>61</v>
      </c>
      <c r="E114" s="21" t="s">
        <v>388</v>
      </c>
      <c r="F114" s="133" t="s">
        <v>842</v>
      </c>
      <c r="G114" s="134" t="s">
        <v>849</v>
      </c>
      <c r="H114" s="65" t="s">
        <v>347</v>
      </c>
      <c r="I114" s="17" t="s">
        <v>13</v>
      </c>
      <c r="J114" s="43" t="s">
        <v>12</v>
      </c>
      <c r="K114" s="59" t="s">
        <v>130</v>
      </c>
      <c r="L114" s="20" t="s">
        <v>14</v>
      </c>
      <c r="M114" s="20"/>
      <c r="N114" s="20"/>
      <c r="O114" s="20"/>
      <c r="P114" s="21"/>
      <c r="Q114" s="135" t="s">
        <v>752</v>
      </c>
      <c r="R114" s="134">
        <v>99</v>
      </c>
      <c r="S114" s="88" t="s">
        <v>592</v>
      </c>
      <c r="T114" s="110"/>
      <c r="U114" s="7"/>
      <c r="V114" s="61"/>
      <c r="Y114" s="359" t="str">
        <f t="shared" si="21"/>
        <v>nose_landing_gear_height</v>
      </c>
      <c r="Z114" s="360" t="str">
        <f t="shared" si="22"/>
        <v>double</v>
      </c>
      <c r="AA114" s="360" t="str">
        <f t="shared" si="23"/>
        <v>scalaire</v>
      </c>
      <c r="AB114" s="360" t="str">
        <f t="shared" si="24"/>
        <v>Hauteur de la case du train avant, suivant l'axe z</v>
      </c>
      <c r="AC114" s="360" t="str">
        <f t="shared" si="25"/>
        <v>m</v>
      </c>
      <c r="AD114" s="361" t="str">
        <f t="shared" si="26"/>
        <v>variable: nose_landing_gear_height double input description= "Hauteur de la case du train avant, suivant l'axe z" units= "m"</v>
      </c>
      <c r="AE114" s="359" t="str">
        <f t="shared" si="15"/>
        <v>X0.geometry.landing_gears</v>
      </c>
      <c r="AF114" s="360" t="str">
        <f t="shared" si="16"/>
        <v>Y03.geometry.landing_gears</v>
      </c>
      <c r="AG114" s="360" t="str">
        <f t="shared" si="17"/>
        <v/>
      </c>
      <c r="AH114" s="360" t="str">
        <f t="shared" si="18"/>
        <v/>
      </c>
      <c r="AI114" s="360" t="str">
        <f t="shared" si="19"/>
        <v/>
      </c>
      <c r="AJ114" s="361" t="str">
        <f t="shared" si="20"/>
        <v/>
      </c>
    </row>
    <row r="115" spans="2:36" x14ac:dyDescent="0.2">
      <c r="B115" s="332"/>
      <c r="C115" s="316"/>
      <c r="D115" s="93" t="s">
        <v>392</v>
      </c>
      <c r="E115" s="21" t="s">
        <v>393</v>
      </c>
      <c r="F115" s="133" t="s">
        <v>842</v>
      </c>
      <c r="G115" s="134" t="s">
        <v>849</v>
      </c>
      <c r="H115" s="65" t="s">
        <v>347</v>
      </c>
      <c r="I115" s="17" t="s">
        <v>13</v>
      </c>
      <c r="J115" s="43" t="s">
        <v>12</v>
      </c>
      <c r="K115" s="59" t="s">
        <v>130</v>
      </c>
      <c r="L115" s="20" t="s">
        <v>14</v>
      </c>
      <c r="M115" s="20"/>
      <c r="N115" s="20"/>
      <c r="O115" s="20"/>
      <c r="P115" s="21"/>
      <c r="Q115" s="135" t="s">
        <v>753</v>
      </c>
      <c r="R115" s="134">
        <v>100</v>
      </c>
      <c r="S115" s="88" t="s">
        <v>592</v>
      </c>
      <c r="T115" s="110"/>
      <c r="U115" s="7"/>
      <c r="V115" s="61"/>
      <c r="Y115" s="359" t="str">
        <f t="shared" si="21"/>
        <v>main_landing_gear_length</v>
      </c>
      <c r="Z115" s="360" t="str">
        <f t="shared" si="22"/>
        <v>double</v>
      </c>
      <c r="AA115" s="360" t="str">
        <f t="shared" si="23"/>
        <v>scalaire</v>
      </c>
      <c r="AB115" s="360" t="str">
        <f t="shared" si="24"/>
        <v>Longueur de la case du train principal, suivant l'axe x</v>
      </c>
      <c r="AC115" s="360" t="str">
        <f t="shared" si="25"/>
        <v>m</v>
      </c>
      <c r="AD115" s="361" t="str">
        <f t="shared" si="26"/>
        <v>variable: main_landing_gear_length double input description= "Longueur de la case du train principal, suivant l'axe x" units= "m"</v>
      </c>
      <c r="AE115" s="359" t="str">
        <f t="shared" si="15"/>
        <v>X0.geometry.landing_gears</v>
      </c>
      <c r="AF115" s="360" t="str">
        <f t="shared" si="16"/>
        <v>Y03.geometry.landing_gears</v>
      </c>
      <c r="AG115" s="360" t="str">
        <f t="shared" si="17"/>
        <v/>
      </c>
      <c r="AH115" s="360" t="str">
        <f t="shared" si="18"/>
        <v/>
      </c>
      <c r="AI115" s="360" t="str">
        <f t="shared" si="19"/>
        <v/>
      </c>
      <c r="AJ115" s="361" t="str">
        <f t="shared" si="20"/>
        <v/>
      </c>
    </row>
    <row r="116" spans="2:36" x14ac:dyDescent="0.2">
      <c r="B116" s="332"/>
      <c r="C116" s="316"/>
      <c r="D116" s="93" t="s">
        <v>394</v>
      </c>
      <c r="E116" s="21" t="s">
        <v>395</v>
      </c>
      <c r="F116" s="133" t="s">
        <v>842</v>
      </c>
      <c r="G116" s="134" t="s">
        <v>849</v>
      </c>
      <c r="H116" s="65" t="s">
        <v>347</v>
      </c>
      <c r="I116" s="17" t="s">
        <v>13</v>
      </c>
      <c r="J116" s="43" t="s">
        <v>12</v>
      </c>
      <c r="K116" s="59" t="s">
        <v>130</v>
      </c>
      <c r="L116" s="20" t="s">
        <v>14</v>
      </c>
      <c r="M116" s="20"/>
      <c r="N116" s="20"/>
      <c r="O116" s="20"/>
      <c r="P116" s="21"/>
      <c r="Q116" s="135" t="s">
        <v>754</v>
      </c>
      <c r="R116" s="134">
        <v>101</v>
      </c>
      <c r="S116" s="88" t="s">
        <v>592</v>
      </c>
      <c r="T116" s="110"/>
      <c r="U116" s="7"/>
      <c r="V116" s="61"/>
      <c r="Y116" s="359" t="str">
        <f t="shared" si="21"/>
        <v>main_landing_gear_width</v>
      </c>
      <c r="Z116" s="360" t="str">
        <f t="shared" si="22"/>
        <v>double</v>
      </c>
      <c r="AA116" s="360" t="str">
        <f t="shared" si="23"/>
        <v>scalaire</v>
      </c>
      <c r="AB116" s="360" t="str">
        <f t="shared" si="24"/>
        <v>Largeur de la case du train principal, suivant l'axe y</v>
      </c>
      <c r="AC116" s="360" t="str">
        <f t="shared" si="25"/>
        <v>m</v>
      </c>
      <c r="AD116" s="361" t="str">
        <f t="shared" si="26"/>
        <v>variable: main_landing_gear_width double input description= "Largeur de la case du train principal, suivant l'axe y" units= "m"</v>
      </c>
      <c r="AE116" s="359" t="str">
        <f t="shared" si="15"/>
        <v>X0.geometry.landing_gears</v>
      </c>
      <c r="AF116" s="360" t="str">
        <f t="shared" si="16"/>
        <v>Y03.geometry.landing_gears</v>
      </c>
      <c r="AG116" s="360" t="str">
        <f t="shared" si="17"/>
        <v/>
      </c>
      <c r="AH116" s="360" t="str">
        <f t="shared" si="18"/>
        <v/>
      </c>
      <c r="AI116" s="360" t="str">
        <f t="shared" si="19"/>
        <v/>
      </c>
      <c r="AJ116" s="361" t="str">
        <f t="shared" si="20"/>
        <v/>
      </c>
    </row>
    <row r="117" spans="2:36" x14ac:dyDescent="0.2">
      <c r="B117" s="332"/>
      <c r="C117" s="317"/>
      <c r="D117" s="93" t="s">
        <v>241</v>
      </c>
      <c r="E117" s="21" t="s">
        <v>396</v>
      </c>
      <c r="F117" s="133" t="s">
        <v>842</v>
      </c>
      <c r="G117" s="134" t="s">
        <v>849</v>
      </c>
      <c r="H117" s="65" t="s">
        <v>347</v>
      </c>
      <c r="I117" s="17" t="s">
        <v>13</v>
      </c>
      <c r="J117" s="43" t="s">
        <v>12</v>
      </c>
      <c r="K117" s="59" t="s">
        <v>130</v>
      </c>
      <c r="L117" s="20" t="s">
        <v>14</v>
      </c>
      <c r="M117" s="20"/>
      <c r="N117" s="20"/>
      <c r="O117" s="20"/>
      <c r="P117" s="21"/>
      <c r="Q117" s="135" t="s">
        <v>755</v>
      </c>
      <c r="R117" s="134">
        <v>102</v>
      </c>
      <c r="S117" s="88" t="s">
        <v>592</v>
      </c>
      <c r="T117" s="110"/>
      <c r="U117" s="7"/>
      <c r="V117" s="61"/>
      <c r="Y117" s="359" t="str">
        <f t="shared" si="21"/>
        <v>main_landing_gear_height</v>
      </c>
      <c r="Z117" s="360" t="str">
        <f t="shared" si="22"/>
        <v>double</v>
      </c>
      <c r="AA117" s="360" t="str">
        <f t="shared" si="23"/>
        <v>scalaire</v>
      </c>
      <c r="AB117" s="360" t="str">
        <f t="shared" si="24"/>
        <v>Hauteur de la case du train principal, suivant l'axe z</v>
      </c>
      <c r="AC117" s="360" t="str">
        <f t="shared" si="25"/>
        <v>m</v>
      </c>
      <c r="AD117" s="361" t="str">
        <f t="shared" si="26"/>
        <v>variable: main_landing_gear_height double input description= "Hauteur de la case du train principal, suivant l'axe z" units= "m"</v>
      </c>
      <c r="AE117" s="359" t="str">
        <f t="shared" si="15"/>
        <v>X0.geometry.landing_gears</v>
      </c>
      <c r="AF117" s="360" t="str">
        <f t="shared" si="16"/>
        <v>Y03.geometry.landing_gears</v>
      </c>
      <c r="AG117" s="360" t="str">
        <f t="shared" si="17"/>
        <v/>
      </c>
      <c r="AH117" s="360" t="str">
        <f t="shared" si="18"/>
        <v/>
      </c>
      <c r="AI117" s="360" t="str">
        <f t="shared" si="19"/>
        <v/>
      </c>
      <c r="AJ117" s="361" t="str">
        <f t="shared" si="20"/>
        <v/>
      </c>
    </row>
    <row r="118" spans="2:36" x14ac:dyDescent="0.2">
      <c r="B118" s="332"/>
      <c r="C118" s="315" t="s">
        <v>350</v>
      </c>
      <c r="D118" s="91" t="s">
        <v>67</v>
      </c>
      <c r="E118" s="16" t="s">
        <v>64</v>
      </c>
      <c r="F118" s="133" t="s">
        <v>842</v>
      </c>
      <c r="G118" s="134" t="s">
        <v>689</v>
      </c>
      <c r="H118" s="65" t="s">
        <v>347</v>
      </c>
      <c r="I118" s="17" t="s">
        <v>13</v>
      </c>
      <c r="J118" s="43" t="s">
        <v>463</v>
      </c>
      <c r="K118" s="42" t="s">
        <v>17</v>
      </c>
      <c r="L118" s="17"/>
      <c r="M118" s="17"/>
      <c r="N118" s="17"/>
      <c r="O118" s="17"/>
      <c r="P118" s="16"/>
      <c r="Q118" s="135" t="s">
        <v>669</v>
      </c>
      <c r="R118" s="134">
        <v>103</v>
      </c>
      <c r="S118" s="88" t="s">
        <v>592</v>
      </c>
      <c r="T118" s="110"/>
      <c r="U118" s="7"/>
      <c r="V118" s="61"/>
      <c r="Y118" s="359" t="str">
        <f t="shared" si="21"/>
        <v>fuel_tank_total_volume</v>
      </c>
      <c r="Z118" s="360" t="str">
        <f t="shared" si="22"/>
        <v>double</v>
      </c>
      <c r="AA118" s="360" t="str">
        <f t="shared" si="23"/>
        <v>scalaire</v>
      </c>
      <c r="AB118" s="360" t="str">
        <f t="shared" si="24"/>
        <v>Volume total des réservoirs</v>
      </c>
      <c r="AC118" s="360" t="str">
        <f t="shared" si="25"/>
        <v>m3</v>
      </c>
      <c r="AD118" s="361" t="str">
        <f t="shared" si="26"/>
        <v>variable: fuel_tank_total_volume double input description= "Volume total des réservoirs" units= "m3"</v>
      </c>
      <c r="AE118" s="359" t="str">
        <f t="shared" si="15"/>
        <v>Y3x.geometry.fuel_tanks</v>
      </c>
      <c r="AF118" s="360" t="str">
        <f t="shared" si="16"/>
        <v/>
      </c>
      <c r="AG118" s="360" t="str">
        <f t="shared" si="17"/>
        <v/>
      </c>
      <c r="AH118" s="360" t="str">
        <f t="shared" si="18"/>
        <v/>
      </c>
      <c r="AI118" s="360" t="str">
        <f t="shared" si="19"/>
        <v/>
      </c>
      <c r="AJ118" s="361" t="str">
        <f t="shared" si="20"/>
        <v/>
      </c>
    </row>
    <row r="119" spans="2:36" x14ac:dyDescent="0.2">
      <c r="B119" s="332"/>
      <c r="C119" s="316"/>
      <c r="D119" s="91" t="s">
        <v>68</v>
      </c>
      <c r="E119" s="16" t="s">
        <v>65</v>
      </c>
      <c r="F119" s="133" t="s">
        <v>842</v>
      </c>
      <c r="G119" s="134" t="s">
        <v>689</v>
      </c>
      <c r="H119" s="65" t="s">
        <v>347</v>
      </c>
      <c r="I119" s="17" t="s">
        <v>13</v>
      </c>
      <c r="J119" s="43" t="s">
        <v>463</v>
      </c>
      <c r="K119" s="42" t="s">
        <v>17</v>
      </c>
      <c r="L119" s="17"/>
      <c r="M119" s="17"/>
      <c r="N119" s="17"/>
      <c r="O119" s="17"/>
      <c r="P119" s="16"/>
      <c r="Q119" s="135" t="s">
        <v>756</v>
      </c>
      <c r="R119" s="134">
        <v>104</v>
      </c>
      <c r="S119" s="88" t="s">
        <v>592</v>
      </c>
      <c r="T119" s="110"/>
      <c r="U119" s="7"/>
      <c r="V119" s="61"/>
      <c r="Y119" s="359" t="str">
        <f t="shared" si="21"/>
        <v>wing_fuel_tank_volume</v>
      </c>
      <c r="Z119" s="360" t="str">
        <f t="shared" si="22"/>
        <v>double</v>
      </c>
      <c r="AA119" s="360" t="str">
        <f t="shared" si="23"/>
        <v>scalaire</v>
      </c>
      <c r="AB119" s="360" t="str">
        <f t="shared" si="24"/>
        <v>Volume des réservoirs situés dans les voilures (gauche + droite)</v>
      </c>
      <c r="AC119" s="360" t="str">
        <f t="shared" si="25"/>
        <v>m3</v>
      </c>
      <c r="AD119" s="361" t="str">
        <f t="shared" si="26"/>
        <v>variable: wing_fuel_tank_volume double input description= "Volume des réservoirs situés dans les voilures (gauche + droite)" units= "m3"</v>
      </c>
      <c r="AE119" s="359" t="str">
        <f t="shared" si="15"/>
        <v>Y3x.geometry.fuel_tanks</v>
      </c>
      <c r="AF119" s="360" t="str">
        <f t="shared" si="16"/>
        <v/>
      </c>
      <c r="AG119" s="360" t="str">
        <f t="shared" si="17"/>
        <v/>
      </c>
      <c r="AH119" s="360" t="str">
        <f t="shared" si="18"/>
        <v/>
      </c>
      <c r="AI119" s="360" t="str">
        <f t="shared" si="19"/>
        <v/>
      </c>
      <c r="AJ119" s="361" t="str">
        <f t="shared" si="20"/>
        <v/>
      </c>
    </row>
    <row r="120" spans="2:36" x14ac:dyDescent="0.2">
      <c r="B120" s="332"/>
      <c r="C120" s="316"/>
      <c r="D120" s="91" t="s">
        <v>69</v>
      </c>
      <c r="E120" s="16" t="s">
        <v>66</v>
      </c>
      <c r="F120" s="133" t="s">
        <v>842</v>
      </c>
      <c r="G120" s="134" t="s">
        <v>689</v>
      </c>
      <c r="H120" s="65" t="s">
        <v>347</v>
      </c>
      <c r="I120" s="17" t="s">
        <v>13</v>
      </c>
      <c r="J120" s="43" t="s">
        <v>463</v>
      </c>
      <c r="K120" s="42" t="s">
        <v>17</v>
      </c>
      <c r="L120" s="17"/>
      <c r="M120" s="17"/>
      <c r="N120" s="17"/>
      <c r="O120" s="17"/>
      <c r="P120" s="16"/>
      <c r="Q120" s="135" t="s">
        <v>757</v>
      </c>
      <c r="R120" s="134">
        <v>105</v>
      </c>
      <c r="S120" s="88" t="s">
        <v>592</v>
      </c>
      <c r="T120" s="110"/>
      <c r="U120" s="7"/>
      <c r="V120" s="61"/>
      <c r="Y120" s="359" t="str">
        <f t="shared" si="21"/>
        <v>body_fuel_tank_volume</v>
      </c>
      <c r="Z120" s="360" t="str">
        <f t="shared" si="22"/>
        <v>double</v>
      </c>
      <c r="AA120" s="360" t="str">
        <f t="shared" si="23"/>
        <v>scalaire</v>
      </c>
      <c r="AB120" s="360" t="str">
        <f t="shared" si="24"/>
        <v>Volume des réservoirs situés dans le corps central (gauche + droite)</v>
      </c>
      <c r="AC120" s="360" t="str">
        <f t="shared" si="25"/>
        <v>m3</v>
      </c>
      <c r="AD120" s="361" t="str">
        <f t="shared" si="26"/>
        <v>variable: body_fuel_tank_volume double input description= "Volume des réservoirs situés dans le corps central (gauche + droite)" units= "m3"</v>
      </c>
      <c r="AE120" s="359" t="str">
        <f t="shared" si="15"/>
        <v>Y3x.geometry.fuel_tanks</v>
      </c>
      <c r="AF120" s="360" t="str">
        <f t="shared" si="16"/>
        <v/>
      </c>
      <c r="AG120" s="360" t="str">
        <f t="shared" si="17"/>
        <v/>
      </c>
      <c r="AH120" s="360" t="str">
        <f t="shared" si="18"/>
        <v/>
      </c>
      <c r="AI120" s="360" t="str">
        <f t="shared" si="19"/>
        <v/>
      </c>
      <c r="AJ120" s="361" t="str">
        <f t="shared" si="20"/>
        <v/>
      </c>
    </row>
    <row r="121" spans="2:36" x14ac:dyDescent="0.2">
      <c r="B121" s="332"/>
      <c r="C121" s="316"/>
      <c r="D121" s="93" t="s">
        <v>70</v>
      </c>
      <c r="E121" s="21" t="s">
        <v>397</v>
      </c>
      <c r="F121" s="133" t="s">
        <v>842</v>
      </c>
      <c r="G121" s="134" t="s">
        <v>689</v>
      </c>
      <c r="H121" s="65" t="s">
        <v>347</v>
      </c>
      <c r="I121" s="17" t="s">
        <v>13</v>
      </c>
      <c r="J121" s="43" t="s">
        <v>12</v>
      </c>
      <c r="K121" s="59" t="s">
        <v>83</v>
      </c>
      <c r="L121" s="20"/>
      <c r="M121" s="20"/>
      <c r="N121" s="20"/>
      <c r="O121" s="20"/>
      <c r="P121" s="21"/>
      <c r="Q121" s="135" t="s">
        <v>758</v>
      </c>
      <c r="R121" s="134">
        <v>106</v>
      </c>
      <c r="S121" s="88" t="s">
        <v>592</v>
      </c>
      <c r="T121" s="110"/>
      <c r="U121" s="7"/>
      <c r="V121" s="61"/>
      <c r="Y121" s="359" t="str">
        <f t="shared" si="21"/>
        <v>body_fuel_tank_length</v>
      </c>
      <c r="Z121" s="360" t="str">
        <f t="shared" si="22"/>
        <v>double</v>
      </c>
      <c r="AA121" s="360" t="str">
        <f t="shared" si="23"/>
        <v>scalaire</v>
      </c>
      <c r="AB121" s="360" t="str">
        <f t="shared" si="24"/>
        <v>Longueur des réservoirs situés dans le corps central, suivant l'axe x</v>
      </c>
      <c r="AC121" s="360" t="str">
        <f t="shared" si="25"/>
        <v>m</v>
      </c>
      <c r="AD121" s="361" t="str">
        <f t="shared" si="26"/>
        <v>variable: body_fuel_tank_length double input description= "Longueur des réservoirs situés dans le corps central, suivant l'axe x" units= "m"</v>
      </c>
      <c r="AE121" s="359" t="str">
        <f t="shared" si="15"/>
        <v>Y30.geometry.fuel_tanks</v>
      </c>
      <c r="AF121" s="360" t="str">
        <f t="shared" si="16"/>
        <v/>
      </c>
      <c r="AG121" s="360" t="str">
        <f t="shared" si="17"/>
        <v/>
      </c>
      <c r="AH121" s="360" t="str">
        <f t="shared" si="18"/>
        <v/>
      </c>
      <c r="AI121" s="360" t="str">
        <f t="shared" si="19"/>
        <v/>
      </c>
      <c r="AJ121" s="361" t="str">
        <f t="shared" si="20"/>
        <v/>
      </c>
    </row>
    <row r="122" spans="2:36" x14ac:dyDescent="0.2">
      <c r="B122" s="332"/>
      <c r="C122" s="316"/>
      <c r="D122" s="93" t="s">
        <v>398</v>
      </c>
      <c r="E122" s="21" t="s">
        <v>399</v>
      </c>
      <c r="F122" s="133" t="s">
        <v>842</v>
      </c>
      <c r="G122" s="134" t="s">
        <v>689</v>
      </c>
      <c r="H122" s="65" t="s">
        <v>347</v>
      </c>
      <c r="I122" s="17" t="s">
        <v>13</v>
      </c>
      <c r="J122" s="43" t="s">
        <v>12</v>
      </c>
      <c r="K122" s="59" t="s">
        <v>83</v>
      </c>
      <c r="L122" s="20"/>
      <c r="M122" s="20"/>
      <c r="N122" s="20"/>
      <c r="O122" s="20"/>
      <c r="P122" s="21"/>
      <c r="Q122" s="135" t="s">
        <v>759</v>
      </c>
      <c r="R122" s="134">
        <v>107</v>
      </c>
      <c r="S122" s="88" t="s">
        <v>592</v>
      </c>
      <c r="T122" s="110"/>
      <c r="U122" s="7"/>
      <c r="V122" s="61"/>
      <c r="Y122" s="359" t="str">
        <f t="shared" si="21"/>
        <v>body_fuel_tank_width</v>
      </c>
      <c r="Z122" s="360" t="str">
        <f t="shared" si="22"/>
        <v>double</v>
      </c>
      <c r="AA122" s="360" t="str">
        <f t="shared" si="23"/>
        <v>scalaire</v>
      </c>
      <c r="AB122" s="360" t="str">
        <f t="shared" si="24"/>
        <v>Largeur des réservoirs situés dans le corps central, suivant l'axe y</v>
      </c>
      <c r="AC122" s="360" t="str">
        <f t="shared" si="25"/>
        <v>m</v>
      </c>
      <c r="AD122" s="361" t="str">
        <f t="shared" si="26"/>
        <v>variable: body_fuel_tank_width double input description= "Largeur des réservoirs situés dans le corps central, suivant l'axe y" units= "m"</v>
      </c>
      <c r="AE122" s="359" t="str">
        <f t="shared" si="15"/>
        <v>Y30.geometry.fuel_tanks</v>
      </c>
      <c r="AF122" s="360" t="str">
        <f t="shared" si="16"/>
        <v/>
      </c>
      <c r="AG122" s="360" t="str">
        <f t="shared" si="17"/>
        <v/>
      </c>
      <c r="AH122" s="360" t="str">
        <f t="shared" si="18"/>
        <v/>
      </c>
      <c r="AI122" s="360" t="str">
        <f t="shared" si="19"/>
        <v/>
      </c>
      <c r="AJ122" s="361" t="str">
        <f t="shared" si="20"/>
        <v/>
      </c>
    </row>
    <row r="123" spans="2:36" ht="13.5" thickBot="1" x14ac:dyDescent="0.25">
      <c r="B123" s="333"/>
      <c r="C123" s="334"/>
      <c r="D123" s="94" t="s">
        <v>400</v>
      </c>
      <c r="E123" s="22" t="s">
        <v>401</v>
      </c>
      <c r="F123" s="136" t="s">
        <v>842</v>
      </c>
      <c r="G123" s="137" t="s">
        <v>689</v>
      </c>
      <c r="H123" s="67" t="s">
        <v>347</v>
      </c>
      <c r="I123" s="23" t="s">
        <v>13</v>
      </c>
      <c r="J123" s="46" t="s">
        <v>12</v>
      </c>
      <c r="K123" s="60" t="s">
        <v>83</v>
      </c>
      <c r="L123" s="24"/>
      <c r="M123" s="24"/>
      <c r="N123" s="24"/>
      <c r="O123" s="24"/>
      <c r="P123" s="22"/>
      <c r="Q123" s="138" t="s">
        <v>760</v>
      </c>
      <c r="R123" s="292">
        <v>108</v>
      </c>
      <c r="S123" s="111" t="s">
        <v>592</v>
      </c>
      <c r="T123" s="112"/>
      <c r="U123" s="7"/>
      <c r="V123" s="61"/>
      <c r="Y123" s="359" t="str">
        <f t="shared" si="21"/>
        <v>body_fuel_tank_height</v>
      </c>
      <c r="Z123" s="360" t="str">
        <f t="shared" si="22"/>
        <v>double</v>
      </c>
      <c r="AA123" s="360" t="str">
        <f t="shared" si="23"/>
        <v>scalaire</v>
      </c>
      <c r="AB123" s="360" t="str">
        <f t="shared" si="24"/>
        <v>Hauteur des réservoirs situés dans le corps central, suivant l'axe z</v>
      </c>
      <c r="AC123" s="360" t="str">
        <f t="shared" si="25"/>
        <v>m</v>
      </c>
      <c r="AD123" s="361" t="str">
        <f t="shared" si="26"/>
        <v>variable: body_fuel_tank_height double input description= "Hauteur des réservoirs situés dans le corps central, suivant l'axe z" units= "m"</v>
      </c>
      <c r="AE123" s="359" t="str">
        <f t="shared" si="15"/>
        <v>Y30.geometry.fuel_tanks</v>
      </c>
      <c r="AF123" s="360" t="str">
        <f t="shared" si="16"/>
        <v/>
      </c>
      <c r="AG123" s="360" t="str">
        <f t="shared" si="17"/>
        <v/>
      </c>
      <c r="AH123" s="360" t="str">
        <f t="shared" si="18"/>
        <v/>
      </c>
      <c r="AI123" s="360" t="str">
        <f t="shared" si="19"/>
        <v/>
      </c>
      <c r="AJ123" s="361" t="str">
        <f t="shared" si="20"/>
        <v/>
      </c>
    </row>
    <row r="124" spans="2:36" x14ac:dyDescent="0.2">
      <c r="B124" s="308" t="s">
        <v>5</v>
      </c>
      <c r="C124" s="211" t="s">
        <v>48</v>
      </c>
      <c r="D124" s="97" t="s">
        <v>49</v>
      </c>
      <c r="E124" s="29" t="s">
        <v>50</v>
      </c>
      <c r="F124" s="212" t="s">
        <v>843</v>
      </c>
      <c r="G124" s="213"/>
      <c r="H124" s="70" t="s">
        <v>347</v>
      </c>
      <c r="I124" s="30" t="s">
        <v>574</v>
      </c>
      <c r="J124" s="52" t="s">
        <v>51</v>
      </c>
      <c r="K124" s="51" t="s">
        <v>130</v>
      </c>
      <c r="L124" s="30" t="s">
        <v>965</v>
      </c>
      <c r="M124" s="30" t="s">
        <v>419</v>
      </c>
      <c r="N124" s="30" t="s">
        <v>14</v>
      </c>
      <c r="O124" s="30" t="s">
        <v>966</v>
      </c>
      <c r="P124" s="29" t="s">
        <v>967</v>
      </c>
      <c r="Q124" s="214" t="s">
        <v>651</v>
      </c>
      <c r="R124" s="213">
        <v>109</v>
      </c>
      <c r="S124" s="117" t="s">
        <v>592</v>
      </c>
      <c r="T124" s="118" t="s">
        <v>909</v>
      </c>
      <c r="U124" s="7"/>
      <c r="V124" s="61"/>
      <c r="Y124" s="359" t="str">
        <f t="shared" si="21"/>
        <v>engine_number</v>
      </c>
      <c r="Z124" s="360" t="str">
        <f t="shared" si="22"/>
        <v>integer</v>
      </c>
      <c r="AA124" s="360" t="str">
        <f t="shared" si="23"/>
        <v>scalaire</v>
      </c>
      <c r="AB124" s="360" t="str">
        <f t="shared" si="24"/>
        <v>Nombre de moteurs</v>
      </c>
      <c r="AC124" s="360" t="str">
        <f t="shared" si="25"/>
        <v>(-)</v>
      </c>
      <c r="AD124" s="361" t="str">
        <f t="shared" si="26"/>
        <v>variable: engine_number integer input description= "Nombre de moteurs" units= "(-)"</v>
      </c>
      <c r="AE124" s="359" t="str">
        <f t="shared" si="15"/>
        <v>X0.propulsion</v>
      </c>
      <c r="AF124" s="360" t="str">
        <f t="shared" si="16"/>
        <v>Y01.propulsion</v>
      </c>
      <c r="AG124" s="360" t="str">
        <f t="shared" si="17"/>
        <v>Y02.propulsion</v>
      </c>
      <c r="AH124" s="360" t="str">
        <f t="shared" si="18"/>
        <v>Y03.propulsion</v>
      </c>
      <c r="AI124" s="360" t="str">
        <f t="shared" si="19"/>
        <v>Y04.propulsion</v>
      </c>
      <c r="AJ124" s="361" t="str">
        <f t="shared" si="20"/>
        <v>Y05.propulsion</v>
      </c>
    </row>
    <row r="125" spans="2:36" x14ac:dyDescent="0.2">
      <c r="B125" s="309"/>
      <c r="C125" s="215" t="s">
        <v>457</v>
      </c>
      <c r="D125" s="98" t="s">
        <v>447</v>
      </c>
      <c r="E125" s="32" t="s">
        <v>448</v>
      </c>
      <c r="F125" s="149" t="s">
        <v>843</v>
      </c>
      <c r="G125" s="150"/>
      <c r="H125" s="216" t="s">
        <v>347</v>
      </c>
      <c r="I125" s="31" t="s">
        <v>574</v>
      </c>
      <c r="J125" s="217" t="s">
        <v>51</v>
      </c>
      <c r="K125" s="218" t="s">
        <v>118</v>
      </c>
      <c r="L125" s="31"/>
      <c r="M125" s="31"/>
      <c r="N125" s="31"/>
      <c r="O125" s="31"/>
      <c r="P125" s="32"/>
      <c r="Q125" s="151" t="s">
        <v>670</v>
      </c>
      <c r="R125" s="150">
        <v>110</v>
      </c>
      <c r="S125" s="119" t="s">
        <v>592</v>
      </c>
      <c r="T125" s="120"/>
      <c r="U125" s="7"/>
      <c r="V125" s="61"/>
      <c r="Y125" s="359" t="str">
        <f t="shared" si="21"/>
        <v>engine_flux_number</v>
      </c>
      <c r="Z125" s="360" t="str">
        <f t="shared" si="22"/>
        <v>integer</v>
      </c>
      <c r="AA125" s="360" t="str">
        <f t="shared" si="23"/>
        <v>scalaire</v>
      </c>
      <c r="AB125" s="360" t="str">
        <f t="shared" si="24"/>
        <v>Nombre de flux des moteurs</v>
      </c>
      <c r="AC125" s="360" t="str">
        <f t="shared" si="25"/>
        <v>(-)</v>
      </c>
      <c r="AD125" s="361" t="str">
        <f t="shared" si="26"/>
        <v>variable: engine_flux_number integer input description= "Nombre de flux des moteurs" units= "(-)"</v>
      </c>
      <c r="AE125" s="359" t="str">
        <f t="shared" si="15"/>
        <v>X2.propulsion</v>
      </c>
      <c r="AF125" s="360" t="str">
        <f t="shared" si="16"/>
        <v/>
      </c>
      <c r="AG125" s="360" t="str">
        <f t="shared" si="17"/>
        <v/>
      </c>
      <c r="AH125" s="360" t="str">
        <f t="shared" si="18"/>
        <v/>
      </c>
      <c r="AI125" s="360" t="str">
        <f t="shared" si="19"/>
        <v/>
      </c>
      <c r="AJ125" s="361" t="str">
        <f t="shared" si="20"/>
        <v/>
      </c>
    </row>
    <row r="126" spans="2:36" x14ac:dyDescent="0.2">
      <c r="B126" s="309"/>
      <c r="C126" s="219" t="s">
        <v>183</v>
      </c>
      <c r="D126" s="98" t="s">
        <v>184</v>
      </c>
      <c r="E126" s="32" t="s">
        <v>186</v>
      </c>
      <c r="F126" s="149" t="s">
        <v>843</v>
      </c>
      <c r="G126" s="150"/>
      <c r="H126" s="216" t="s">
        <v>347</v>
      </c>
      <c r="I126" s="31" t="s">
        <v>13</v>
      </c>
      <c r="J126" s="217" t="s">
        <v>51</v>
      </c>
      <c r="K126" s="218" t="s">
        <v>185</v>
      </c>
      <c r="L126" s="31"/>
      <c r="M126" s="31"/>
      <c r="N126" s="31"/>
      <c r="O126" s="31"/>
      <c r="P126" s="32"/>
      <c r="Q126" s="151" t="s">
        <v>653</v>
      </c>
      <c r="R126" s="150">
        <v>111</v>
      </c>
      <c r="S126" s="119" t="s">
        <v>592</v>
      </c>
      <c r="T126" s="120"/>
      <c r="U126" s="7"/>
      <c r="V126" s="61"/>
      <c r="Y126" s="359" t="str">
        <f t="shared" si="21"/>
        <v>engine_scale_factor</v>
      </c>
      <c r="Z126" s="360" t="str">
        <f t="shared" si="22"/>
        <v>double</v>
      </c>
      <c r="AA126" s="360" t="str">
        <f t="shared" si="23"/>
        <v>scalaire</v>
      </c>
      <c r="AB126" s="360" t="str">
        <f t="shared" si="24"/>
        <v>Facteur d'échelle sur le moteur de référence</v>
      </c>
      <c r="AC126" s="360" t="str">
        <f t="shared" si="25"/>
        <v>(-)</v>
      </c>
      <c r="AD126" s="361" t="str">
        <f t="shared" si="26"/>
        <v>variable: engine_scale_factor double input description= "Facteur d'échelle sur le moteur de référence" units= "(-)"</v>
      </c>
      <c r="AE126" s="359" t="str">
        <f t="shared" si="15"/>
        <v>Y1x.propulsion</v>
      </c>
      <c r="AF126" s="360" t="str">
        <f t="shared" si="16"/>
        <v/>
      </c>
      <c r="AG126" s="360" t="str">
        <f t="shared" si="17"/>
        <v/>
      </c>
      <c r="AH126" s="360" t="str">
        <f t="shared" si="18"/>
        <v/>
      </c>
      <c r="AI126" s="360" t="str">
        <f t="shared" si="19"/>
        <v/>
      </c>
      <c r="AJ126" s="361" t="str">
        <f t="shared" si="20"/>
        <v/>
      </c>
    </row>
    <row r="127" spans="2:36" x14ac:dyDescent="0.2">
      <c r="B127" s="309"/>
      <c r="C127" s="219" t="s">
        <v>62</v>
      </c>
      <c r="D127" s="98" t="s">
        <v>89</v>
      </c>
      <c r="E127" s="32" t="s">
        <v>90</v>
      </c>
      <c r="F127" s="149" t="s">
        <v>843</v>
      </c>
      <c r="G127" s="150" t="s">
        <v>688</v>
      </c>
      <c r="H127" s="216" t="s">
        <v>347</v>
      </c>
      <c r="I127" s="31" t="s">
        <v>13</v>
      </c>
      <c r="J127" s="217" t="s">
        <v>63</v>
      </c>
      <c r="K127" s="218" t="s">
        <v>91</v>
      </c>
      <c r="L127" s="31"/>
      <c r="M127" s="31"/>
      <c r="N127" s="31"/>
      <c r="O127" s="31"/>
      <c r="P127" s="32"/>
      <c r="Q127" s="151" t="s">
        <v>652</v>
      </c>
      <c r="R127" s="150">
        <v>112</v>
      </c>
      <c r="S127" s="119" t="s">
        <v>592</v>
      </c>
      <c r="T127" s="120"/>
      <c r="U127" s="7"/>
      <c r="V127" s="61"/>
      <c r="Y127" s="359" t="str">
        <f t="shared" si="21"/>
        <v>engine_mass</v>
      </c>
      <c r="Z127" s="360" t="str">
        <f t="shared" si="22"/>
        <v>double</v>
      </c>
      <c r="AA127" s="360" t="str">
        <f t="shared" si="23"/>
        <v>scalaire</v>
      </c>
      <c r="AB127" s="360" t="str">
        <f t="shared" si="24"/>
        <v>Masse d'un moteur</v>
      </c>
      <c r="AC127" s="360" t="str">
        <f t="shared" si="25"/>
        <v>kg</v>
      </c>
      <c r="AD127" s="361" t="str">
        <f t="shared" si="26"/>
        <v>variable: engine_mass double input description= "Masse d'un moteur" units= "kg"</v>
      </c>
      <c r="AE127" s="359" t="str">
        <f t="shared" si="15"/>
        <v>Y13.propulsion.weight</v>
      </c>
      <c r="AF127" s="360" t="str">
        <f t="shared" si="16"/>
        <v/>
      </c>
      <c r="AG127" s="360" t="str">
        <f t="shared" si="17"/>
        <v/>
      </c>
      <c r="AH127" s="360" t="str">
        <f t="shared" si="18"/>
        <v/>
      </c>
      <c r="AI127" s="360" t="str">
        <f t="shared" si="19"/>
        <v/>
      </c>
      <c r="AJ127" s="361" t="str">
        <f t="shared" si="20"/>
        <v/>
      </c>
    </row>
    <row r="128" spans="2:36" x14ac:dyDescent="0.2">
      <c r="B128" s="309"/>
      <c r="C128" s="219" t="s">
        <v>175</v>
      </c>
      <c r="D128" s="98" t="s">
        <v>248</v>
      </c>
      <c r="E128" s="32" t="s">
        <v>249</v>
      </c>
      <c r="F128" s="149" t="s">
        <v>843</v>
      </c>
      <c r="G128" s="150" t="s">
        <v>175</v>
      </c>
      <c r="H128" s="216" t="s">
        <v>72</v>
      </c>
      <c r="I128" s="31" t="s">
        <v>587</v>
      </c>
      <c r="J128" s="217" t="s">
        <v>51</v>
      </c>
      <c r="K128" s="218" t="s">
        <v>88</v>
      </c>
      <c r="L128" s="31"/>
      <c r="M128" s="31"/>
      <c r="N128" s="31"/>
      <c r="O128" s="31"/>
      <c r="P128" s="32"/>
      <c r="Q128" s="151" t="s">
        <v>970</v>
      </c>
      <c r="R128" s="150">
        <v>113</v>
      </c>
      <c r="S128" s="119" t="s">
        <v>592</v>
      </c>
      <c r="T128" s="120"/>
      <c r="U128" s="7"/>
      <c r="V128" s="61"/>
      <c r="Y128" s="359" t="str">
        <f t="shared" si="21"/>
        <v>BLI_rate_table</v>
      </c>
      <c r="Z128" s="360" t="str">
        <f t="shared" si="22"/>
        <v>double[]</v>
      </c>
      <c r="AA128" s="360" t="str">
        <f t="shared" si="23"/>
        <v>table</v>
      </c>
      <c r="AB128" s="360" t="str">
        <f t="shared" si="24"/>
        <v>Taux d'enfouissement des moteurs</v>
      </c>
      <c r="AC128" s="360" t="str">
        <f t="shared" si="25"/>
        <v>(-)</v>
      </c>
      <c r="AD128" s="361" t="str">
        <f t="shared" si="26"/>
        <v>variable: BLI_rate_table double[] input description= "Taux d'enfouissement des moteurs" units= "(-)"</v>
      </c>
      <c r="AE128" s="359" t="str">
        <f t="shared" si="15"/>
        <v>X1.propulsion.BLI</v>
      </c>
      <c r="AF128" s="360" t="str">
        <f t="shared" si="16"/>
        <v/>
      </c>
      <c r="AG128" s="360" t="str">
        <f t="shared" si="17"/>
        <v/>
      </c>
      <c r="AH128" s="360" t="str">
        <f t="shared" si="18"/>
        <v/>
      </c>
      <c r="AI128" s="360" t="str">
        <f t="shared" si="19"/>
        <v/>
      </c>
      <c r="AJ128" s="361" t="str">
        <f t="shared" si="20"/>
        <v/>
      </c>
    </row>
    <row r="129" spans="2:36" ht="12.75" customHeight="1" x14ac:dyDescent="0.2">
      <c r="B129" s="309"/>
      <c r="C129" s="319" t="s">
        <v>342</v>
      </c>
      <c r="D129" s="98" t="s">
        <v>528</v>
      </c>
      <c r="E129" s="32" t="s">
        <v>511</v>
      </c>
      <c r="F129" s="149" t="s">
        <v>843</v>
      </c>
      <c r="G129" s="150" t="s">
        <v>850</v>
      </c>
      <c r="H129" s="216" t="s">
        <v>72</v>
      </c>
      <c r="I129" s="31" t="s">
        <v>587</v>
      </c>
      <c r="J129" s="217" t="s">
        <v>51</v>
      </c>
      <c r="K129" s="218" t="s">
        <v>88</v>
      </c>
      <c r="L129" s="31"/>
      <c r="M129" s="31"/>
      <c r="N129" s="31"/>
      <c r="O129" s="31"/>
      <c r="P129" s="32"/>
      <c r="Q129" s="151" t="s">
        <v>817</v>
      </c>
      <c r="R129" s="150">
        <v>114</v>
      </c>
      <c r="S129" s="119" t="s">
        <v>592</v>
      </c>
      <c r="T129" s="120"/>
      <c r="U129" s="7"/>
      <c r="V129" s="61"/>
      <c r="Y129" s="359" t="str">
        <f t="shared" si="21"/>
        <v>propulsion_takeoff_inputs_table</v>
      </c>
      <c r="Z129" s="360" t="str">
        <f t="shared" si="22"/>
        <v>double[]</v>
      </c>
      <c r="AA129" s="360" t="str">
        <f t="shared" si="23"/>
        <v>table</v>
      </c>
      <c r="AB129" s="360" t="str">
        <f t="shared" si="24"/>
        <v>Points de vol pour le calcul de la propulsion (z, Mach, disa, T5), pour le segment TakeOff</v>
      </c>
      <c r="AC129" s="360" t="str">
        <f t="shared" si="25"/>
        <v>(-)</v>
      </c>
      <c r="AD129" s="361" t="str">
        <f t="shared" si="26"/>
        <v>variable: propulsion_takeoff_inputs_table double[] input description= "Points de vol pour le calcul de la propulsion (z, Mach, disa, T5), pour le segment TakeOff" units= "(-)"</v>
      </c>
      <c r="AE129" s="359" t="str">
        <f t="shared" si="15"/>
        <v>X1.propulsion.inputs</v>
      </c>
      <c r="AF129" s="360" t="str">
        <f t="shared" si="16"/>
        <v/>
      </c>
      <c r="AG129" s="360" t="str">
        <f t="shared" si="17"/>
        <v/>
      </c>
      <c r="AH129" s="360" t="str">
        <f t="shared" si="18"/>
        <v/>
      </c>
      <c r="AI129" s="360" t="str">
        <f t="shared" si="19"/>
        <v/>
      </c>
      <c r="AJ129" s="361" t="str">
        <f t="shared" si="20"/>
        <v/>
      </c>
    </row>
    <row r="130" spans="2:36" ht="12.75" customHeight="1" x14ac:dyDescent="0.2">
      <c r="B130" s="309"/>
      <c r="C130" s="320"/>
      <c r="D130" s="98" t="s">
        <v>529</v>
      </c>
      <c r="E130" s="32" t="s">
        <v>516</v>
      </c>
      <c r="F130" s="149" t="s">
        <v>843</v>
      </c>
      <c r="G130" s="150" t="s">
        <v>850</v>
      </c>
      <c r="H130" s="216" t="s">
        <v>72</v>
      </c>
      <c r="I130" s="31" t="s">
        <v>587</v>
      </c>
      <c r="J130" s="217" t="s">
        <v>51</v>
      </c>
      <c r="K130" s="218" t="s">
        <v>88</v>
      </c>
      <c r="L130" s="31"/>
      <c r="M130" s="31"/>
      <c r="N130" s="31"/>
      <c r="O130" s="31"/>
      <c r="P130" s="32"/>
      <c r="Q130" s="151" t="s">
        <v>818</v>
      </c>
      <c r="R130" s="150">
        <v>115</v>
      </c>
      <c r="S130" s="119" t="s">
        <v>592</v>
      </c>
      <c r="T130" s="120"/>
      <c r="U130" s="7"/>
      <c r="V130" s="61"/>
      <c r="Y130" s="359" t="str">
        <f t="shared" si="21"/>
        <v>propulsion_climb_inputs_table</v>
      </c>
      <c r="Z130" s="360" t="str">
        <f t="shared" si="22"/>
        <v>double[]</v>
      </c>
      <c r="AA130" s="360" t="str">
        <f t="shared" si="23"/>
        <v>table</v>
      </c>
      <c r="AB130" s="360" t="str">
        <f t="shared" si="24"/>
        <v>Points de vol pour le calcul de la propulsion (z, Mach, disa, T5), pour le segment Climb</v>
      </c>
      <c r="AC130" s="360" t="str">
        <f t="shared" si="25"/>
        <v>(-)</v>
      </c>
      <c r="AD130" s="361" t="str">
        <f t="shared" si="26"/>
        <v>variable: propulsion_climb_inputs_table double[] input description= "Points de vol pour le calcul de la propulsion (z, Mach, disa, T5), pour le segment Climb" units= "(-)"</v>
      </c>
      <c r="AE130" s="359" t="str">
        <f t="shared" si="15"/>
        <v>X1.propulsion.inputs</v>
      </c>
      <c r="AF130" s="360" t="str">
        <f t="shared" si="16"/>
        <v/>
      </c>
      <c r="AG130" s="360" t="str">
        <f t="shared" si="17"/>
        <v/>
      </c>
      <c r="AH130" s="360" t="str">
        <f t="shared" si="18"/>
        <v/>
      </c>
      <c r="AI130" s="360" t="str">
        <f t="shared" si="19"/>
        <v/>
      </c>
      <c r="AJ130" s="361" t="str">
        <f t="shared" si="20"/>
        <v/>
      </c>
    </row>
    <row r="131" spans="2:36" ht="12.75" customHeight="1" x14ac:dyDescent="0.2">
      <c r="B131" s="309"/>
      <c r="C131" s="320"/>
      <c r="D131" s="98" t="s">
        <v>530</v>
      </c>
      <c r="E131" s="32" t="s">
        <v>517</v>
      </c>
      <c r="F131" s="149" t="s">
        <v>843</v>
      </c>
      <c r="G131" s="150" t="s">
        <v>850</v>
      </c>
      <c r="H131" s="216" t="s">
        <v>72</v>
      </c>
      <c r="I131" s="31" t="s">
        <v>587</v>
      </c>
      <c r="J131" s="217" t="s">
        <v>51</v>
      </c>
      <c r="K131" s="218" t="s">
        <v>88</v>
      </c>
      <c r="L131" s="31"/>
      <c r="M131" s="31"/>
      <c r="N131" s="31"/>
      <c r="O131" s="31"/>
      <c r="P131" s="32"/>
      <c r="Q131" s="151" t="s">
        <v>819</v>
      </c>
      <c r="R131" s="150">
        <v>116</v>
      </c>
      <c r="S131" s="119" t="s">
        <v>592</v>
      </c>
      <c r="T131" s="120"/>
      <c r="U131" s="7"/>
      <c r="V131" s="61"/>
      <c r="Y131" s="359" t="str">
        <f t="shared" si="21"/>
        <v>propulsion_cruise_inputs_table</v>
      </c>
      <c r="Z131" s="360" t="str">
        <f t="shared" si="22"/>
        <v>double[]</v>
      </c>
      <c r="AA131" s="360" t="str">
        <f t="shared" si="23"/>
        <v>table</v>
      </c>
      <c r="AB131" s="360" t="str">
        <f t="shared" si="24"/>
        <v>Points de vol pour le calcul de la propulsion (z, Mach, disa, T5), pour le segment Cruise</v>
      </c>
      <c r="AC131" s="360" t="str">
        <f t="shared" si="25"/>
        <v>(-)</v>
      </c>
      <c r="AD131" s="361" t="str">
        <f t="shared" si="26"/>
        <v>variable: propulsion_cruise_inputs_table double[] input description= "Points de vol pour le calcul de la propulsion (z, Mach, disa, T5), pour le segment Cruise" units= "(-)"</v>
      </c>
      <c r="AE131" s="359" t="str">
        <f t="shared" si="15"/>
        <v>X1.propulsion.inputs</v>
      </c>
      <c r="AF131" s="360" t="str">
        <f t="shared" si="16"/>
        <v/>
      </c>
      <c r="AG131" s="360" t="str">
        <f t="shared" si="17"/>
        <v/>
      </c>
      <c r="AH131" s="360" t="str">
        <f t="shared" si="18"/>
        <v/>
      </c>
      <c r="AI131" s="360" t="str">
        <f t="shared" si="19"/>
        <v/>
      </c>
      <c r="AJ131" s="361" t="str">
        <f t="shared" si="20"/>
        <v/>
      </c>
    </row>
    <row r="132" spans="2:36" ht="12.75" customHeight="1" x14ac:dyDescent="0.2">
      <c r="B132" s="309"/>
      <c r="C132" s="321"/>
      <c r="D132" s="98" t="s">
        <v>531</v>
      </c>
      <c r="E132" s="32" t="s">
        <v>518</v>
      </c>
      <c r="F132" s="149" t="s">
        <v>843</v>
      </c>
      <c r="G132" s="150" t="s">
        <v>850</v>
      </c>
      <c r="H132" s="216" t="s">
        <v>72</v>
      </c>
      <c r="I132" s="31" t="s">
        <v>587</v>
      </c>
      <c r="J132" s="217" t="s">
        <v>51</v>
      </c>
      <c r="K132" s="218" t="s">
        <v>88</v>
      </c>
      <c r="L132" s="31"/>
      <c r="M132" s="31"/>
      <c r="N132" s="31"/>
      <c r="O132" s="31"/>
      <c r="P132" s="32"/>
      <c r="Q132" s="151" t="s">
        <v>820</v>
      </c>
      <c r="R132" s="150">
        <v>117</v>
      </c>
      <c r="S132" s="119" t="s">
        <v>592</v>
      </c>
      <c r="T132" s="120"/>
      <c r="U132" s="7"/>
      <c r="V132" s="61"/>
      <c r="Y132" s="359" t="str">
        <f t="shared" si="21"/>
        <v>propulsion_descent_inputs_table</v>
      </c>
      <c r="Z132" s="360" t="str">
        <f t="shared" si="22"/>
        <v>double[]</v>
      </c>
      <c r="AA132" s="360" t="str">
        <f t="shared" si="23"/>
        <v>table</v>
      </c>
      <c r="AB132" s="360" t="str">
        <f t="shared" si="24"/>
        <v>Points de vol pour le calcul de la propulsion (z, Mach, disa, T5), pour le segment Descent</v>
      </c>
      <c r="AC132" s="360" t="str">
        <f t="shared" si="25"/>
        <v>(-)</v>
      </c>
      <c r="AD132" s="361" t="str">
        <f t="shared" si="26"/>
        <v>variable: propulsion_descent_inputs_table double[] input description= "Points de vol pour le calcul de la propulsion (z, Mach, disa, T5), pour le segment Descent" units= "(-)"</v>
      </c>
      <c r="AE132" s="359" t="str">
        <f t="shared" si="15"/>
        <v>X1.propulsion.inputs</v>
      </c>
      <c r="AF132" s="360" t="str">
        <f t="shared" si="16"/>
        <v/>
      </c>
      <c r="AG132" s="360" t="str">
        <f t="shared" si="17"/>
        <v/>
      </c>
      <c r="AH132" s="360" t="str">
        <f t="shared" si="18"/>
        <v/>
      </c>
      <c r="AI132" s="360" t="str">
        <f t="shared" si="19"/>
        <v/>
      </c>
      <c r="AJ132" s="361" t="str">
        <f t="shared" si="20"/>
        <v/>
      </c>
    </row>
    <row r="133" spans="2:36" x14ac:dyDescent="0.2">
      <c r="B133" s="309"/>
      <c r="C133" s="319" t="s">
        <v>121</v>
      </c>
      <c r="D133" s="98" t="s">
        <v>503</v>
      </c>
      <c r="E133" s="32" t="s">
        <v>506</v>
      </c>
      <c r="F133" s="149" t="s">
        <v>843</v>
      </c>
      <c r="G133" s="150" t="s">
        <v>687</v>
      </c>
      <c r="H133" s="216" t="s">
        <v>347</v>
      </c>
      <c r="I133" s="31" t="s">
        <v>13</v>
      </c>
      <c r="J133" s="217" t="s">
        <v>116</v>
      </c>
      <c r="K133" s="218" t="s">
        <v>117</v>
      </c>
      <c r="L133" s="31" t="s">
        <v>968</v>
      </c>
      <c r="M133" s="31"/>
      <c r="N133" s="31"/>
      <c r="O133" s="31"/>
      <c r="P133" s="32"/>
      <c r="Q133" s="151" t="s">
        <v>761</v>
      </c>
      <c r="R133" s="150">
        <v>118</v>
      </c>
      <c r="S133" s="119" t="s">
        <v>592</v>
      </c>
      <c r="T133" s="120"/>
      <c r="U133" s="7"/>
      <c r="V133" s="61"/>
      <c r="Y133" s="359" t="str">
        <f t="shared" si="21"/>
        <v>engine_nominal_thrust</v>
      </c>
      <c r="Z133" s="360" t="str">
        <f t="shared" si="22"/>
        <v>double</v>
      </c>
      <c r="AA133" s="360" t="str">
        <f t="shared" si="23"/>
        <v>scalaire</v>
      </c>
      <c r="AB133" s="360" t="str">
        <f t="shared" si="24"/>
        <v>Poussée d'un moteur au sol</v>
      </c>
      <c r="AC133" s="360" t="str">
        <f t="shared" si="25"/>
        <v>N</v>
      </c>
      <c r="AD133" s="361" t="str">
        <f t="shared" si="26"/>
        <v>variable: engine_nominal_thrust double input description= "Poussée d'un moteur au sol" units= "N"</v>
      </c>
      <c r="AE133" s="359" t="str">
        <f t="shared" si="15"/>
        <v>Y14.propulsion.thrust</v>
      </c>
      <c r="AF133" s="360" t="str">
        <f t="shared" si="16"/>
        <v>Y15.propulsion.thrust</v>
      </c>
      <c r="AG133" s="360" t="str">
        <f t="shared" si="17"/>
        <v/>
      </c>
      <c r="AH133" s="360" t="str">
        <f t="shared" si="18"/>
        <v/>
      </c>
      <c r="AI133" s="360" t="str">
        <f t="shared" si="19"/>
        <v/>
      </c>
      <c r="AJ133" s="361" t="str">
        <f t="shared" si="20"/>
        <v/>
      </c>
    </row>
    <row r="134" spans="2:36" x14ac:dyDescent="0.2">
      <c r="B134" s="309"/>
      <c r="C134" s="320"/>
      <c r="D134" s="98" t="s">
        <v>509</v>
      </c>
      <c r="E134" s="32" t="s">
        <v>512</v>
      </c>
      <c r="F134" s="149" t="s">
        <v>843</v>
      </c>
      <c r="G134" s="150" t="s">
        <v>687</v>
      </c>
      <c r="H134" s="216" t="s">
        <v>72</v>
      </c>
      <c r="I134" s="31" t="s">
        <v>587</v>
      </c>
      <c r="J134" s="217" t="s">
        <v>116</v>
      </c>
      <c r="K134" s="218" t="s">
        <v>117</v>
      </c>
      <c r="L134" s="31" t="s">
        <v>968</v>
      </c>
      <c r="M134" s="31"/>
      <c r="N134" s="31"/>
      <c r="O134" s="31"/>
      <c r="P134" s="32"/>
      <c r="Q134" s="151" t="s">
        <v>671</v>
      </c>
      <c r="R134" s="150">
        <v>119</v>
      </c>
      <c r="S134" s="119" t="s">
        <v>592</v>
      </c>
      <c r="T134" s="120"/>
      <c r="U134" s="7"/>
      <c r="V134" s="61"/>
      <c r="Y134" s="359" t="str">
        <f t="shared" si="21"/>
        <v>engine_takeoff_thrust_table</v>
      </c>
      <c r="Z134" s="360" t="str">
        <f t="shared" si="22"/>
        <v>double[]</v>
      </c>
      <c r="AA134" s="360" t="str">
        <f t="shared" si="23"/>
        <v>table</v>
      </c>
      <c r="AB134" s="360" t="str">
        <f t="shared" si="24"/>
        <v>Poussée d'un moteur aux points TablepropulsionTakeOff</v>
      </c>
      <c r="AC134" s="360" t="str">
        <f t="shared" si="25"/>
        <v>N</v>
      </c>
      <c r="AD134" s="361" t="str">
        <f t="shared" si="26"/>
        <v>variable: engine_takeoff_thrust_table double[] input description= "Poussée d'un moteur aux points TablepropulsionTakeOff" units= "N"</v>
      </c>
      <c r="AE134" s="359" t="str">
        <f t="shared" si="15"/>
        <v>Y14.propulsion.thrust</v>
      </c>
      <c r="AF134" s="360" t="str">
        <f t="shared" si="16"/>
        <v>Y15.propulsion.thrust</v>
      </c>
      <c r="AG134" s="360" t="str">
        <f t="shared" si="17"/>
        <v/>
      </c>
      <c r="AH134" s="360" t="str">
        <f t="shared" si="18"/>
        <v/>
      </c>
      <c r="AI134" s="360" t="str">
        <f t="shared" si="19"/>
        <v/>
      </c>
      <c r="AJ134" s="361" t="str">
        <f t="shared" si="20"/>
        <v/>
      </c>
    </row>
    <row r="135" spans="2:36" x14ac:dyDescent="0.2">
      <c r="B135" s="309"/>
      <c r="C135" s="320"/>
      <c r="D135" s="98" t="s">
        <v>510</v>
      </c>
      <c r="E135" s="32" t="s">
        <v>513</v>
      </c>
      <c r="F135" s="149" t="s">
        <v>843</v>
      </c>
      <c r="G135" s="150" t="s">
        <v>687</v>
      </c>
      <c r="H135" s="216" t="s">
        <v>72</v>
      </c>
      <c r="I135" s="31" t="s">
        <v>587</v>
      </c>
      <c r="J135" s="217" t="s">
        <v>116</v>
      </c>
      <c r="K135" s="218" t="s">
        <v>117</v>
      </c>
      <c r="L135" s="31" t="s">
        <v>968</v>
      </c>
      <c r="M135" s="31"/>
      <c r="N135" s="31"/>
      <c r="O135" s="31"/>
      <c r="P135" s="32"/>
      <c r="Q135" s="151" t="s">
        <v>672</v>
      </c>
      <c r="R135" s="150">
        <v>120</v>
      </c>
      <c r="S135" s="119" t="s">
        <v>592</v>
      </c>
      <c r="T135" s="120"/>
      <c r="U135" s="7"/>
      <c r="V135" s="61"/>
      <c r="Y135" s="359" t="str">
        <f t="shared" si="21"/>
        <v>engine_climb_thrust_table</v>
      </c>
      <c r="Z135" s="360" t="str">
        <f t="shared" si="22"/>
        <v>double[]</v>
      </c>
      <c r="AA135" s="360" t="str">
        <f t="shared" si="23"/>
        <v>table</v>
      </c>
      <c r="AB135" s="360" t="str">
        <f t="shared" si="24"/>
        <v>Poussée d'un moteur aux points TablepropulsionClimb</v>
      </c>
      <c r="AC135" s="360" t="str">
        <f t="shared" si="25"/>
        <v>N</v>
      </c>
      <c r="AD135" s="361" t="str">
        <f t="shared" si="26"/>
        <v>variable: engine_climb_thrust_table double[] input description= "Poussée d'un moteur aux points TablepropulsionClimb" units= "N"</v>
      </c>
      <c r="AE135" s="359" t="str">
        <f t="shared" si="15"/>
        <v>Y14.propulsion.thrust</v>
      </c>
      <c r="AF135" s="360" t="str">
        <f t="shared" si="16"/>
        <v>Y15.propulsion.thrust</v>
      </c>
      <c r="AG135" s="360" t="str">
        <f t="shared" si="17"/>
        <v/>
      </c>
      <c r="AH135" s="360" t="str">
        <f t="shared" si="18"/>
        <v/>
      </c>
      <c r="AI135" s="360" t="str">
        <f t="shared" si="19"/>
        <v/>
      </c>
      <c r="AJ135" s="361" t="str">
        <f t="shared" si="20"/>
        <v/>
      </c>
    </row>
    <row r="136" spans="2:36" x14ac:dyDescent="0.2">
      <c r="B136" s="309"/>
      <c r="C136" s="320"/>
      <c r="D136" s="98" t="s">
        <v>504</v>
      </c>
      <c r="E136" s="32" t="s">
        <v>514</v>
      </c>
      <c r="F136" s="149" t="s">
        <v>843</v>
      </c>
      <c r="G136" s="150" t="s">
        <v>687</v>
      </c>
      <c r="H136" s="216" t="s">
        <v>72</v>
      </c>
      <c r="I136" s="31" t="s">
        <v>587</v>
      </c>
      <c r="J136" s="217" t="s">
        <v>116</v>
      </c>
      <c r="K136" s="218" t="s">
        <v>117</v>
      </c>
      <c r="L136" s="31" t="s">
        <v>968</v>
      </c>
      <c r="M136" s="31"/>
      <c r="N136" s="31"/>
      <c r="O136" s="31"/>
      <c r="P136" s="32"/>
      <c r="Q136" s="151" t="s">
        <v>673</v>
      </c>
      <c r="R136" s="150">
        <v>121</v>
      </c>
      <c r="S136" s="119" t="s">
        <v>592</v>
      </c>
      <c r="T136" s="120"/>
      <c r="U136" s="7"/>
      <c r="V136" s="61"/>
      <c r="Y136" s="359" t="str">
        <f t="shared" si="21"/>
        <v>engine_cruise_thrust_table</v>
      </c>
      <c r="Z136" s="360" t="str">
        <f t="shared" si="22"/>
        <v>double[]</v>
      </c>
      <c r="AA136" s="360" t="str">
        <f t="shared" si="23"/>
        <v>table</v>
      </c>
      <c r="AB136" s="360" t="str">
        <f t="shared" si="24"/>
        <v>Poussée d'un moteur aux points TablepropulsionCruise</v>
      </c>
      <c r="AC136" s="360" t="str">
        <f t="shared" si="25"/>
        <v>N</v>
      </c>
      <c r="AD136" s="361" t="str">
        <f t="shared" si="26"/>
        <v>variable: engine_cruise_thrust_table double[] input description= "Poussée d'un moteur aux points TablepropulsionCruise" units= "N"</v>
      </c>
      <c r="AE136" s="359" t="str">
        <f t="shared" si="15"/>
        <v>Y14.propulsion.thrust</v>
      </c>
      <c r="AF136" s="360" t="str">
        <f t="shared" si="16"/>
        <v>Y15.propulsion.thrust</v>
      </c>
      <c r="AG136" s="360" t="str">
        <f t="shared" si="17"/>
        <v/>
      </c>
      <c r="AH136" s="360" t="str">
        <f t="shared" si="18"/>
        <v/>
      </c>
      <c r="AI136" s="360" t="str">
        <f t="shared" si="19"/>
        <v/>
      </c>
      <c r="AJ136" s="361" t="str">
        <f t="shared" si="20"/>
        <v/>
      </c>
    </row>
    <row r="137" spans="2:36" x14ac:dyDescent="0.2">
      <c r="B137" s="309"/>
      <c r="C137" s="321"/>
      <c r="D137" s="98" t="s">
        <v>508</v>
      </c>
      <c r="E137" s="32" t="s">
        <v>515</v>
      </c>
      <c r="F137" s="149" t="s">
        <v>843</v>
      </c>
      <c r="G137" s="150" t="s">
        <v>687</v>
      </c>
      <c r="H137" s="216" t="s">
        <v>72</v>
      </c>
      <c r="I137" s="31" t="s">
        <v>587</v>
      </c>
      <c r="J137" s="217" t="s">
        <v>116</v>
      </c>
      <c r="K137" s="218" t="s">
        <v>117</v>
      </c>
      <c r="L137" s="31" t="s">
        <v>968</v>
      </c>
      <c r="M137" s="31"/>
      <c r="N137" s="31"/>
      <c r="O137" s="31"/>
      <c r="P137" s="32"/>
      <c r="Q137" s="151" t="s">
        <v>674</v>
      </c>
      <c r="R137" s="150">
        <v>122</v>
      </c>
      <c r="S137" s="119" t="s">
        <v>592</v>
      </c>
      <c r="T137" s="120"/>
      <c r="U137" s="7"/>
      <c r="V137" s="61"/>
      <c r="Y137" s="359" t="str">
        <f t="shared" si="21"/>
        <v>engine_descent_thrust_table</v>
      </c>
      <c r="Z137" s="360" t="str">
        <f t="shared" si="22"/>
        <v>double[]</v>
      </c>
      <c r="AA137" s="360" t="str">
        <f t="shared" si="23"/>
        <v>table</v>
      </c>
      <c r="AB137" s="360" t="str">
        <f t="shared" si="24"/>
        <v>Poussée d'un moteur aux points TablepropulsionDescent</v>
      </c>
      <c r="AC137" s="360" t="str">
        <f t="shared" si="25"/>
        <v>N</v>
      </c>
      <c r="AD137" s="361" t="str">
        <f t="shared" si="26"/>
        <v>variable: engine_descent_thrust_table double[] input description= "Poussée d'un moteur aux points TablepropulsionDescent" units= "N"</v>
      </c>
      <c r="AE137" s="359" t="str">
        <f t="shared" si="15"/>
        <v>Y14.propulsion.thrust</v>
      </c>
      <c r="AF137" s="360" t="str">
        <f t="shared" si="16"/>
        <v>Y15.propulsion.thrust</v>
      </c>
      <c r="AG137" s="360" t="str">
        <f t="shared" si="17"/>
        <v/>
      </c>
      <c r="AH137" s="360" t="str">
        <f t="shared" si="18"/>
        <v/>
      </c>
      <c r="AI137" s="360" t="str">
        <f t="shared" si="19"/>
        <v/>
      </c>
      <c r="AJ137" s="361" t="str">
        <f t="shared" si="20"/>
        <v/>
      </c>
    </row>
    <row r="138" spans="2:36" x14ac:dyDescent="0.2">
      <c r="B138" s="309"/>
      <c r="C138" s="319" t="s">
        <v>176</v>
      </c>
      <c r="D138" s="98" t="s">
        <v>505</v>
      </c>
      <c r="E138" s="32" t="s">
        <v>535</v>
      </c>
      <c r="F138" s="149" t="s">
        <v>843</v>
      </c>
      <c r="G138" s="150" t="s">
        <v>851</v>
      </c>
      <c r="H138" s="216" t="s">
        <v>347</v>
      </c>
      <c r="I138" s="31" t="s">
        <v>13</v>
      </c>
      <c r="J138" s="217" t="s">
        <v>188</v>
      </c>
      <c r="K138" s="218" t="s">
        <v>117</v>
      </c>
      <c r="L138" s="31"/>
      <c r="M138" s="31"/>
      <c r="N138" s="31"/>
      <c r="O138" s="31"/>
      <c r="P138" s="32"/>
      <c r="Q138" s="151" t="s">
        <v>762</v>
      </c>
      <c r="R138" s="150">
        <v>123</v>
      </c>
      <c r="S138" s="119" t="s">
        <v>592</v>
      </c>
      <c r="T138" s="120"/>
      <c r="U138" s="7"/>
      <c r="V138" s="61"/>
      <c r="Y138" s="359" t="str">
        <f t="shared" si="21"/>
        <v>engine_nominal_consumption</v>
      </c>
      <c r="Z138" s="360" t="str">
        <f t="shared" si="22"/>
        <v>double</v>
      </c>
      <c r="AA138" s="360" t="str">
        <f t="shared" si="23"/>
        <v>scalaire</v>
      </c>
      <c r="AB138" s="360" t="str">
        <f t="shared" si="24"/>
        <v>Consommation spécifique d'un moteur au sol</v>
      </c>
      <c r="AC138" s="360" t="str">
        <f t="shared" si="25"/>
        <v>kg/s</v>
      </c>
      <c r="AD138" s="361" t="str">
        <f t="shared" si="26"/>
        <v>variable: engine_nominal_consumption double input description= "Consommation spécifique d'un moteur au sol" units= "kg/s"</v>
      </c>
      <c r="AE138" s="359" t="str">
        <f t="shared" si="15"/>
        <v>Y14.propulsion.consumption</v>
      </c>
      <c r="AF138" s="360" t="str">
        <f t="shared" si="16"/>
        <v/>
      </c>
      <c r="AG138" s="360" t="str">
        <f t="shared" si="17"/>
        <v/>
      </c>
      <c r="AH138" s="360" t="str">
        <f t="shared" si="18"/>
        <v/>
      </c>
      <c r="AI138" s="360" t="str">
        <f t="shared" si="19"/>
        <v/>
      </c>
      <c r="AJ138" s="361" t="str">
        <f t="shared" si="20"/>
        <v/>
      </c>
    </row>
    <row r="139" spans="2:36" x14ac:dyDescent="0.2">
      <c r="B139" s="309"/>
      <c r="C139" s="320"/>
      <c r="D139" s="98" t="s">
        <v>519</v>
      </c>
      <c r="E139" s="32" t="s">
        <v>536</v>
      </c>
      <c r="F139" s="149" t="s">
        <v>843</v>
      </c>
      <c r="G139" s="150" t="s">
        <v>851</v>
      </c>
      <c r="H139" s="216" t="s">
        <v>72</v>
      </c>
      <c r="I139" s="31" t="s">
        <v>587</v>
      </c>
      <c r="J139" s="217" t="s">
        <v>188</v>
      </c>
      <c r="K139" s="218" t="s">
        <v>117</v>
      </c>
      <c r="L139" s="31"/>
      <c r="M139" s="31"/>
      <c r="N139" s="31"/>
      <c r="O139" s="31"/>
      <c r="P139" s="32"/>
      <c r="Q139" s="151" t="s">
        <v>763</v>
      </c>
      <c r="R139" s="150">
        <v>124</v>
      </c>
      <c r="S139" s="119" t="s">
        <v>592</v>
      </c>
      <c r="T139" s="120"/>
      <c r="U139" s="7"/>
      <c r="V139" s="61"/>
      <c r="Y139" s="359" t="str">
        <f t="shared" si="21"/>
        <v>engine_takeoff_consumption_table</v>
      </c>
      <c r="Z139" s="360" t="str">
        <f t="shared" si="22"/>
        <v>double[]</v>
      </c>
      <c r="AA139" s="360" t="str">
        <f t="shared" si="23"/>
        <v>table</v>
      </c>
      <c r="AB139" s="360" t="str">
        <f t="shared" si="24"/>
        <v>Consommation spécifique d'un moteur aux points TablepropulsionTakeOff</v>
      </c>
      <c r="AC139" s="360" t="str">
        <f t="shared" si="25"/>
        <v>kg/s</v>
      </c>
      <c r="AD139" s="361" t="str">
        <f t="shared" si="26"/>
        <v>variable: engine_takeoff_consumption_table double[] input description= "Consommation spécifique d'un moteur aux points TablepropulsionTakeOff" units= "kg/s"</v>
      </c>
      <c r="AE139" s="359" t="str">
        <f t="shared" si="15"/>
        <v>Y14.propulsion.consumption</v>
      </c>
      <c r="AF139" s="360" t="str">
        <f t="shared" si="16"/>
        <v/>
      </c>
      <c r="AG139" s="360" t="str">
        <f t="shared" si="17"/>
        <v/>
      </c>
      <c r="AH139" s="360" t="str">
        <f t="shared" si="18"/>
        <v/>
      </c>
      <c r="AI139" s="360" t="str">
        <f t="shared" si="19"/>
        <v/>
      </c>
      <c r="AJ139" s="361" t="str">
        <f t="shared" si="20"/>
        <v/>
      </c>
    </row>
    <row r="140" spans="2:36" x14ac:dyDescent="0.2">
      <c r="B140" s="309"/>
      <c r="C140" s="320"/>
      <c r="D140" s="98" t="s">
        <v>520</v>
      </c>
      <c r="E140" s="32" t="s">
        <v>537</v>
      </c>
      <c r="F140" s="149" t="s">
        <v>843</v>
      </c>
      <c r="G140" s="150" t="s">
        <v>851</v>
      </c>
      <c r="H140" s="216" t="s">
        <v>72</v>
      </c>
      <c r="I140" s="31" t="s">
        <v>587</v>
      </c>
      <c r="J140" s="217" t="s">
        <v>188</v>
      </c>
      <c r="K140" s="218" t="s">
        <v>117</v>
      </c>
      <c r="L140" s="31"/>
      <c r="M140" s="31"/>
      <c r="N140" s="31"/>
      <c r="O140" s="31"/>
      <c r="P140" s="32"/>
      <c r="Q140" s="151" t="s">
        <v>764</v>
      </c>
      <c r="R140" s="150">
        <v>125</v>
      </c>
      <c r="S140" s="119" t="s">
        <v>592</v>
      </c>
      <c r="T140" s="120"/>
      <c r="U140" s="7"/>
      <c r="V140" s="61"/>
      <c r="Y140" s="359" t="str">
        <f t="shared" si="21"/>
        <v>engine_climb_consumption_table</v>
      </c>
      <c r="Z140" s="360" t="str">
        <f t="shared" si="22"/>
        <v>double[]</v>
      </c>
      <c r="AA140" s="360" t="str">
        <f t="shared" si="23"/>
        <v>table</v>
      </c>
      <c r="AB140" s="360" t="str">
        <f t="shared" si="24"/>
        <v>Consommation spécifique d'un moteur aux points TablepropulsionClimb</v>
      </c>
      <c r="AC140" s="360" t="str">
        <f t="shared" si="25"/>
        <v>kg/s</v>
      </c>
      <c r="AD140" s="361" t="str">
        <f t="shared" si="26"/>
        <v>variable: engine_climb_consumption_table double[] input description= "Consommation spécifique d'un moteur aux points TablepropulsionClimb" units= "kg/s"</v>
      </c>
      <c r="AE140" s="359" t="str">
        <f t="shared" si="15"/>
        <v>Y14.propulsion.consumption</v>
      </c>
      <c r="AF140" s="360" t="str">
        <f t="shared" si="16"/>
        <v/>
      </c>
      <c r="AG140" s="360" t="str">
        <f t="shared" si="17"/>
        <v/>
      </c>
      <c r="AH140" s="360" t="str">
        <f t="shared" si="18"/>
        <v/>
      </c>
      <c r="AI140" s="360" t="str">
        <f t="shared" si="19"/>
        <v/>
      </c>
      <c r="AJ140" s="361" t="str">
        <f t="shared" si="20"/>
        <v/>
      </c>
    </row>
    <row r="141" spans="2:36" x14ac:dyDescent="0.2">
      <c r="B141" s="309"/>
      <c r="C141" s="320"/>
      <c r="D141" s="98" t="s">
        <v>507</v>
      </c>
      <c r="E141" s="32" t="s">
        <v>538</v>
      </c>
      <c r="F141" s="149" t="s">
        <v>843</v>
      </c>
      <c r="G141" s="150" t="s">
        <v>851</v>
      </c>
      <c r="H141" s="216" t="s">
        <v>72</v>
      </c>
      <c r="I141" s="31" t="s">
        <v>587</v>
      </c>
      <c r="J141" s="217" t="s">
        <v>188</v>
      </c>
      <c r="K141" s="218" t="s">
        <v>117</v>
      </c>
      <c r="L141" s="31"/>
      <c r="M141" s="31"/>
      <c r="N141" s="31"/>
      <c r="O141" s="31"/>
      <c r="P141" s="32"/>
      <c r="Q141" s="151" t="s">
        <v>765</v>
      </c>
      <c r="R141" s="150">
        <v>126</v>
      </c>
      <c r="S141" s="119" t="s">
        <v>592</v>
      </c>
      <c r="T141" s="120"/>
      <c r="U141" s="7"/>
      <c r="V141" s="61"/>
      <c r="Y141" s="359" t="str">
        <f t="shared" si="21"/>
        <v>engine_cruise_consumption_table</v>
      </c>
      <c r="Z141" s="360" t="str">
        <f t="shared" si="22"/>
        <v>double[]</v>
      </c>
      <c r="AA141" s="360" t="str">
        <f t="shared" si="23"/>
        <v>table</v>
      </c>
      <c r="AB141" s="360" t="str">
        <f t="shared" si="24"/>
        <v>Consommation spécifique d'un moteur aux points TablepropulsionCruise</v>
      </c>
      <c r="AC141" s="360" t="str">
        <f t="shared" si="25"/>
        <v>kg/s</v>
      </c>
      <c r="AD141" s="361" t="str">
        <f t="shared" si="26"/>
        <v>variable: engine_cruise_consumption_table double[] input description= "Consommation spécifique d'un moteur aux points TablepropulsionCruise" units= "kg/s"</v>
      </c>
      <c r="AE141" s="359" t="str">
        <f t="shared" si="15"/>
        <v>Y14.propulsion.consumption</v>
      </c>
      <c r="AF141" s="360" t="str">
        <f t="shared" si="16"/>
        <v/>
      </c>
      <c r="AG141" s="360" t="str">
        <f t="shared" si="17"/>
        <v/>
      </c>
      <c r="AH141" s="360" t="str">
        <f t="shared" si="18"/>
        <v/>
      </c>
      <c r="AI141" s="360" t="str">
        <f t="shared" si="19"/>
        <v/>
      </c>
      <c r="AJ141" s="361" t="str">
        <f t="shared" si="20"/>
        <v/>
      </c>
    </row>
    <row r="142" spans="2:36" x14ac:dyDescent="0.2">
      <c r="B142" s="309"/>
      <c r="C142" s="321"/>
      <c r="D142" s="98" t="s">
        <v>521</v>
      </c>
      <c r="E142" s="32" t="s">
        <v>539</v>
      </c>
      <c r="F142" s="149" t="s">
        <v>843</v>
      </c>
      <c r="G142" s="150" t="s">
        <v>851</v>
      </c>
      <c r="H142" s="216" t="s">
        <v>72</v>
      </c>
      <c r="I142" s="31" t="s">
        <v>587</v>
      </c>
      <c r="J142" s="217" t="s">
        <v>188</v>
      </c>
      <c r="K142" s="218" t="s">
        <v>117</v>
      </c>
      <c r="L142" s="31"/>
      <c r="M142" s="31"/>
      <c r="N142" s="31"/>
      <c r="O142" s="31"/>
      <c r="P142" s="32"/>
      <c r="Q142" s="151" t="s">
        <v>766</v>
      </c>
      <c r="R142" s="150">
        <v>127</v>
      </c>
      <c r="S142" s="119" t="s">
        <v>592</v>
      </c>
      <c r="T142" s="120"/>
      <c r="U142" s="7"/>
      <c r="V142" s="61"/>
      <c r="Y142" s="359" t="str">
        <f t="shared" si="21"/>
        <v>engine_descent_consumption_table</v>
      </c>
      <c r="Z142" s="360" t="str">
        <f t="shared" si="22"/>
        <v>double[]</v>
      </c>
      <c r="AA142" s="360" t="str">
        <f t="shared" si="23"/>
        <v>table</v>
      </c>
      <c r="AB142" s="360" t="str">
        <f t="shared" si="24"/>
        <v>Consommation spécifique d'un moteur aux points TablepropulsionDescent</v>
      </c>
      <c r="AC142" s="360" t="str">
        <f t="shared" si="25"/>
        <v>kg/s</v>
      </c>
      <c r="AD142" s="361" t="str">
        <f t="shared" si="26"/>
        <v>variable: engine_descent_consumption_table double[] input description= "Consommation spécifique d'un moteur aux points TablepropulsionDescent" units= "kg/s"</v>
      </c>
      <c r="AE142" s="359" t="str">
        <f t="shared" si="15"/>
        <v>Y14.propulsion.consumption</v>
      </c>
      <c r="AF142" s="360" t="str">
        <f t="shared" si="16"/>
        <v/>
      </c>
      <c r="AG142" s="360" t="str">
        <f t="shared" si="17"/>
        <v/>
      </c>
      <c r="AH142" s="360" t="str">
        <f t="shared" si="18"/>
        <v/>
      </c>
      <c r="AI142" s="360" t="str">
        <f t="shared" si="19"/>
        <v/>
      </c>
      <c r="AJ142" s="361" t="str">
        <f t="shared" si="20"/>
        <v/>
      </c>
    </row>
    <row r="143" spans="2:36" x14ac:dyDescent="0.2">
      <c r="B143" s="309"/>
      <c r="C143" s="322" t="s">
        <v>187</v>
      </c>
      <c r="D143" s="98" t="s">
        <v>250</v>
      </c>
      <c r="E143" s="32" t="s">
        <v>251</v>
      </c>
      <c r="F143" s="149" t="s">
        <v>843</v>
      </c>
      <c r="G143" s="150" t="s">
        <v>852</v>
      </c>
      <c r="H143" s="216" t="s">
        <v>72</v>
      </c>
      <c r="I143" s="31" t="s">
        <v>587</v>
      </c>
      <c r="J143" s="217" t="s">
        <v>188</v>
      </c>
      <c r="K143" s="218" t="s">
        <v>189</v>
      </c>
      <c r="L143" s="31"/>
      <c r="M143" s="31"/>
      <c r="N143" s="31"/>
      <c r="O143" s="31"/>
      <c r="P143" s="32"/>
      <c r="Q143" s="151" t="s">
        <v>767</v>
      </c>
      <c r="R143" s="150">
        <v>128</v>
      </c>
      <c r="S143" s="119" t="s">
        <v>592</v>
      </c>
      <c r="T143" s="120"/>
      <c r="U143" s="7"/>
      <c r="V143" s="61"/>
      <c r="Y143" s="359" t="str">
        <f t="shared" si="21"/>
        <v>engine_total_flow_table</v>
      </c>
      <c r="Z143" s="360" t="str">
        <f t="shared" si="22"/>
        <v>double[]</v>
      </c>
      <c r="AA143" s="360" t="str">
        <f t="shared" si="23"/>
        <v>table</v>
      </c>
      <c r="AB143" s="360" t="str">
        <f t="shared" si="24"/>
        <v>Débit d'air des moteurs aux points Tablepropulsion</v>
      </c>
      <c r="AC143" s="360" t="str">
        <f t="shared" si="25"/>
        <v>kg/s</v>
      </c>
      <c r="AD143" s="361" t="str">
        <f t="shared" si="26"/>
        <v>variable: engine_total_flow_table double[] input description= "Débit d'air des moteurs aux points Tablepropulsion" units= "kg/s"</v>
      </c>
      <c r="AE143" s="359" t="str">
        <f t="shared" si="15"/>
        <v>Y12.propulsion.flow</v>
      </c>
      <c r="AF143" s="360" t="str">
        <f t="shared" si="16"/>
        <v/>
      </c>
      <c r="AG143" s="360" t="str">
        <f t="shared" si="17"/>
        <v/>
      </c>
      <c r="AH143" s="360" t="str">
        <f t="shared" si="18"/>
        <v/>
      </c>
      <c r="AI143" s="360" t="str">
        <f t="shared" si="19"/>
        <v/>
      </c>
      <c r="AJ143" s="361" t="str">
        <f t="shared" si="20"/>
        <v/>
      </c>
    </row>
    <row r="144" spans="2:36" x14ac:dyDescent="0.2">
      <c r="B144" s="309"/>
      <c r="C144" s="322"/>
      <c r="D144" s="98" t="s">
        <v>316</v>
      </c>
      <c r="E144" s="32" t="s">
        <v>318</v>
      </c>
      <c r="F144" s="149" t="s">
        <v>843</v>
      </c>
      <c r="G144" s="150" t="s">
        <v>852</v>
      </c>
      <c r="H144" s="216" t="s">
        <v>72</v>
      </c>
      <c r="I144" s="31" t="s">
        <v>587</v>
      </c>
      <c r="J144" s="217" t="s">
        <v>188</v>
      </c>
      <c r="K144" s="218" t="s">
        <v>189</v>
      </c>
      <c r="L144" s="31"/>
      <c r="M144" s="31"/>
      <c r="N144" s="31"/>
      <c r="O144" s="31"/>
      <c r="P144" s="32"/>
      <c r="Q144" s="151" t="s">
        <v>768</v>
      </c>
      <c r="R144" s="150">
        <v>129</v>
      </c>
      <c r="S144" s="119" t="s">
        <v>592</v>
      </c>
      <c r="T144" s="120"/>
      <c r="U144" s="7"/>
      <c r="V144" s="61"/>
      <c r="Y144" s="359" t="str">
        <f t="shared" si="21"/>
        <v>engine_primary_flow_table</v>
      </c>
      <c r="Z144" s="360" t="str">
        <f t="shared" si="22"/>
        <v>double[]</v>
      </c>
      <c r="AA144" s="360" t="str">
        <f t="shared" si="23"/>
        <v>table</v>
      </c>
      <c r="AB144" s="360" t="str">
        <f t="shared" si="24"/>
        <v>Débit du flux primaire</v>
      </c>
      <c r="AC144" s="360" t="str">
        <f t="shared" si="25"/>
        <v>kg/s</v>
      </c>
      <c r="AD144" s="361" t="str">
        <f t="shared" si="26"/>
        <v>variable: engine_primary_flow_table double[] input description= "Débit du flux primaire" units= "kg/s"</v>
      </c>
      <c r="AE144" s="359" t="str">
        <f t="shared" ref="AE144:AE207" si="27">CONCATENER_MODELCENTER(K144,$F144,$G144)</f>
        <v>Y12.propulsion.flow</v>
      </c>
      <c r="AF144" s="360" t="str">
        <f t="shared" ref="AF144:AF207" si="28">CONCATENER_MODELCENTER(L144,$F144,$G144)</f>
        <v/>
      </c>
      <c r="AG144" s="360" t="str">
        <f t="shared" ref="AG144:AG207" si="29">CONCATENER_MODELCENTER(M144,$F144,$G144)</f>
        <v/>
      </c>
      <c r="AH144" s="360" t="str">
        <f t="shared" ref="AH144:AH207" si="30">CONCATENER_MODELCENTER(N144,$F144,$G144)</f>
        <v/>
      </c>
      <c r="AI144" s="360" t="str">
        <f t="shared" ref="AI144:AI207" si="31">CONCATENER_MODELCENTER(O144,$F144,$G144)</f>
        <v/>
      </c>
      <c r="AJ144" s="361" t="str">
        <f t="shared" ref="AJ144:AJ207" si="32">CONCATENER_MODELCENTER(P144,$F144,$G144)</f>
        <v/>
      </c>
    </row>
    <row r="145" spans="2:36" x14ac:dyDescent="0.2">
      <c r="B145" s="309"/>
      <c r="C145" s="322"/>
      <c r="D145" s="98" t="s">
        <v>317</v>
      </c>
      <c r="E145" s="32" t="s">
        <v>319</v>
      </c>
      <c r="F145" s="149" t="s">
        <v>843</v>
      </c>
      <c r="G145" s="150" t="s">
        <v>852</v>
      </c>
      <c r="H145" s="216" t="s">
        <v>72</v>
      </c>
      <c r="I145" s="31" t="s">
        <v>587</v>
      </c>
      <c r="J145" s="217" t="s">
        <v>188</v>
      </c>
      <c r="K145" s="218" t="s">
        <v>189</v>
      </c>
      <c r="L145" s="31"/>
      <c r="M145" s="31"/>
      <c r="N145" s="31"/>
      <c r="O145" s="31"/>
      <c r="P145" s="32"/>
      <c r="Q145" s="151" t="s">
        <v>769</v>
      </c>
      <c r="R145" s="150">
        <v>130</v>
      </c>
      <c r="S145" s="119" t="s">
        <v>592</v>
      </c>
      <c r="T145" s="120"/>
      <c r="U145" s="7"/>
      <c r="V145" s="61"/>
      <c r="Y145" s="359" t="str">
        <f t="shared" ref="Y145:Y208" si="33">Q145</f>
        <v>engine_secondary_flow_table</v>
      </c>
      <c r="Z145" s="360" t="str">
        <f t="shared" ref="Z145:Z208" si="34">I145</f>
        <v>double[]</v>
      </c>
      <c r="AA145" s="360" t="str">
        <f t="shared" ref="AA145:AA208" si="35">H145</f>
        <v>table</v>
      </c>
      <c r="AB145" s="360" t="str">
        <f t="shared" ref="AB145:AB208" si="36">E145</f>
        <v>Débit du flux secondaire</v>
      </c>
      <c r="AC145" s="360" t="str">
        <f t="shared" ref="AC145:AC208" si="37">J145</f>
        <v>kg/s</v>
      </c>
      <c r="AD145" s="361" t="str">
        <f t="shared" ref="AD145:AD208" si="38">CONCATENATE(IF(S145="oui","#",""),"variable: ",Y145," ",Z145," input ","description= """,AB145,""" units= """,AC145,"""")</f>
        <v>variable: engine_secondary_flow_table double[] input description= "Débit du flux secondaire" units= "kg/s"</v>
      </c>
      <c r="AE145" s="359" t="str">
        <f t="shared" si="27"/>
        <v>Y12.propulsion.flow</v>
      </c>
      <c r="AF145" s="360" t="str">
        <f t="shared" si="28"/>
        <v/>
      </c>
      <c r="AG145" s="360" t="str">
        <f t="shared" si="29"/>
        <v/>
      </c>
      <c r="AH145" s="360" t="str">
        <f t="shared" si="30"/>
        <v/>
      </c>
      <c r="AI145" s="360" t="str">
        <f t="shared" si="31"/>
        <v/>
      </c>
      <c r="AJ145" s="361" t="str">
        <f t="shared" si="32"/>
        <v/>
      </c>
    </row>
    <row r="146" spans="2:36" x14ac:dyDescent="0.2">
      <c r="B146" s="309"/>
      <c r="C146" s="319" t="s">
        <v>461</v>
      </c>
      <c r="D146" s="98" t="s">
        <v>420</v>
      </c>
      <c r="E146" s="32" t="s">
        <v>421</v>
      </c>
      <c r="F146" s="149" t="s">
        <v>843</v>
      </c>
      <c r="G146" s="150" t="s">
        <v>853</v>
      </c>
      <c r="H146" s="216" t="s">
        <v>72</v>
      </c>
      <c r="I146" s="31" t="s">
        <v>587</v>
      </c>
      <c r="J146" s="217" t="s">
        <v>314</v>
      </c>
      <c r="K146" s="218" t="s">
        <v>185</v>
      </c>
      <c r="L146" s="31"/>
      <c r="M146" s="31"/>
      <c r="N146" s="31"/>
      <c r="O146" s="31"/>
      <c r="P146" s="32"/>
      <c r="Q146" s="151" t="s">
        <v>770</v>
      </c>
      <c r="R146" s="150">
        <v>131</v>
      </c>
      <c r="S146" s="119" t="s">
        <v>592</v>
      </c>
      <c r="T146" s="120"/>
      <c r="U146" s="7"/>
      <c r="V146" s="61"/>
      <c r="Y146" s="359" t="str">
        <f t="shared" si="33"/>
        <v>ambient_temperature_table</v>
      </c>
      <c r="Z146" s="360" t="str">
        <f t="shared" si="34"/>
        <v>double[]</v>
      </c>
      <c r="AA146" s="360" t="str">
        <f t="shared" si="35"/>
        <v>table</v>
      </c>
      <c r="AB146" s="360" t="str">
        <f t="shared" si="36"/>
        <v>Température de l'air ambiant</v>
      </c>
      <c r="AC146" s="360" t="str">
        <f t="shared" si="37"/>
        <v>K</v>
      </c>
      <c r="AD146" s="361" t="str">
        <f t="shared" si="38"/>
        <v>variable: ambient_temperature_table double[] input description= "Température de l'air ambiant" units= "K"</v>
      </c>
      <c r="AE146" s="359" t="str">
        <f t="shared" si="27"/>
        <v>Y1x.propulsion.acoustic_inputs</v>
      </c>
      <c r="AF146" s="360" t="str">
        <f t="shared" si="28"/>
        <v/>
      </c>
      <c r="AG146" s="360" t="str">
        <f t="shared" si="29"/>
        <v/>
      </c>
      <c r="AH146" s="360" t="str">
        <f t="shared" si="30"/>
        <v/>
      </c>
      <c r="AI146" s="360" t="str">
        <f t="shared" si="31"/>
        <v/>
      </c>
      <c r="AJ146" s="361" t="str">
        <f t="shared" si="32"/>
        <v/>
      </c>
    </row>
    <row r="147" spans="2:36" x14ac:dyDescent="0.2">
      <c r="B147" s="309"/>
      <c r="C147" s="320"/>
      <c r="D147" s="98" t="s">
        <v>422</v>
      </c>
      <c r="E147" s="32" t="s">
        <v>423</v>
      </c>
      <c r="F147" s="149" t="s">
        <v>843</v>
      </c>
      <c r="G147" s="150" t="s">
        <v>853</v>
      </c>
      <c r="H147" s="216" t="s">
        <v>72</v>
      </c>
      <c r="I147" s="31" t="s">
        <v>587</v>
      </c>
      <c r="J147" s="217" t="s">
        <v>424</v>
      </c>
      <c r="K147" s="218" t="s">
        <v>185</v>
      </c>
      <c r="L147" s="31"/>
      <c r="M147" s="31"/>
      <c r="N147" s="31"/>
      <c r="O147" s="31"/>
      <c r="P147" s="32"/>
      <c r="Q147" s="151" t="s">
        <v>771</v>
      </c>
      <c r="R147" s="150">
        <v>132</v>
      </c>
      <c r="S147" s="119" t="s">
        <v>592</v>
      </c>
      <c r="T147" s="120"/>
      <c r="U147" s="7"/>
      <c r="V147" s="61"/>
      <c r="Y147" s="359" t="str">
        <f t="shared" si="33"/>
        <v>ambient_pressure_table</v>
      </c>
      <c r="Z147" s="360" t="str">
        <f t="shared" si="34"/>
        <v>double[]</v>
      </c>
      <c r="AA147" s="360" t="str">
        <f t="shared" si="35"/>
        <v>table</v>
      </c>
      <c r="AB147" s="360" t="str">
        <f t="shared" si="36"/>
        <v>Pression de l'air ambiant</v>
      </c>
      <c r="AC147" s="360" t="str">
        <f t="shared" si="37"/>
        <v>Pa</v>
      </c>
      <c r="AD147" s="361" t="str">
        <f t="shared" si="38"/>
        <v>variable: ambient_pressure_table double[] input description= "Pression de l'air ambiant" units= "Pa"</v>
      </c>
      <c r="AE147" s="359" t="str">
        <f t="shared" si="27"/>
        <v>Y1x.propulsion.acoustic_inputs</v>
      </c>
      <c r="AF147" s="360" t="str">
        <f t="shared" si="28"/>
        <v/>
      </c>
      <c r="AG147" s="360" t="str">
        <f t="shared" si="29"/>
        <v/>
      </c>
      <c r="AH147" s="360" t="str">
        <f t="shared" si="30"/>
        <v/>
      </c>
      <c r="AI147" s="360" t="str">
        <f t="shared" si="31"/>
        <v/>
      </c>
      <c r="AJ147" s="361" t="str">
        <f t="shared" si="32"/>
        <v/>
      </c>
    </row>
    <row r="148" spans="2:36" x14ac:dyDescent="0.2">
      <c r="B148" s="309"/>
      <c r="C148" s="320"/>
      <c r="D148" s="98" t="s">
        <v>425</v>
      </c>
      <c r="E148" s="32" t="s">
        <v>426</v>
      </c>
      <c r="F148" s="149" t="s">
        <v>843</v>
      </c>
      <c r="G148" s="150" t="s">
        <v>853</v>
      </c>
      <c r="H148" s="71" t="s">
        <v>72</v>
      </c>
      <c r="I148" s="31" t="s">
        <v>587</v>
      </c>
      <c r="J148" s="217" t="s">
        <v>96</v>
      </c>
      <c r="K148" s="218" t="s">
        <v>185</v>
      </c>
      <c r="L148" s="31"/>
      <c r="M148" s="31"/>
      <c r="N148" s="31"/>
      <c r="O148" s="31"/>
      <c r="P148" s="32"/>
      <c r="Q148" s="151" t="s">
        <v>772</v>
      </c>
      <c r="R148" s="150">
        <v>133</v>
      </c>
      <c r="S148" s="119" t="s">
        <v>592</v>
      </c>
      <c r="T148" s="120"/>
      <c r="U148" s="7"/>
      <c r="V148" s="61"/>
      <c r="Y148" s="359" t="str">
        <f t="shared" si="33"/>
        <v>ambient_sound_velocity_table</v>
      </c>
      <c r="Z148" s="360" t="str">
        <f t="shared" si="34"/>
        <v>double[]</v>
      </c>
      <c r="AA148" s="360" t="str">
        <f t="shared" si="35"/>
        <v>table</v>
      </c>
      <c r="AB148" s="360" t="str">
        <f t="shared" si="36"/>
        <v>Vitesse du son de l'air ambiant</v>
      </c>
      <c r="AC148" s="360" t="str">
        <f t="shared" si="37"/>
        <v>m/s</v>
      </c>
      <c r="AD148" s="361" t="str">
        <f t="shared" si="38"/>
        <v>variable: ambient_sound_velocity_table double[] input description= "Vitesse du son de l'air ambiant" units= "m/s"</v>
      </c>
      <c r="AE148" s="359" t="str">
        <f t="shared" si="27"/>
        <v>Y1x.propulsion.acoustic_inputs</v>
      </c>
      <c r="AF148" s="360" t="str">
        <f t="shared" si="28"/>
        <v/>
      </c>
      <c r="AG148" s="360" t="str">
        <f t="shared" si="29"/>
        <v/>
      </c>
      <c r="AH148" s="360" t="str">
        <f t="shared" si="30"/>
        <v/>
      </c>
      <c r="AI148" s="360" t="str">
        <f t="shared" si="31"/>
        <v/>
      </c>
      <c r="AJ148" s="361" t="str">
        <f t="shared" si="32"/>
        <v/>
      </c>
    </row>
    <row r="149" spans="2:36" x14ac:dyDescent="0.2">
      <c r="B149" s="309"/>
      <c r="C149" s="320"/>
      <c r="D149" s="98" t="s">
        <v>427</v>
      </c>
      <c r="E149" s="32" t="s">
        <v>428</v>
      </c>
      <c r="F149" s="149" t="s">
        <v>843</v>
      </c>
      <c r="G149" s="150" t="s">
        <v>853</v>
      </c>
      <c r="H149" s="71" t="s">
        <v>72</v>
      </c>
      <c r="I149" s="31" t="s">
        <v>587</v>
      </c>
      <c r="J149" s="217" t="s">
        <v>429</v>
      </c>
      <c r="K149" s="218" t="s">
        <v>185</v>
      </c>
      <c r="L149" s="31"/>
      <c r="M149" s="31"/>
      <c r="N149" s="31"/>
      <c r="O149" s="31"/>
      <c r="P149" s="32"/>
      <c r="Q149" s="151" t="s">
        <v>773</v>
      </c>
      <c r="R149" s="150">
        <v>134</v>
      </c>
      <c r="S149" s="119" t="s">
        <v>592</v>
      </c>
      <c r="T149" s="120"/>
      <c r="U149" s="7"/>
      <c r="V149" s="61"/>
      <c r="Y149" s="359" t="str">
        <f t="shared" si="33"/>
        <v>ambient_air_density_table</v>
      </c>
      <c r="Z149" s="360" t="str">
        <f t="shared" si="34"/>
        <v>double[]</v>
      </c>
      <c r="AA149" s="360" t="str">
        <f t="shared" si="35"/>
        <v>table</v>
      </c>
      <c r="AB149" s="360" t="str">
        <f t="shared" si="36"/>
        <v>Masse volumique de l'air ambiant</v>
      </c>
      <c r="AC149" s="360" t="str">
        <f t="shared" si="37"/>
        <v>kg/m3</v>
      </c>
      <c r="AD149" s="361" t="str">
        <f t="shared" si="38"/>
        <v>variable: ambient_air_density_table double[] input description= "Masse volumique de l'air ambiant" units= "kg/m3"</v>
      </c>
      <c r="AE149" s="359" t="str">
        <f t="shared" si="27"/>
        <v>Y1x.propulsion.acoustic_inputs</v>
      </c>
      <c r="AF149" s="360" t="str">
        <f t="shared" si="28"/>
        <v/>
      </c>
      <c r="AG149" s="360" t="str">
        <f t="shared" si="29"/>
        <v/>
      </c>
      <c r="AH149" s="360" t="str">
        <f t="shared" si="30"/>
        <v/>
      </c>
      <c r="AI149" s="360" t="str">
        <f t="shared" si="31"/>
        <v/>
      </c>
      <c r="AJ149" s="361" t="str">
        <f t="shared" si="32"/>
        <v/>
      </c>
    </row>
    <row r="150" spans="2:36" x14ac:dyDescent="0.2">
      <c r="B150" s="309"/>
      <c r="C150" s="320"/>
      <c r="D150" s="98" t="s">
        <v>311</v>
      </c>
      <c r="E150" s="32" t="s">
        <v>313</v>
      </c>
      <c r="F150" s="149" t="s">
        <v>843</v>
      </c>
      <c r="G150" s="150" t="s">
        <v>853</v>
      </c>
      <c r="H150" s="216" t="s">
        <v>72</v>
      </c>
      <c r="I150" s="31" t="s">
        <v>587</v>
      </c>
      <c r="J150" s="217" t="s">
        <v>314</v>
      </c>
      <c r="K150" s="218" t="s">
        <v>185</v>
      </c>
      <c r="L150" s="31"/>
      <c r="M150" s="31"/>
      <c r="N150" s="31"/>
      <c r="O150" s="31"/>
      <c r="P150" s="32"/>
      <c r="Q150" s="151" t="s">
        <v>774</v>
      </c>
      <c r="R150" s="150">
        <v>135</v>
      </c>
      <c r="S150" s="119" t="s">
        <v>592</v>
      </c>
      <c r="T150" s="120"/>
      <c r="U150" s="7"/>
      <c r="V150" s="61"/>
      <c r="Y150" s="359" t="str">
        <f t="shared" si="33"/>
        <v>engine_primary_exhaust_temperature_table</v>
      </c>
      <c r="Z150" s="360" t="str">
        <f t="shared" si="34"/>
        <v>double[]</v>
      </c>
      <c r="AA150" s="360" t="str">
        <f t="shared" si="35"/>
        <v>table</v>
      </c>
      <c r="AB150" s="360" t="str">
        <f t="shared" si="36"/>
        <v>Température de sortie du flux primaire</v>
      </c>
      <c r="AC150" s="360" t="str">
        <f t="shared" si="37"/>
        <v>K</v>
      </c>
      <c r="AD150" s="361" t="str">
        <f t="shared" si="38"/>
        <v>variable: engine_primary_exhaust_temperature_table double[] input description= "Température de sortie du flux primaire" units= "K"</v>
      </c>
      <c r="AE150" s="359" t="str">
        <f t="shared" si="27"/>
        <v>Y1x.propulsion.acoustic_inputs</v>
      </c>
      <c r="AF150" s="360" t="str">
        <f t="shared" si="28"/>
        <v/>
      </c>
      <c r="AG150" s="360" t="str">
        <f t="shared" si="29"/>
        <v/>
      </c>
      <c r="AH150" s="360" t="str">
        <f t="shared" si="30"/>
        <v/>
      </c>
      <c r="AI150" s="360" t="str">
        <f t="shared" si="31"/>
        <v/>
      </c>
      <c r="AJ150" s="361" t="str">
        <f t="shared" si="32"/>
        <v/>
      </c>
    </row>
    <row r="151" spans="2:36" x14ac:dyDescent="0.2">
      <c r="B151" s="309"/>
      <c r="C151" s="320"/>
      <c r="D151" s="98" t="s">
        <v>312</v>
      </c>
      <c r="E151" s="32" t="s">
        <v>315</v>
      </c>
      <c r="F151" s="149" t="s">
        <v>843</v>
      </c>
      <c r="G151" s="150" t="s">
        <v>853</v>
      </c>
      <c r="H151" s="216" t="s">
        <v>72</v>
      </c>
      <c r="I151" s="31" t="s">
        <v>587</v>
      </c>
      <c r="J151" s="217" t="s">
        <v>314</v>
      </c>
      <c r="K151" s="218" t="s">
        <v>185</v>
      </c>
      <c r="L151" s="31"/>
      <c r="M151" s="31"/>
      <c r="N151" s="31"/>
      <c r="O151" s="31"/>
      <c r="P151" s="32"/>
      <c r="Q151" s="151" t="s">
        <v>775</v>
      </c>
      <c r="R151" s="150">
        <v>136</v>
      </c>
      <c r="S151" s="119" t="s">
        <v>592</v>
      </c>
      <c r="T151" s="120"/>
      <c r="U151" s="7"/>
      <c r="V151" s="61"/>
      <c r="Y151" s="359" t="str">
        <f t="shared" si="33"/>
        <v>engine_secondary_exhaust_temperature_table</v>
      </c>
      <c r="Z151" s="360" t="str">
        <f t="shared" si="34"/>
        <v>double[]</v>
      </c>
      <c r="AA151" s="360" t="str">
        <f t="shared" si="35"/>
        <v>table</v>
      </c>
      <c r="AB151" s="360" t="str">
        <f t="shared" si="36"/>
        <v>Température de sortie du flux secondaire</v>
      </c>
      <c r="AC151" s="360" t="str">
        <f t="shared" si="37"/>
        <v>K</v>
      </c>
      <c r="AD151" s="361" t="str">
        <f t="shared" si="38"/>
        <v>variable: engine_secondary_exhaust_temperature_table double[] input description= "Température de sortie du flux secondaire" units= "K"</v>
      </c>
      <c r="AE151" s="359" t="str">
        <f t="shared" si="27"/>
        <v>Y1x.propulsion.acoustic_inputs</v>
      </c>
      <c r="AF151" s="360" t="str">
        <f t="shared" si="28"/>
        <v/>
      </c>
      <c r="AG151" s="360" t="str">
        <f t="shared" si="29"/>
        <v/>
      </c>
      <c r="AH151" s="360" t="str">
        <f t="shared" si="30"/>
        <v/>
      </c>
      <c r="AI151" s="360" t="str">
        <f t="shared" si="31"/>
        <v/>
      </c>
      <c r="AJ151" s="361" t="str">
        <f t="shared" si="32"/>
        <v/>
      </c>
    </row>
    <row r="152" spans="2:36" x14ac:dyDescent="0.2">
      <c r="B152" s="309"/>
      <c r="C152" s="320"/>
      <c r="D152" s="98" t="s">
        <v>330</v>
      </c>
      <c r="E152" s="32" t="s">
        <v>328</v>
      </c>
      <c r="F152" s="149" t="s">
        <v>843</v>
      </c>
      <c r="G152" s="150" t="s">
        <v>853</v>
      </c>
      <c r="H152" s="216" t="s">
        <v>72</v>
      </c>
      <c r="I152" s="31" t="s">
        <v>587</v>
      </c>
      <c r="J152" s="217" t="s">
        <v>96</v>
      </c>
      <c r="K152" s="218" t="s">
        <v>185</v>
      </c>
      <c r="L152" s="31"/>
      <c r="M152" s="31"/>
      <c r="N152" s="31"/>
      <c r="O152" s="31"/>
      <c r="P152" s="32"/>
      <c r="Q152" s="151" t="s">
        <v>675</v>
      </c>
      <c r="R152" s="150">
        <v>137</v>
      </c>
      <c r="S152" s="119" t="s">
        <v>592</v>
      </c>
      <c r="T152" s="120"/>
      <c r="U152" s="7"/>
      <c r="V152" s="61"/>
      <c r="Y152" s="359" t="str">
        <f t="shared" si="33"/>
        <v>engine_primary_exhaust_speed_table</v>
      </c>
      <c r="Z152" s="360" t="str">
        <f t="shared" si="34"/>
        <v>double[]</v>
      </c>
      <c r="AA152" s="360" t="str">
        <f t="shared" si="35"/>
        <v>table</v>
      </c>
      <c r="AB152" s="360" t="str">
        <f t="shared" si="36"/>
        <v>Vitesse de sortie du flux primaire</v>
      </c>
      <c r="AC152" s="360" t="str">
        <f t="shared" si="37"/>
        <v>m/s</v>
      </c>
      <c r="AD152" s="361" t="str">
        <f t="shared" si="38"/>
        <v>variable: engine_primary_exhaust_speed_table double[] input description= "Vitesse de sortie du flux primaire" units= "m/s"</v>
      </c>
      <c r="AE152" s="359" t="str">
        <f t="shared" si="27"/>
        <v>Y1x.propulsion.acoustic_inputs</v>
      </c>
      <c r="AF152" s="360" t="str">
        <f t="shared" si="28"/>
        <v/>
      </c>
      <c r="AG152" s="360" t="str">
        <f t="shared" si="29"/>
        <v/>
      </c>
      <c r="AH152" s="360" t="str">
        <f t="shared" si="30"/>
        <v/>
      </c>
      <c r="AI152" s="360" t="str">
        <f t="shared" si="31"/>
        <v/>
      </c>
      <c r="AJ152" s="361" t="str">
        <f t="shared" si="32"/>
        <v/>
      </c>
    </row>
    <row r="153" spans="2:36" x14ac:dyDescent="0.2">
      <c r="B153" s="309"/>
      <c r="C153" s="320"/>
      <c r="D153" s="98" t="s">
        <v>331</v>
      </c>
      <c r="E153" s="32" t="s">
        <v>329</v>
      </c>
      <c r="F153" s="149" t="s">
        <v>843</v>
      </c>
      <c r="G153" s="150" t="s">
        <v>853</v>
      </c>
      <c r="H153" s="216" t="s">
        <v>72</v>
      </c>
      <c r="I153" s="31" t="s">
        <v>587</v>
      </c>
      <c r="J153" s="217" t="s">
        <v>96</v>
      </c>
      <c r="K153" s="218" t="s">
        <v>185</v>
      </c>
      <c r="L153" s="31"/>
      <c r="M153" s="31"/>
      <c r="N153" s="31"/>
      <c r="O153" s="31"/>
      <c r="P153" s="32"/>
      <c r="Q153" s="151" t="s">
        <v>676</v>
      </c>
      <c r="R153" s="150">
        <v>138</v>
      </c>
      <c r="S153" s="119" t="s">
        <v>592</v>
      </c>
      <c r="T153" s="120"/>
      <c r="U153" s="7"/>
      <c r="V153" s="61"/>
      <c r="Y153" s="359" t="str">
        <f t="shared" si="33"/>
        <v>engine_secondary_exhaust_speed_table</v>
      </c>
      <c r="Z153" s="360" t="str">
        <f t="shared" si="34"/>
        <v>double[]</v>
      </c>
      <c r="AA153" s="360" t="str">
        <f t="shared" si="35"/>
        <v>table</v>
      </c>
      <c r="AB153" s="360" t="str">
        <f t="shared" si="36"/>
        <v>Vitesse de sortie du flux secondaire</v>
      </c>
      <c r="AC153" s="360" t="str">
        <f t="shared" si="37"/>
        <v>m/s</v>
      </c>
      <c r="AD153" s="361" t="str">
        <f t="shared" si="38"/>
        <v>variable: engine_secondary_exhaust_speed_table double[] input description= "Vitesse de sortie du flux secondaire" units= "m/s"</v>
      </c>
      <c r="AE153" s="359" t="str">
        <f t="shared" si="27"/>
        <v>Y1x.propulsion.acoustic_inputs</v>
      </c>
      <c r="AF153" s="360" t="str">
        <f t="shared" si="28"/>
        <v/>
      </c>
      <c r="AG153" s="360" t="str">
        <f t="shared" si="29"/>
        <v/>
      </c>
      <c r="AH153" s="360" t="str">
        <f t="shared" si="30"/>
        <v/>
      </c>
      <c r="AI153" s="360" t="str">
        <f t="shared" si="31"/>
        <v/>
      </c>
      <c r="AJ153" s="361" t="str">
        <f t="shared" si="32"/>
        <v/>
      </c>
    </row>
    <row r="154" spans="2:36" x14ac:dyDescent="0.2">
      <c r="B154" s="309"/>
      <c r="C154" s="320"/>
      <c r="D154" s="98" t="s">
        <v>430</v>
      </c>
      <c r="E154" s="32" t="s">
        <v>431</v>
      </c>
      <c r="F154" s="149" t="s">
        <v>843</v>
      </c>
      <c r="G154" s="150" t="s">
        <v>853</v>
      </c>
      <c r="H154" s="216" t="s">
        <v>72</v>
      </c>
      <c r="I154" s="31" t="s">
        <v>587</v>
      </c>
      <c r="J154" s="217" t="s">
        <v>429</v>
      </c>
      <c r="K154" s="218" t="s">
        <v>185</v>
      </c>
      <c r="L154" s="31"/>
      <c r="M154" s="31"/>
      <c r="N154" s="31"/>
      <c r="O154" s="31"/>
      <c r="P154" s="32"/>
      <c r="Q154" s="151" t="s">
        <v>776</v>
      </c>
      <c r="R154" s="150">
        <v>139</v>
      </c>
      <c r="S154" s="119" t="s">
        <v>592</v>
      </c>
      <c r="T154" s="120"/>
      <c r="U154" s="7"/>
      <c r="V154" s="61"/>
      <c r="Y154" s="359" t="str">
        <f t="shared" si="33"/>
        <v>engine_primary_exhaust_gas_density_table</v>
      </c>
      <c r="Z154" s="360" t="str">
        <f t="shared" si="34"/>
        <v>double[]</v>
      </c>
      <c r="AA154" s="360" t="str">
        <f t="shared" si="35"/>
        <v>table</v>
      </c>
      <c r="AB154" s="360" t="str">
        <f t="shared" si="36"/>
        <v>Masse volumique du flux primaire</v>
      </c>
      <c r="AC154" s="360" t="str">
        <f t="shared" si="37"/>
        <v>kg/m3</v>
      </c>
      <c r="AD154" s="361" t="str">
        <f t="shared" si="38"/>
        <v>variable: engine_primary_exhaust_gas_density_table double[] input description= "Masse volumique du flux primaire" units= "kg/m3"</v>
      </c>
      <c r="AE154" s="359" t="str">
        <f t="shared" si="27"/>
        <v>Y1x.propulsion.acoustic_inputs</v>
      </c>
      <c r="AF154" s="360" t="str">
        <f t="shared" si="28"/>
        <v/>
      </c>
      <c r="AG154" s="360" t="str">
        <f t="shared" si="29"/>
        <v/>
      </c>
      <c r="AH154" s="360" t="str">
        <f t="shared" si="30"/>
        <v/>
      </c>
      <c r="AI154" s="360" t="str">
        <f t="shared" si="31"/>
        <v/>
      </c>
      <c r="AJ154" s="361" t="str">
        <f t="shared" si="32"/>
        <v/>
      </c>
    </row>
    <row r="155" spans="2:36" x14ac:dyDescent="0.2">
      <c r="B155" s="309"/>
      <c r="C155" s="320"/>
      <c r="D155" s="98" t="s">
        <v>432</v>
      </c>
      <c r="E155" s="32" t="s">
        <v>433</v>
      </c>
      <c r="F155" s="149" t="s">
        <v>843</v>
      </c>
      <c r="G155" s="150" t="s">
        <v>853</v>
      </c>
      <c r="H155" s="216" t="s">
        <v>72</v>
      </c>
      <c r="I155" s="31" t="s">
        <v>587</v>
      </c>
      <c r="J155" s="217" t="s">
        <v>314</v>
      </c>
      <c r="K155" s="218" t="s">
        <v>185</v>
      </c>
      <c r="L155" s="31"/>
      <c r="M155" s="31"/>
      <c r="N155" s="31"/>
      <c r="O155" s="31"/>
      <c r="P155" s="32"/>
      <c r="Q155" s="151" t="s">
        <v>777</v>
      </c>
      <c r="R155" s="150">
        <v>140</v>
      </c>
      <c r="S155" s="119" t="s">
        <v>592</v>
      </c>
      <c r="T155" s="120"/>
      <c r="U155" s="7"/>
      <c r="V155" s="61"/>
      <c r="Y155" s="359" t="str">
        <f t="shared" si="33"/>
        <v>engine_fan_delta_temperature_table</v>
      </c>
      <c r="Z155" s="360" t="str">
        <f t="shared" si="34"/>
        <v>double[]</v>
      </c>
      <c r="AA155" s="360" t="str">
        <f t="shared" si="35"/>
        <v>table</v>
      </c>
      <c r="AB155" s="360" t="str">
        <f t="shared" si="36"/>
        <v>Accroissement de température à travers la soufflante</v>
      </c>
      <c r="AC155" s="360" t="str">
        <f t="shared" si="37"/>
        <v>K</v>
      </c>
      <c r="AD155" s="361" t="str">
        <f t="shared" si="38"/>
        <v>variable: engine_fan_delta_temperature_table double[] input description= "Accroissement de température à travers la soufflante" units= "K"</v>
      </c>
      <c r="AE155" s="359" t="str">
        <f t="shared" si="27"/>
        <v>Y1x.propulsion.acoustic_inputs</v>
      </c>
      <c r="AF155" s="360" t="str">
        <f t="shared" si="28"/>
        <v/>
      </c>
      <c r="AG155" s="360" t="str">
        <f t="shared" si="29"/>
        <v/>
      </c>
      <c r="AH155" s="360" t="str">
        <f t="shared" si="30"/>
        <v/>
      </c>
      <c r="AI155" s="360" t="str">
        <f t="shared" si="31"/>
        <v/>
      </c>
      <c r="AJ155" s="361" t="str">
        <f t="shared" si="32"/>
        <v/>
      </c>
    </row>
    <row r="156" spans="2:36" x14ac:dyDescent="0.2">
      <c r="B156" s="309"/>
      <c r="C156" s="320"/>
      <c r="D156" s="98" t="s">
        <v>434</v>
      </c>
      <c r="E156" s="32" t="s">
        <v>435</v>
      </c>
      <c r="F156" s="149" t="s">
        <v>843</v>
      </c>
      <c r="G156" s="150" t="s">
        <v>853</v>
      </c>
      <c r="H156" s="216" t="s">
        <v>72</v>
      </c>
      <c r="I156" s="31" t="s">
        <v>587</v>
      </c>
      <c r="J156" s="217" t="s">
        <v>51</v>
      </c>
      <c r="K156" s="218" t="s">
        <v>185</v>
      </c>
      <c r="L156" s="31"/>
      <c r="M156" s="31"/>
      <c r="N156" s="31"/>
      <c r="O156" s="31"/>
      <c r="P156" s="32"/>
      <c r="Q156" s="151" t="s">
        <v>812</v>
      </c>
      <c r="R156" s="150">
        <v>141</v>
      </c>
      <c r="S156" s="119" t="s">
        <v>592</v>
      </c>
      <c r="T156" s="120"/>
      <c r="U156" s="7"/>
      <c r="V156" s="61"/>
      <c r="Y156" s="359" t="str">
        <f t="shared" si="33"/>
        <v>engine_fan_blade_tip_mach_number_table</v>
      </c>
      <c r="Z156" s="360" t="str">
        <f t="shared" si="34"/>
        <v>double[]</v>
      </c>
      <c r="AA156" s="360" t="str">
        <f t="shared" si="35"/>
        <v>table</v>
      </c>
      <c r="AB156" s="360" t="str">
        <f t="shared" si="36"/>
        <v>Mach en bout de pale</v>
      </c>
      <c r="AC156" s="360" t="str">
        <f t="shared" si="37"/>
        <v>(-)</v>
      </c>
      <c r="AD156" s="361" t="str">
        <f t="shared" si="38"/>
        <v>variable: engine_fan_blade_tip_mach_number_table double[] input description= "Mach en bout de pale" units= "(-)"</v>
      </c>
      <c r="AE156" s="359" t="str">
        <f t="shared" si="27"/>
        <v>Y1x.propulsion.acoustic_inputs</v>
      </c>
      <c r="AF156" s="360" t="str">
        <f t="shared" si="28"/>
        <v/>
      </c>
      <c r="AG156" s="360" t="str">
        <f t="shared" si="29"/>
        <v/>
      </c>
      <c r="AH156" s="360" t="str">
        <f t="shared" si="30"/>
        <v/>
      </c>
      <c r="AI156" s="360" t="str">
        <f t="shared" si="31"/>
        <v/>
      </c>
      <c r="AJ156" s="361" t="str">
        <f t="shared" si="32"/>
        <v/>
      </c>
    </row>
    <row r="157" spans="2:36" x14ac:dyDescent="0.2">
      <c r="B157" s="309"/>
      <c r="C157" s="320"/>
      <c r="D157" s="98" t="s">
        <v>436</v>
      </c>
      <c r="E157" s="32" t="s">
        <v>437</v>
      </c>
      <c r="F157" s="149" t="s">
        <v>843</v>
      </c>
      <c r="G157" s="150" t="s">
        <v>853</v>
      </c>
      <c r="H157" s="216" t="s">
        <v>72</v>
      </c>
      <c r="I157" s="31" t="s">
        <v>587</v>
      </c>
      <c r="J157" s="217" t="s">
        <v>51</v>
      </c>
      <c r="K157" s="218" t="s">
        <v>185</v>
      </c>
      <c r="L157" s="31"/>
      <c r="M157" s="31"/>
      <c r="N157" s="31"/>
      <c r="O157" s="31"/>
      <c r="P157" s="32"/>
      <c r="Q157" s="151" t="s">
        <v>813</v>
      </c>
      <c r="R157" s="150">
        <v>142</v>
      </c>
      <c r="S157" s="119" t="s">
        <v>592</v>
      </c>
      <c r="T157" s="120"/>
      <c r="U157" s="7"/>
      <c r="V157" s="61"/>
      <c r="Y157" s="359" t="str">
        <f t="shared" si="33"/>
        <v>engine_fan_blade_tip_relative_mach_number_table</v>
      </c>
      <c r="Z157" s="360" t="str">
        <f t="shared" si="34"/>
        <v>double[]</v>
      </c>
      <c r="AA157" s="360" t="str">
        <f t="shared" si="35"/>
        <v>table</v>
      </c>
      <c r="AB157" s="360" t="str">
        <f t="shared" si="36"/>
        <v>Mach relatif en bout de pale</v>
      </c>
      <c r="AC157" s="360" t="str">
        <f t="shared" si="37"/>
        <v>(-)</v>
      </c>
      <c r="AD157" s="361" t="str">
        <f t="shared" si="38"/>
        <v>variable: engine_fan_blade_tip_relative_mach_number_table double[] input description= "Mach relatif en bout de pale" units= "(-)"</v>
      </c>
      <c r="AE157" s="359" t="str">
        <f t="shared" si="27"/>
        <v>Y1x.propulsion.acoustic_inputs</v>
      </c>
      <c r="AF157" s="360" t="str">
        <f t="shared" si="28"/>
        <v/>
      </c>
      <c r="AG157" s="360" t="str">
        <f t="shared" si="29"/>
        <v/>
      </c>
      <c r="AH157" s="360" t="str">
        <f t="shared" si="30"/>
        <v/>
      </c>
      <c r="AI157" s="360" t="str">
        <f t="shared" si="31"/>
        <v/>
      </c>
      <c r="AJ157" s="361" t="str">
        <f t="shared" si="32"/>
        <v/>
      </c>
    </row>
    <row r="158" spans="2:36" x14ac:dyDescent="0.2">
      <c r="B158" s="309"/>
      <c r="C158" s="320"/>
      <c r="D158" s="98" t="s">
        <v>438</v>
      </c>
      <c r="E158" s="32" t="s">
        <v>439</v>
      </c>
      <c r="F158" s="149" t="s">
        <v>843</v>
      </c>
      <c r="G158" s="150" t="s">
        <v>853</v>
      </c>
      <c r="H158" s="216" t="s">
        <v>72</v>
      </c>
      <c r="I158" s="31" t="s">
        <v>587</v>
      </c>
      <c r="J158" s="217" t="s">
        <v>51</v>
      </c>
      <c r="K158" s="218" t="s">
        <v>185</v>
      </c>
      <c r="L158" s="31"/>
      <c r="M158" s="31"/>
      <c r="N158" s="31"/>
      <c r="O158" s="31"/>
      <c r="P158" s="32"/>
      <c r="Q158" s="151" t="s">
        <v>814</v>
      </c>
      <c r="R158" s="150">
        <v>143</v>
      </c>
      <c r="S158" s="119" t="s">
        <v>592</v>
      </c>
      <c r="T158" s="120"/>
      <c r="U158" s="7"/>
      <c r="V158" s="61"/>
      <c r="Y158" s="359" t="str">
        <f t="shared" si="33"/>
        <v>engine_fan_blade_tip_relative_nominal_mach_number_table</v>
      </c>
      <c r="Z158" s="360" t="str">
        <f t="shared" si="34"/>
        <v>double[]</v>
      </c>
      <c r="AA158" s="360" t="str">
        <f t="shared" si="35"/>
        <v>table</v>
      </c>
      <c r="AB158" s="360" t="str">
        <f t="shared" si="36"/>
        <v>Mach relatif en bout de pale nominal</v>
      </c>
      <c r="AC158" s="360" t="str">
        <f t="shared" si="37"/>
        <v>(-)</v>
      </c>
      <c r="AD158" s="361" t="str">
        <f t="shared" si="38"/>
        <v>variable: engine_fan_blade_tip_relative_nominal_mach_number_table double[] input description= "Mach relatif en bout de pale nominal" units= "(-)"</v>
      </c>
      <c r="AE158" s="359" t="str">
        <f t="shared" si="27"/>
        <v>Y1x.propulsion.acoustic_inputs</v>
      </c>
      <c r="AF158" s="360" t="str">
        <f t="shared" si="28"/>
        <v/>
      </c>
      <c r="AG158" s="360" t="str">
        <f t="shared" si="29"/>
        <v/>
      </c>
      <c r="AH158" s="360" t="str">
        <f t="shared" si="30"/>
        <v/>
      </c>
      <c r="AI158" s="360" t="str">
        <f t="shared" si="31"/>
        <v/>
      </c>
      <c r="AJ158" s="361" t="str">
        <f t="shared" si="32"/>
        <v/>
      </c>
    </row>
    <row r="159" spans="2:36" x14ac:dyDescent="0.2">
      <c r="B159" s="309"/>
      <c r="C159" s="320"/>
      <c r="D159" s="98" t="s">
        <v>440</v>
      </c>
      <c r="E159" s="32" t="s">
        <v>441</v>
      </c>
      <c r="F159" s="149" t="s">
        <v>843</v>
      </c>
      <c r="G159" s="150" t="s">
        <v>853</v>
      </c>
      <c r="H159" s="216" t="s">
        <v>347</v>
      </c>
      <c r="I159" s="31" t="s">
        <v>13</v>
      </c>
      <c r="J159" s="217" t="s">
        <v>12</v>
      </c>
      <c r="K159" s="218" t="s">
        <v>185</v>
      </c>
      <c r="L159" s="31"/>
      <c r="M159" s="31"/>
      <c r="N159" s="31"/>
      <c r="O159" s="31"/>
      <c r="P159" s="32"/>
      <c r="Q159" s="151" t="s">
        <v>778</v>
      </c>
      <c r="R159" s="150">
        <v>144</v>
      </c>
      <c r="S159" s="119" t="s">
        <v>592</v>
      </c>
      <c r="T159" s="120"/>
      <c r="U159" s="7"/>
      <c r="V159" s="61"/>
      <c r="Y159" s="359" t="str">
        <f t="shared" si="33"/>
        <v>engine_fan_rotor_stator_distance</v>
      </c>
      <c r="Z159" s="360" t="str">
        <f t="shared" si="34"/>
        <v>double</v>
      </c>
      <c r="AA159" s="360" t="str">
        <f t="shared" si="35"/>
        <v>scalaire</v>
      </c>
      <c r="AB159" s="360" t="str">
        <f t="shared" si="36"/>
        <v>Distance entre le rotor et le stator du fan</v>
      </c>
      <c r="AC159" s="360" t="str">
        <f t="shared" si="37"/>
        <v>m</v>
      </c>
      <c r="AD159" s="361" t="str">
        <f t="shared" si="38"/>
        <v>variable: engine_fan_rotor_stator_distance double input description= "Distance entre le rotor et le stator du fan" units= "m"</v>
      </c>
      <c r="AE159" s="359" t="str">
        <f t="shared" si="27"/>
        <v>Y1x.propulsion.acoustic_inputs</v>
      </c>
      <c r="AF159" s="360" t="str">
        <f t="shared" si="28"/>
        <v/>
      </c>
      <c r="AG159" s="360" t="str">
        <f t="shared" si="29"/>
        <v/>
      </c>
      <c r="AH159" s="360" t="str">
        <f t="shared" si="30"/>
        <v/>
      </c>
      <c r="AI159" s="360" t="str">
        <f t="shared" si="31"/>
        <v/>
      </c>
      <c r="AJ159" s="361" t="str">
        <f t="shared" si="32"/>
        <v/>
      </c>
    </row>
    <row r="160" spans="2:36" x14ac:dyDescent="0.2">
      <c r="B160" s="309"/>
      <c r="C160" s="320"/>
      <c r="D160" s="98" t="s">
        <v>442</v>
      </c>
      <c r="E160" s="32" t="s">
        <v>443</v>
      </c>
      <c r="F160" s="149" t="s">
        <v>843</v>
      </c>
      <c r="G160" s="150" t="s">
        <v>853</v>
      </c>
      <c r="H160" s="216" t="s">
        <v>347</v>
      </c>
      <c r="I160" s="31" t="s">
        <v>574</v>
      </c>
      <c r="J160" s="217" t="s">
        <v>51</v>
      </c>
      <c r="K160" s="218" t="s">
        <v>185</v>
      </c>
      <c r="L160" s="31"/>
      <c r="M160" s="31"/>
      <c r="N160" s="31"/>
      <c r="O160" s="31"/>
      <c r="P160" s="32"/>
      <c r="Q160" s="151" t="s">
        <v>779</v>
      </c>
      <c r="R160" s="150">
        <v>145</v>
      </c>
      <c r="S160" s="119" t="s">
        <v>592</v>
      </c>
      <c r="T160" s="120"/>
      <c r="U160" s="7"/>
      <c r="V160" s="61"/>
      <c r="Y160" s="359" t="str">
        <f t="shared" si="33"/>
        <v>engine_fan_stator_blade_number</v>
      </c>
      <c r="Z160" s="360" t="str">
        <f t="shared" si="34"/>
        <v>integer</v>
      </c>
      <c r="AA160" s="360" t="str">
        <f t="shared" si="35"/>
        <v>scalaire</v>
      </c>
      <c r="AB160" s="360" t="str">
        <f t="shared" si="36"/>
        <v>Nombre de pales du stator du fan</v>
      </c>
      <c r="AC160" s="360" t="str">
        <f t="shared" si="37"/>
        <v>(-)</v>
      </c>
      <c r="AD160" s="361" t="str">
        <f t="shared" si="38"/>
        <v>variable: engine_fan_stator_blade_number integer input description= "Nombre de pales du stator du fan" units= "(-)"</v>
      </c>
      <c r="AE160" s="359" t="str">
        <f t="shared" si="27"/>
        <v>Y1x.propulsion.acoustic_inputs</v>
      </c>
      <c r="AF160" s="360" t="str">
        <f t="shared" si="28"/>
        <v/>
      </c>
      <c r="AG160" s="360" t="str">
        <f t="shared" si="29"/>
        <v/>
      </c>
      <c r="AH160" s="360" t="str">
        <f t="shared" si="30"/>
        <v/>
      </c>
      <c r="AI160" s="360" t="str">
        <f t="shared" si="31"/>
        <v/>
      </c>
      <c r="AJ160" s="361" t="str">
        <f t="shared" si="32"/>
        <v/>
      </c>
    </row>
    <row r="161" spans="2:36" x14ac:dyDescent="0.2">
      <c r="B161" s="309"/>
      <c r="C161" s="320"/>
      <c r="D161" s="98" t="s">
        <v>444</v>
      </c>
      <c r="E161" s="32" t="s">
        <v>445</v>
      </c>
      <c r="F161" s="149" t="s">
        <v>843</v>
      </c>
      <c r="G161" s="150" t="s">
        <v>853</v>
      </c>
      <c r="H161" s="216" t="s">
        <v>347</v>
      </c>
      <c r="I161" s="31" t="s">
        <v>574</v>
      </c>
      <c r="J161" s="217" t="s">
        <v>51</v>
      </c>
      <c r="K161" s="218" t="s">
        <v>185</v>
      </c>
      <c r="L161" s="31"/>
      <c r="M161" s="31"/>
      <c r="N161" s="31"/>
      <c r="O161" s="31"/>
      <c r="P161" s="32"/>
      <c r="Q161" s="151" t="s">
        <v>780</v>
      </c>
      <c r="R161" s="150">
        <v>146</v>
      </c>
      <c r="S161" s="119" t="s">
        <v>592</v>
      </c>
      <c r="T161" s="120"/>
      <c r="U161" s="7"/>
      <c r="V161" s="61"/>
      <c r="Y161" s="359" t="str">
        <f t="shared" si="33"/>
        <v>engine_fan_rotor_blade_number</v>
      </c>
      <c r="Z161" s="360" t="str">
        <f t="shared" si="34"/>
        <v>integer</v>
      </c>
      <c r="AA161" s="360" t="str">
        <f t="shared" si="35"/>
        <v>scalaire</v>
      </c>
      <c r="AB161" s="360" t="str">
        <f t="shared" si="36"/>
        <v>Nombre de pales du rotor du fan</v>
      </c>
      <c r="AC161" s="360" t="str">
        <f t="shared" si="37"/>
        <v>(-)</v>
      </c>
      <c r="AD161" s="361" t="str">
        <f t="shared" si="38"/>
        <v>variable: engine_fan_rotor_blade_number integer input description= "Nombre de pales du rotor du fan" units= "(-)"</v>
      </c>
      <c r="AE161" s="359" t="str">
        <f t="shared" si="27"/>
        <v>Y1x.propulsion.acoustic_inputs</v>
      </c>
      <c r="AF161" s="360" t="str">
        <f t="shared" si="28"/>
        <v/>
      </c>
      <c r="AG161" s="360" t="str">
        <f t="shared" si="29"/>
        <v/>
      </c>
      <c r="AH161" s="360" t="str">
        <f t="shared" si="30"/>
        <v/>
      </c>
      <c r="AI161" s="360" t="str">
        <f t="shared" si="31"/>
        <v/>
      </c>
      <c r="AJ161" s="361" t="str">
        <f t="shared" si="32"/>
        <v/>
      </c>
    </row>
    <row r="162" spans="2:36" ht="13.5" thickBot="1" x14ac:dyDescent="0.25">
      <c r="B162" s="310"/>
      <c r="C162" s="323"/>
      <c r="D162" s="220" t="s">
        <v>320</v>
      </c>
      <c r="E162" s="221" t="s">
        <v>446</v>
      </c>
      <c r="F162" s="222" t="s">
        <v>843</v>
      </c>
      <c r="G162" s="223" t="s">
        <v>853</v>
      </c>
      <c r="H162" s="224" t="s">
        <v>72</v>
      </c>
      <c r="I162" s="33" t="s">
        <v>587</v>
      </c>
      <c r="J162" s="225" t="s">
        <v>321</v>
      </c>
      <c r="K162" s="226" t="s">
        <v>185</v>
      </c>
      <c r="L162" s="33"/>
      <c r="M162" s="33"/>
      <c r="N162" s="33"/>
      <c r="O162" s="33"/>
      <c r="P162" s="221"/>
      <c r="Q162" s="152" t="s">
        <v>677</v>
      </c>
      <c r="R162" s="223">
        <v>147</v>
      </c>
      <c r="S162" s="227" t="s">
        <v>592</v>
      </c>
      <c r="T162" s="228"/>
      <c r="U162" s="7"/>
      <c r="V162" s="61"/>
      <c r="Y162" s="359" t="str">
        <f t="shared" si="33"/>
        <v>engine_fan_rotation_rate_table</v>
      </c>
      <c r="Z162" s="360" t="str">
        <f t="shared" si="34"/>
        <v>double[]</v>
      </c>
      <c r="AA162" s="360" t="str">
        <f t="shared" si="35"/>
        <v>table</v>
      </c>
      <c r="AB162" s="360" t="str">
        <f t="shared" si="36"/>
        <v>Régime de rotation du rotor du fan</v>
      </c>
      <c r="AC162" s="360" t="str">
        <f t="shared" si="37"/>
        <v>tr/s</v>
      </c>
      <c r="AD162" s="361" t="str">
        <f t="shared" si="38"/>
        <v>variable: engine_fan_rotation_rate_table double[] input description= "Régime de rotation du rotor du fan" units= "tr/s"</v>
      </c>
      <c r="AE162" s="359" t="str">
        <f t="shared" si="27"/>
        <v>Y1x.propulsion.acoustic_inputs</v>
      </c>
      <c r="AF162" s="360" t="str">
        <f t="shared" si="28"/>
        <v/>
      </c>
      <c r="AG162" s="360" t="str">
        <f t="shared" si="29"/>
        <v/>
      </c>
      <c r="AH162" s="360" t="str">
        <f t="shared" si="30"/>
        <v/>
      </c>
      <c r="AI162" s="360" t="str">
        <f t="shared" si="31"/>
        <v/>
      </c>
      <c r="AJ162" s="361" t="str">
        <f t="shared" si="32"/>
        <v/>
      </c>
    </row>
    <row r="163" spans="2:36" x14ac:dyDescent="0.2">
      <c r="B163" s="328" t="s">
        <v>6</v>
      </c>
      <c r="C163" s="344" t="s">
        <v>71</v>
      </c>
      <c r="D163" s="153" t="s">
        <v>276</v>
      </c>
      <c r="E163" s="154" t="s">
        <v>278</v>
      </c>
      <c r="F163" s="155" t="s">
        <v>844</v>
      </c>
      <c r="G163" s="156" t="s">
        <v>854</v>
      </c>
      <c r="H163" s="157" t="s">
        <v>347</v>
      </c>
      <c r="I163" s="158" t="s">
        <v>574</v>
      </c>
      <c r="J163" s="159" t="s">
        <v>51</v>
      </c>
      <c r="K163" s="160" t="s">
        <v>74</v>
      </c>
      <c r="L163" s="158"/>
      <c r="M163" s="158"/>
      <c r="N163" s="158"/>
      <c r="O163" s="158"/>
      <c r="P163" s="154"/>
      <c r="Q163" s="176" t="s">
        <v>799</v>
      </c>
      <c r="R163" s="293">
        <v>148</v>
      </c>
      <c r="S163" s="161" t="s">
        <v>592</v>
      </c>
      <c r="T163" s="162"/>
      <c r="U163" s="7"/>
      <c r="V163" s="61"/>
      <c r="Y163" s="359" t="str">
        <f t="shared" si="33"/>
        <v>wing_airfoils_number_of_point</v>
      </c>
      <c r="Z163" s="360" t="str">
        <f t="shared" si="34"/>
        <v>integer</v>
      </c>
      <c r="AA163" s="360" t="str">
        <f t="shared" si="35"/>
        <v>scalaire</v>
      </c>
      <c r="AB163" s="360" t="str">
        <f t="shared" si="36"/>
        <v>Nombre de points des tables de profil aérodynamique</v>
      </c>
      <c r="AC163" s="360" t="str">
        <f t="shared" si="37"/>
        <v>(-)</v>
      </c>
      <c r="AD163" s="361" t="str">
        <f t="shared" si="38"/>
        <v>variable: wing_airfoils_number_of_point integer input description= "Nombre de points des tables de profil aérodynamique" units= "(-)"</v>
      </c>
      <c r="AE163" s="359" t="str">
        <f t="shared" si="27"/>
        <v>Y23.aerodynamics.airfoils</v>
      </c>
      <c r="AF163" s="360" t="str">
        <f t="shared" si="28"/>
        <v/>
      </c>
      <c r="AG163" s="360" t="str">
        <f t="shared" si="29"/>
        <v/>
      </c>
      <c r="AH163" s="360" t="str">
        <f t="shared" si="30"/>
        <v/>
      </c>
      <c r="AI163" s="360" t="str">
        <f t="shared" si="31"/>
        <v/>
      </c>
      <c r="AJ163" s="361" t="str">
        <f t="shared" si="32"/>
        <v/>
      </c>
    </row>
    <row r="164" spans="2:36" x14ac:dyDescent="0.2">
      <c r="B164" s="329"/>
      <c r="C164" s="330"/>
      <c r="D164" s="177" t="s">
        <v>257</v>
      </c>
      <c r="E164" s="178" t="s">
        <v>256</v>
      </c>
      <c r="F164" s="165" t="s">
        <v>844</v>
      </c>
      <c r="G164" s="166" t="s">
        <v>854</v>
      </c>
      <c r="H164" s="179" t="s">
        <v>72</v>
      </c>
      <c r="I164" s="167" t="s">
        <v>587</v>
      </c>
      <c r="J164" s="180" t="s">
        <v>51</v>
      </c>
      <c r="K164" s="181" t="s">
        <v>561</v>
      </c>
      <c r="L164" s="182" t="s">
        <v>964</v>
      </c>
      <c r="M164" s="182"/>
      <c r="N164" s="182"/>
      <c r="O164" s="182"/>
      <c r="P164" s="178"/>
      <c r="Q164" s="168" t="s">
        <v>971</v>
      </c>
      <c r="R164" s="166">
        <v>149</v>
      </c>
      <c r="S164" s="169" t="s">
        <v>592</v>
      </c>
      <c r="T164" s="170"/>
      <c r="U164" s="7"/>
      <c r="V164" s="61"/>
      <c r="Y164" s="359" t="str">
        <f t="shared" si="33"/>
        <v>airfoil_extrados_p0_table</v>
      </c>
      <c r="Z164" s="360" t="str">
        <f t="shared" si="34"/>
        <v>double[]</v>
      </c>
      <c r="AA164" s="360" t="str">
        <f t="shared" si="35"/>
        <v>table</v>
      </c>
      <c r="AB164" s="360" t="str">
        <f t="shared" si="36"/>
        <v>Profil aérodynamique au plan 0, coordonnées de l'extrados (BA vers BF)</v>
      </c>
      <c r="AC164" s="360" t="str">
        <f t="shared" si="37"/>
        <v>(-)</v>
      </c>
      <c r="AD164" s="361" t="str">
        <f t="shared" si="38"/>
        <v>variable: airfoil_extrados_p0_table double[] input description= "Profil aérodynamique au plan 0, coordonnées de l'extrados (BA vers BF)" units= "(-)"</v>
      </c>
      <c r="AE164" s="359" t="str">
        <f t="shared" si="27"/>
        <v>Y20.aerodynamics.airfoils</v>
      </c>
      <c r="AF164" s="360" t="str">
        <f t="shared" si="28"/>
        <v>Y32.aerodynamics.airfoils</v>
      </c>
      <c r="AG164" s="360" t="str">
        <f t="shared" si="29"/>
        <v/>
      </c>
      <c r="AH164" s="360" t="str">
        <f t="shared" si="30"/>
        <v/>
      </c>
      <c r="AI164" s="360" t="str">
        <f t="shared" si="31"/>
        <v/>
      </c>
      <c r="AJ164" s="361" t="str">
        <f t="shared" si="32"/>
        <v/>
      </c>
    </row>
    <row r="165" spans="2:36" x14ac:dyDescent="0.2">
      <c r="B165" s="329"/>
      <c r="C165" s="330"/>
      <c r="D165" s="177" t="s">
        <v>258</v>
      </c>
      <c r="E165" s="178" t="s">
        <v>267</v>
      </c>
      <c r="F165" s="165" t="s">
        <v>844</v>
      </c>
      <c r="G165" s="166" t="s">
        <v>854</v>
      </c>
      <c r="H165" s="179" t="s">
        <v>72</v>
      </c>
      <c r="I165" s="167" t="s">
        <v>587</v>
      </c>
      <c r="J165" s="180" t="s">
        <v>51</v>
      </c>
      <c r="K165" s="181" t="s">
        <v>561</v>
      </c>
      <c r="L165" s="182" t="s">
        <v>964</v>
      </c>
      <c r="M165" s="182"/>
      <c r="N165" s="182"/>
      <c r="O165" s="182"/>
      <c r="P165" s="178"/>
      <c r="Q165" s="168" t="s">
        <v>972</v>
      </c>
      <c r="R165" s="166">
        <v>150</v>
      </c>
      <c r="S165" s="169" t="s">
        <v>592</v>
      </c>
      <c r="T165" s="170"/>
      <c r="U165" s="7"/>
      <c r="V165" s="61"/>
      <c r="Y165" s="359" t="str">
        <f t="shared" si="33"/>
        <v>airfoil_intrados_p0_table</v>
      </c>
      <c r="Z165" s="360" t="str">
        <f t="shared" si="34"/>
        <v>double[]</v>
      </c>
      <c r="AA165" s="360" t="str">
        <f t="shared" si="35"/>
        <v>table</v>
      </c>
      <c r="AB165" s="360" t="str">
        <f t="shared" si="36"/>
        <v>Profil aérodynamique au plan 0, coordonnées de l'intrados (BA vers BF)</v>
      </c>
      <c r="AC165" s="360" t="str">
        <f t="shared" si="37"/>
        <v>(-)</v>
      </c>
      <c r="AD165" s="361" t="str">
        <f t="shared" si="38"/>
        <v>variable: airfoil_intrados_p0_table double[] input description= "Profil aérodynamique au plan 0, coordonnées de l'intrados (BA vers BF)" units= "(-)"</v>
      </c>
      <c r="AE165" s="359" t="str">
        <f t="shared" si="27"/>
        <v>Y20.aerodynamics.airfoils</v>
      </c>
      <c r="AF165" s="360" t="str">
        <f t="shared" si="28"/>
        <v>Y32.aerodynamics.airfoils</v>
      </c>
      <c r="AG165" s="360" t="str">
        <f t="shared" si="29"/>
        <v/>
      </c>
      <c r="AH165" s="360" t="str">
        <f t="shared" si="30"/>
        <v/>
      </c>
      <c r="AI165" s="360" t="str">
        <f t="shared" si="31"/>
        <v/>
      </c>
      <c r="AJ165" s="361" t="str">
        <f t="shared" si="32"/>
        <v/>
      </c>
    </row>
    <row r="166" spans="2:36" x14ac:dyDescent="0.2">
      <c r="B166" s="329"/>
      <c r="C166" s="330"/>
      <c r="D166" s="163" t="s">
        <v>489</v>
      </c>
      <c r="E166" s="164" t="s">
        <v>532</v>
      </c>
      <c r="F166" s="165" t="s">
        <v>844</v>
      </c>
      <c r="G166" s="166" t="s">
        <v>854</v>
      </c>
      <c r="H166" s="179" t="s">
        <v>72</v>
      </c>
      <c r="I166" s="167" t="s">
        <v>587</v>
      </c>
      <c r="J166" s="180" t="s">
        <v>51</v>
      </c>
      <c r="K166" s="181" t="s">
        <v>561</v>
      </c>
      <c r="L166" s="182" t="s">
        <v>964</v>
      </c>
      <c r="M166" s="182"/>
      <c r="N166" s="182"/>
      <c r="O166" s="182"/>
      <c r="P166" s="178"/>
      <c r="Q166" s="168" t="s">
        <v>973</v>
      </c>
      <c r="R166" s="166">
        <v>151</v>
      </c>
      <c r="S166" s="169" t="s">
        <v>592</v>
      </c>
      <c r="T166" s="170"/>
      <c r="U166" s="7"/>
      <c r="V166" s="61"/>
      <c r="Y166" s="359" t="str">
        <f t="shared" si="33"/>
        <v>airfoil_extrados_p0_1_table</v>
      </c>
      <c r="Z166" s="360" t="str">
        <f t="shared" si="34"/>
        <v>double[]</v>
      </c>
      <c r="AA166" s="360" t="str">
        <f t="shared" si="35"/>
        <v>table</v>
      </c>
      <c r="AB166" s="360" t="str">
        <f t="shared" si="36"/>
        <v>Profil aérodynamique au plan 0.1, coordonnées de l'extrados (BA vers BF)</v>
      </c>
      <c r="AC166" s="360" t="str">
        <f t="shared" si="37"/>
        <v>(-)</v>
      </c>
      <c r="AD166" s="361" t="str">
        <f t="shared" si="38"/>
        <v>variable: airfoil_extrados_p0_1_table double[] input description= "Profil aérodynamique au plan 0.1, coordonnées de l'extrados (BA vers BF)" units= "(-)"</v>
      </c>
      <c r="AE166" s="359" t="str">
        <f t="shared" si="27"/>
        <v>Y20.aerodynamics.airfoils</v>
      </c>
      <c r="AF166" s="360" t="str">
        <f t="shared" si="28"/>
        <v>Y32.aerodynamics.airfoils</v>
      </c>
      <c r="AG166" s="360" t="str">
        <f t="shared" si="29"/>
        <v/>
      </c>
      <c r="AH166" s="360" t="str">
        <f t="shared" si="30"/>
        <v/>
      </c>
      <c r="AI166" s="360" t="str">
        <f t="shared" si="31"/>
        <v/>
      </c>
      <c r="AJ166" s="361" t="str">
        <f t="shared" si="32"/>
        <v/>
      </c>
    </row>
    <row r="167" spans="2:36" x14ac:dyDescent="0.2">
      <c r="B167" s="329"/>
      <c r="C167" s="330"/>
      <c r="D167" s="163" t="s">
        <v>490</v>
      </c>
      <c r="E167" s="164" t="s">
        <v>533</v>
      </c>
      <c r="F167" s="165" t="s">
        <v>844</v>
      </c>
      <c r="G167" s="166" t="s">
        <v>854</v>
      </c>
      <c r="H167" s="179" t="s">
        <v>72</v>
      </c>
      <c r="I167" s="167" t="s">
        <v>587</v>
      </c>
      <c r="J167" s="180" t="s">
        <v>51</v>
      </c>
      <c r="K167" s="181" t="s">
        <v>561</v>
      </c>
      <c r="L167" s="182" t="s">
        <v>964</v>
      </c>
      <c r="M167" s="182"/>
      <c r="N167" s="182"/>
      <c r="O167" s="182"/>
      <c r="P167" s="178"/>
      <c r="Q167" s="168" t="s">
        <v>974</v>
      </c>
      <c r="R167" s="166">
        <v>152</v>
      </c>
      <c r="S167" s="169" t="s">
        <v>592</v>
      </c>
      <c r="T167" s="170"/>
      <c r="U167" s="7"/>
      <c r="V167" s="61"/>
      <c r="Y167" s="359" t="str">
        <f t="shared" si="33"/>
        <v>airfoil_intrados_p0_1_table</v>
      </c>
      <c r="Z167" s="360" t="str">
        <f t="shared" si="34"/>
        <v>double[]</v>
      </c>
      <c r="AA167" s="360" t="str">
        <f t="shared" si="35"/>
        <v>table</v>
      </c>
      <c r="AB167" s="360" t="str">
        <f t="shared" si="36"/>
        <v>Profil aérodynamique au plan 0.1, coordonnées de l'intrados (BA vers BF)</v>
      </c>
      <c r="AC167" s="360" t="str">
        <f t="shared" si="37"/>
        <v>(-)</v>
      </c>
      <c r="AD167" s="361" t="str">
        <f t="shared" si="38"/>
        <v>variable: airfoil_intrados_p0_1_table double[] input description= "Profil aérodynamique au plan 0.1, coordonnées de l'intrados (BA vers BF)" units= "(-)"</v>
      </c>
      <c r="AE167" s="359" t="str">
        <f t="shared" si="27"/>
        <v>Y20.aerodynamics.airfoils</v>
      </c>
      <c r="AF167" s="360" t="str">
        <f t="shared" si="28"/>
        <v>Y32.aerodynamics.airfoils</v>
      </c>
      <c r="AG167" s="360" t="str">
        <f t="shared" si="29"/>
        <v/>
      </c>
      <c r="AH167" s="360" t="str">
        <f t="shared" si="30"/>
        <v/>
      </c>
      <c r="AI167" s="360" t="str">
        <f t="shared" si="31"/>
        <v/>
      </c>
      <c r="AJ167" s="361" t="str">
        <f t="shared" si="32"/>
        <v/>
      </c>
    </row>
    <row r="168" spans="2:36" x14ac:dyDescent="0.2">
      <c r="B168" s="329"/>
      <c r="C168" s="330"/>
      <c r="D168" s="177" t="s">
        <v>259</v>
      </c>
      <c r="E168" s="178" t="s">
        <v>268</v>
      </c>
      <c r="F168" s="165" t="s">
        <v>844</v>
      </c>
      <c r="G168" s="166" t="s">
        <v>854</v>
      </c>
      <c r="H168" s="179" t="s">
        <v>72</v>
      </c>
      <c r="I168" s="167" t="s">
        <v>587</v>
      </c>
      <c r="J168" s="180" t="s">
        <v>51</v>
      </c>
      <c r="K168" s="181" t="s">
        <v>561</v>
      </c>
      <c r="L168" s="182" t="s">
        <v>964</v>
      </c>
      <c r="M168" s="182"/>
      <c r="N168" s="182"/>
      <c r="O168" s="182"/>
      <c r="P168" s="178"/>
      <c r="Q168" s="168" t="s">
        <v>975</v>
      </c>
      <c r="R168" s="166">
        <v>153</v>
      </c>
      <c r="S168" s="169" t="s">
        <v>592</v>
      </c>
      <c r="T168" s="170"/>
      <c r="U168" s="7"/>
      <c r="V168" s="61"/>
      <c r="Y168" s="359" t="str">
        <f t="shared" si="33"/>
        <v>airfoil_extrados_p1_table</v>
      </c>
      <c r="Z168" s="360" t="str">
        <f t="shared" si="34"/>
        <v>double[]</v>
      </c>
      <c r="AA168" s="360" t="str">
        <f t="shared" si="35"/>
        <v>table</v>
      </c>
      <c r="AB168" s="360" t="str">
        <f t="shared" si="36"/>
        <v>Profil aérodynamique au plan 1, coordonnées de l'extrados (BA vers BF)</v>
      </c>
      <c r="AC168" s="360" t="str">
        <f t="shared" si="37"/>
        <v>(-)</v>
      </c>
      <c r="AD168" s="361" t="str">
        <f t="shared" si="38"/>
        <v>variable: airfoil_extrados_p1_table double[] input description= "Profil aérodynamique au plan 1, coordonnées de l'extrados (BA vers BF)" units= "(-)"</v>
      </c>
      <c r="AE168" s="359" t="str">
        <f t="shared" si="27"/>
        <v>Y20.aerodynamics.airfoils</v>
      </c>
      <c r="AF168" s="360" t="str">
        <f t="shared" si="28"/>
        <v>Y32.aerodynamics.airfoils</v>
      </c>
      <c r="AG168" s="360" t="str">
        <f t="shared" si="29"/>
        <v/>
      </c>
      <c r="AH168" s="360" t="str">
        <f t="shared" si="30"/>
        <v/>
      </c>
      <c r="AI168" s="360" t="str">
        <f t="shared" si="31"/>
        <v/>
      </c>
      <c r="AJ168" s="361" t="str">
        <f t="shared" si="32"/>
        <v/>
      </c>
    </row>
    <row r="169" spans="2:36" x14ac:dyDescent="0.2">
      <c r="B169" s="329"/>
      <c r="C169" s="330"/>
      <c r="D169" s="177" t="s">
        <v>260</v>
      </c>
      <c r="E169" s="178" t="s">
        <v>269</v>
      </c>
      <c r="F169" s="165" t="s">
        <v>844</v>
      </c>
      <c r="G169" s="166" t="s">
        <v>854</v>
      </c>
      <c r="H169" s="179" t="s">
        <v>72</v>
      </c>
      <c r="I169" s="167" t="s">
        <v>587</v>
      </c>
      <c r="J169" s="180" t="s">
        <v>51</v>
      </c>
      <c r="K169" s="181" t="s">
        <v>561</v>
      </c>
      <c r="L169" s="182" t="s">
        <v>964</v>
      </c>
      <c r="M169" s="182"/>
      <c r="N169" s="182"/>
      <c r="O169" s="182"/>
      <c r="P169" s="178"/>
      <c r="Q169" s="168" t="s">
        <v>976</v>
      </c>
      <c r="R169" s="166">
        <v>154</v>
      </c>
      <c r="S169" s="169" t="s">
        <v>592</v>
      </c>
      <c r="T169" s="170"/>
      <c r="U169" s="7"/>
      <c r="V169" s="61"/>
      <c r="Y169" s="359" t="str">
        <f t="shared" si="33"/>
        <v>airfoil_intrados_p1_table</v>
      </c>
      <c r="Z169" s="360" t="str">
        <f t="shared" si="34"/>
        <v>double[]</v>
      </c>
      <c r="AA169" s="360" t="str">
        <f t="shared" si="35"/>
        <v>table</v>
      </c>
      <c r="AB169" s="360" t="str">
        <f t="shared" si="36"/>
        <v>Profil aérodynamique au plan 1, coordonnées de l'intrados (BA vers BF)</v>
      </c>
      <c r="AC169" s="360" t="str">
        <f t="shared" si="37"/>
        <v>(-)</v>
      </c>
      <c r="AD169" s="361" t="str">
        <f t="shared" si="38"/>
        <v>variable: airfoil_intrados_p1_table double[] input description= "Profil aérodynamique au plan 1, coordonnées de l'intrados (BA vers BF)" units= "(-)"</v>
      </c>
      <c r="AE169" s="359" t="str">
        <f t="shared" si="27"/>
        <v>Y20.aerodynamics.airfoils</v>
      </c>
      <c r="AF169" s="360" t="str">
        <f t="shared" si="28"/>
        <v>Y32.aerodynamics.airfoils</v>
      </c>
      <c r="AG169" s="360" t="str">
        <f t="shared" si="29"/>
        <v/>
      </c>
      <c r="AH169" s="360" t="str">
        <f t="shared" si="30"/>
        <v/>
      </c>
      <c r="AI169" s="360" t="str">
        <f t="shared" si="31"/>
        <v/>
      </c>
      <c r="AJ169" s="361" t="str">
        <f t="shared" si="32"/>
        <v/>
      </c>
    </row>
    <row r="170" spans="2:36" ht="12" customHeight="1" x14ac:dyDescent="0.2">
      <c r="B170" s="329"/>
      <c r="C170" s="330"/>
      <c r="D170" s="177" t="s">
        <v>261</v>
      </c>
      <c r="E170" s="178" t="s">
        <v>270</v>
      </c>
      <c r="F170" s="165" t="s">
        <v>844</v>
      </c>
      <c r="G170" s="166" t="s">
        <v>854</v>
      </c>
      <c r="H170" s="179" t="s">
        <v>72</v>
      </c>
      <c r="I170" s="167" t="s">
        <v>587</v>
      </c>
      <c r="J170" s="180" t="s">
        <v>51</v>
      </c>
      <c r="K170" s="181" t="s">
        <v>118</v>
      </c>
      <c r="L170" s="182" t="s">
        <v>561</v>
      </c>
      <c r="M170" s="182" t="s">
        <v>74</v>
      </c>
      <c r="N170" s="182"/>
      <c r="O170" s="182"/>
      <c r="P170" s="178"/>
      <c r="Q170" s="168" t="s">
        <v>977</v>
      </c>
      <c r="R170" s="166">
        <v>155</v>
      </c>
      <c r="S170" s="169" t="s">
        <v>592</v>
      </c>
      <c r="T170" s="170"/>
      <c r="U170" s="7"/>
      <c r="V170" s="61"/>
      <c r="Y170" s="359" t="str">
        <f t="shared" si="33"/>
        <v>airfoil_extrados_p2_table</v>
      </c>
      <c r="Z170" s="360" t="str">
        <f t="shared" si="34"/>
        <v>double[]</v>
      </c>
      <c r="AA170" s="360" t="str">
        <f t="shared" si="35"/>
        <v>table</v>
      </c>
      <c r="AB170" s="360" t="str">
        <f t="shared" si="36"/>
        <v>Profil aérodynamique au plan 2, coordonnées de l'extrados (BA vers BF)</v>
      </c>
      <c r="AC170" s="360" t="str">
        <f t="shared" si="37"/>
        <v>(-)</v>
      </c>
      <c r="AD170" s="361" t="str">
        <f t="shared" si="38"/>
        <v>variable: airfoil_extrados_p2_table double[] input description= "Profil aérodynamique au plan 2, coordonnées de l'extrados (BA vers BF)" units= "(-)"</v>
      </c>
      <c r="AE170" s="359" t="str">
        <f t="shared" si="27"/>
        <v>X2.aerodynamics.airfoils</v>
      </c>
      <c r="AF170" s="360" t="str">
        <f t="shared" si="28"/>
        <v>Y20.aerodynamics.airfoils</v>
      </c>
      <c r="AG170" s="360" t="str">
        <f t="shared" si="29"/>
        <v>Y23.aerodynamics.airfoils</v>
      </c>
      <c r="AH170" s="360" t="str">
        <f t="shared" si="30"/>
        <v/>
      </c>
      <c r="AI170" s="360" t="str">
        <f t="shared" si="31"/>
        <v/>
      </c>
      <c r="AJ170" s="361" t="str">
        <f t="shared" si="32"/>
        <v/>
      </c>
    </row>
    <row r="171" spans="2:36" ht="12.75" customHeight="1" x14ac:dyDescent="0.2">
      <c r="B171" s="329"/>
      <c r="C171" s="330"/>
      <c r="D171" s="177" t="s">
        <v>262</v>
      </c>
      <c r="E171" s="178" t="s">
        <v>271</v>
      </c>
      <c r="F171" s="165" t="s">
        <v>844</v>
      </c>
      <c r="G171" s="166" t="s">
        <v>854</v>
      </c>
      <c r="H171" s="179" t="s">
        <v>72</v>
      </c>
      <c r="I171" s="167" t="s">
        <v>587</v>
      </c>
      <c r="J171" s="180" t="s">
        <v>51</v>
      </c>
      <c r="K171" s="181" t="s">
        <v>118</v>
      </c>
      <c r="L171" s="182" t="s">
        <v>561</v>
      </c>
      <c r="M171" s="182" t="s">
        <v>74</v>
      </c>
      <c r="N171" s="182"/>
      <c r="O171" s="182"/>
      <c r="P171" s="178"/>
      <c r="Q171" s="168" t="s">
        <v>978</v>
      </c>
      <c r="R171" s="166">
        <v>156</v>
      </c>
      <c r="S171" s="169" t="s">
        <v>592</v>
      </c>
      <c r="T171" s="170"/>
      <c r="U171" s="7"/>
      <c r="V171" s="61"/>
      <c r="Y171" s="359" t="str">
        <f t="shared" si="33"/>
        <v>airfoil_intrados_p2_table</v>
      </c>
      <c r="Z171" s="360" t="str">
        <f t="shared" si="34"/>
        <v>double[]</v>
      </c>
      <c r="AA171" s="360" t="str">
        <f t="shared" si="35"/>
        <v>table</v>
      </c>
      <c r="AB171" s="360" t="str">
        <f t="shared" si="36"/>
        <v>Profil aérodynamique au plan 2, coordonnées de l'intrados (BA vers BF)</v>
      </c>
      <c r="AC171" s="360" t="str">
        <f t="shared" si="37"/>
        <v>(-)</v>
      </c>
      <c r="AD171" s="361" t="str">
        <f t="shared" si="38"/>
        <v>variable: airfoil_intrados_p2_table double[] input description= "Profil aérodynamique au plan 2, coordonnées de l'intrados (BA vers BF)" units= "(-)"</v>
      </c>
      <c r="AE171" s="359" t="str">
        <f t="shared" si="27"/>
        <v>X2.aerodynamics.airfoils</v>
      </c>
      <c r="AF171" s="360" t="str">
        <f t="shared" si="28"/>
        <v>Y20.aerodynamics.airfoils</v>
      </c>
      <c r="AG171" s="360" t="str">
        <f t="shared" si="29"/>
        <v>Y23.aerodynamics.airfoils</v>
      </c>
      <c r="AH171" s="360" t="str">
        <f t="shared" si="30"/>
        <v/>
      </c>
      <c r="AI171" s="360" t="str">
        <f t="shared" si="31"/>
        <v/>
      </c>
      <c r="AJ171" s="361" t="str">
        <f t="shared" si="32"/>
        <v/>
      </c>
    </row>
    <row r="172" spans="2:36" ht="12.75" customHeight="1" x14ac:dyDescent="0.2">
      <c r="B172" s="329"/>
      <c r="C172" s="330"/>
      <c r="D172" s="177" t="s">
        <v>491</v>
      </c>
      <c r="E172" s="178" t="s">
        <v>493</v>
      </c>
      <c r="F172" s="165" t="s">
        <v>844</v>
      </c>
      <c r="G172" s="166" t="s">
        <v>854</v>
      </c>
      <c r="H172" s="179" t="s">
        <v>72</v>
      </c>
      <c r="I172" s="167" t="s">
        <v>587</v>
      </c>
      <c r="J172" s="180" t="s">
        <v>51</v>
      </c>
      <c r="K172" s="181" t="s">
        <v>118</v>
      </c>
      <c r="L172" s="182" t="s">
        <v>561</v>
      </c>
      <c r="M172" s="182" t="s">
        <v>74</v>
      </c>
      <c r="N172" s="182"/>
      <c r="O172" s="182"/>
      <c r="P172" s="178"/>
      <c r="Q172" s="168" t="s">
        <v>979</v>
      </c>
      <c r="R172" s="166">
        <v>157</v>
      </c>
      <c r="S172" s="169" t="s">
        <v>592</v>
      </c>
      <c r="T172" s="170"/>
      <c r="U172" s="7"/>
      <c r="V172" s="61"/>
      <c r="Y172" s="359" t="str">
        <f t="shared" si="33"/>
        <v>airfoil_extrados_p2_1_table</v>
      </c>
      <c r="Z172" s="360" t="str">
        <f t="shared" si="34"/>
        <v>double[]</v>
      </c>
      <c r="AA172" s="360" t="str">
        <f t="shared" si="35"/>
        <v>table</v>
      </c>
      <c r="AB172" s="360" t="str">
        <f t="shared" si="36"/>
        <v>Profil aérodynamique au plan 2.1, coordonnées de l'extrados (BA vers BF)</v>
      </c>
      <c r="AC172" s="360" t="str">
        <f t="shared" si="37"/>
        <v>(-)</v>
      </c>
      <c r="AD172" s="361" t="str">
        <f t="shared" si="38"/>
        <v>variable: airfoil_extrados_p2_1_table double[] input description= "Profil aérodynamique au plan 2.1, coordonnées de l'extrados (BA vers BF)" units= "(-)"</v>
      </c>
      <c r="AE172" s="359" t="str">
        <f t="shared" si="27"/>
        <v>X2.aerodynamics.airfoils</v>
      </c>
      <c r="AF172" s="360" t="str">
        <f t="shared" si="28"/>
        <v>Y20.aerodynamics.airfoils</v>
      </c>
      <c r="AG172" s="360" t="str">
        <f t="shared" si="29"/>
        <v>Y23.aerodynamics.airfoils</v>
      </c>
      <c r="AH172" s="360" t="str">
        <f t="shared" si="30"/>
        <v/>
      </c>
      <c r="AI172" s="360" t="str">
        <f t="shared" si="31"/>
        <v/>
      </c>
      <c r="AJ172" s="361" t="str">
        <f t="shared" si="32"/>
        <v/>
      </c>
    </row>
    <row r="173" spans="2:36" ht="12.75" customHeight="1" x14ac:dyDescent="0.2">
      <c r="B173" s="329"/>
      <c r="C173" s="330"/>
      <c r="D173" s="177" t="s">
        <v>492</v>
      </c>
      <c r="E173" s="178" t="s">
        <v>494</v>
      </c>
      <c r="F173" s="165" t="s">
        <v>844</v>
      </c>
      <c r="G173" s="166" t="s">
        <v>854</v>
      </c>
      <c r="H173" s="179" t="s">
        <v>72</v>
      </c>
      <c r="I173" s="167" t="s">
        <v>587</v>
      </c>
      <c r="J173" s="180" t="s">
        <v>51</v>
      </c>
      <c r="K173" s="181" t="s">
        <v>118</v>
      </c>
      <c r="L173" s="182" t="s">
        <v>561</v>
      </c>
      <c r="M173" s="182" t="s">
        <v>74</v>
      </c>
      <c r="N173" s="182"/>
      <c r="O173" s="182"/>
      <c r="P173" s="178"/>
      <c r="Q173" s="168" t="s">
        <v>980</v>
      </c>
      <c r="R173" s="166">
        <v>158</v>
      </c>
      <c r="S173" s="169" t="s">
        <v>592</v>
      </c>
      <c r="T173" s="170"/>
      <c r="U173" s="7"/>
      <c r="V173" s="61"/>
      <c r="Y173" s="359" t="str">
        <f t="shared" si="33"/>
        <v>airfoil_intrados_p2_1_table</v>
      </c>
      <c r="Z173" s="360" t="str">
        <f t="shared" si="34"/>
        <v>double[]</v>
      </c>
      <c r="AA173" s="360" t="str">
        <f t="shared" si="35"/>
        <v>table</v>
      </c>
      <c r="AB173" s="360" t="str">
        <f t="shared" si="36"/>
        <v>Profil aérodynamique au plan 2.1, coordonnées de l'intrados (BA vers BF)</v>
      </c>
      <c r="AC173" s="360" t="str">
        <f t="shared" si="37"/>
        <v>(-)</v>
      </c>
      <c r="AD173" s="361" t="str">
        <f t="shared" si="38"/>
        <v>variable: airfoil_intrados_p2_1_table double[] input description= "Profil aérodynamique au plan 2.1, coordonnées de l'intrados (BA vers BF)" units= "(-)"</v>
      </c>
      <c r="AE173" s="359" t="str">
        <f t="shared" si="27"/>
        <v>X2.aerodynamics.airfoils</v>
      </c>
      <c r="AF173" s="360" t="str">
        <f t="shared" si="28"/>
        <v>Y20.aerodynamics.airfoils</v>
      </c>
      <c r="AG173" s="360" t="str">
        <f t="shared" si="29"/>
        <v>Y23.aerodynamics.airfoils</v>
      </c>
      <c r="AH173" s="360" t="str">
        <f t="shared" si="30"/>
        <v/>
      </c>
      <c r="AI173" s="360" t="str">
        <f t="shared" si="31"/>
        <v/>
      </c>
      <c r="AJ173" s="361" t="str">
        <f t="shared" si="32"/>
        <v/>
      </c>
    </row>
    <row r="174" spans="2:36" ht="12.75" customHeight="1" x14ac:dyDescent="0.2">
      <c r="B174" s="329"/>
      <c r="C174" s="330"/>
      <c r="D174" s="177" t="s">
        <v>263</v>
      </c>
      <c r="E174" s="178" t="s">
        <v>272</v>
      </c>
      <c r="F174" s="165" t="s">
        <v>844</v>
      </c>
      <c r="G174" s="166" t="s">
        <v>854</v>
      </c>
      <c r="H174" s="179" t="s">
        <v>72</v>
      </c>
      <c r="I174" s="167" t="s">
        <v>587</v>
      </c>
      <c r="J174" s="180" t="s">
        <v>51</v>
      </c>
      <c r="K174" s="181" t="s">
        <v>118</v>
      </c>
      <c r="L174" s="182" t="s">
        <v>561</v>
      </c>
      <c r="M174" s="182" t="s">
        <v>74</v>
      </c>
      <c r="N174" s="182"/>
      <c r="O174" s="182"/>
      <c r="P174" s="178"/>
      <c r="Q174" s="168" t="s">
        <v>981</v>
      </c>
      <c r="R174" s="166">
        <v>159</v>
      </c>
      <c r="S174" s="169" t="s">
        <v>592</v>
      </c>
      <c r="T174" s="170"/>
      <c r="U174" s="7"/>
      <c r="V174" s="61"/>
      <c r="Y174" s="359" t="str">
        <f t="shared" si="33"/>
        <v>airfoil_extrados_p3_table</v>
      </c>
      <c r="Z174" s="360" t="str">
        <f t="shared" si="34"/>
        <v>double[]</v>
      </c>
      <c r="AA174" s="360" t="str">
        <f t="shared" si="35"/>
        <v>table</v>
      </c>
      <c r="AB174" s="360" t="str">
        <f t="shared" si="36"/>
        <v>Profil aérodynamique au plan 3, coordonnées de l'extrados (BA vers BF)</v>
      </c>
      <c r="AC174" s="360" t="str">
        <f t="shared" si="37"/>
        <v>(-)</v>
      </c>
      <c r="AD174" s="361" t="str">
        <f t="shared" si="38"/>
        <v>variable: airfoil_extrados_p3_table double[] input description= "Profil aérodynamique au plan 3, coordonnées de l'extrados (BA vers BF)" units= "(-)"</v>
      </c>
      <c r="AE174" s="359" t="str">
        <f t="shared" si="27"/>
        <v>X2.aerodynamics.airfoils</v>
      </c>
      <c r="AF174" s="360" t="str">
        <f t="shared" si="28"/>
        <v>Y20.aerodynamics.airfoils</v>
      </c>
      <c r="AG174" s="360" t="str">
        <f t="shared" si="29"/>
        <v>Y23.aerodynamics.airfoils</v>
      </c>
      <c r="AH174" s="360" t="str">
        <f t="shared" si="30"/>
        <v/>
      </c>
      <c r="AI174" s="360" t="str">
        <f t="shared" si="31"/>
        <v/>
      </c>
      <c r="AJ174" s="361" t="str">
        <f t="shared" si="32"/>
        <v/>
      </c>
    </row>
    <row r="175" spans="2:36" ht="12.75" customHeight="1" x14ac:dyDescent="0.2">
      <c r="B175" s="329"/>
      <c r="C175" s="330"/>
      <c r="D175" s="177" t="s">
        <v>264</v>
      </c>
      <c r="E175" s="178" t="s">
        <v>273</v>
      </c>
      <c r="F175" s="165" t="s">
        <v>844</v>
      </c>
      <c r="G175" s="166" t="s">
        <v>854</v>
      </c>
      <c r="H175" s="179" t="s">
        <v>72</v>
      </c>
      <c r="I175" s="167" t="s">
        <v>587</v>
      </c>
      <c r="J175" s="180" t="s">
        <v>51</v>
      </c>
      <c r="K175" s="181" t="s">
        <v>118</v>
      </c>
      <c r="L175" s="182" t="s">
        <v>561</v>
      </c>
      <c r="M175" s="182" t="s">
        <v>74</v>
      </c>
      <c r="N175" s="182"/>
      <c r="O175" s="182"/>
      <c r="P175" s="178"/>
      <c r="Q175" s="168" t="s">
        <v>982</v>
      </c>
      <c r="R175" s="166">
        <v>160</v>
      </c>
      <c r="S175" s="169" t="s">
        <v>592</v>
      </c>
      <c r="T175" s="170"/>
      <c r="U175" s="7"/>
      <c r="V175" s="61"/>
      <c r="Y175" s="359" t="str">
        <f t="shared" si="33"/>
        <v>airfoil_intrados_p3_table</v>
      </c>
      <c r="Z175" s="360" t="str">
        <f t="shared" si="34"/>
        <v>double[]</v>
      </c>
      <c r="AA175" s="360" t="str">
        <f t="shared" si="35"/>
        <v>table</v>
      </c>
      <c r="AB175" s="360" t="str">
        <f t="shared" si="36"/>
        <v>Profil aérodynamique au plan 3, coordonnées de l'intrados (BA vers BF)</v>
      </c>
      <c r="AC175" s="360" t="str">
        <f t="shared" si="37"/>
        <v>(-)</v>
      </c>
      <c r="AD175" s="361" t="str">
        <f t="shared" si="38"/>
        <v>variable: airfoil_intrados_p3_table double[] input description= "Profil aérodynamique au plan 3, coordonnées de l'intrados (BA vers BF)" units= "(-)"</v>
      </c>
      <c r="AE175" s="359" t="str">
        <f t="shared" si="27"/>
        <v>X2.aerodynamics.airfoils</v>
      </c>
      <c r="AF175" s="360" t="str">
        <f t="shared" si="28"/>
        <v>Y20.aerodynamics.airfoils</v>
      </c>
      <c r="AG175" s="360" t="str">
        <f t="shared" si="29"/>
        <v>Y23.aerodynamics.airfoils</v>
      </c>
      <c r="AH175" s="360" t="str">
        <f t="shared" si="30"/>
        <v/>
      </c>
      <c r="AI175" s="360" t="str">
        <f t="shared" si="31"/>
        <v/>
      </c>
      <c r="AJ175" s="361" t="str">
        <f t="shared" si="32"/>
        <v/>
      </c>
    </row>
    <row r="176" spans="2:36" ht="12.75" customHeight="1" x14ac:dyDescent="0.2">
      <c r="B176" s="329"/>
      <c r="C176" s="330"/>
      <c r="D176" s="163" t="s">
        <v>402</v>
      </c>
      <c r="E176" s="164" t="s">
        <v>403</v>
      </c>
      <c r="F176" s="165" t="s">
        <v>844</v>
      </c>
      <c r="G176" s="166" t="s">
        <v>854</v>
      </c>
      <c r="H176" s="179" t="s">
        <v>72</v>
      </c>
      <c r="I176" s="167" t="s">
        <v>587</v>
      </c>
      <c r="J176" s="180" t="s">
        <v>51</v>
      </c>
      <c r="K176" s="181" t="s">
        <v>561</v>
      </c>
      <c r="L176" s="182" t="s">
        <v>964</v>
      </c>
      <c r="M176" s="182"/>
      <c r="N176" s="182"/>
      <c r="O176" s="182"/>
      <c r="P176" s="178"/>
      <c r="Q176" s="168" t="s">
        <v>983</v>
      </c>
      <c r="R176" s="166">
        <v>161</v>
      </c>
      <c r="S176" s="169" t="s">
        <v>592</v>
      </c>
      <c r="T176" s="170"/>
      <c r="U176" s="7"/>
      <c r="V176" s="61"/>
      <c r="Y176" s="359" t="str">
        <f t="shared" si="33"/>
        <v>airfoil_extrados_control_surface_2_table</v>
      </c>
      <c r="Z176" s="360" t="str">
        <f t="shared" si="34"/>
        <v>double[]</v>
      </c>
      <c r="AA176" s="360" t="str">
        <f t="shared" si="35"/>
        <v>table</v>
      </c>
      <c r="AB176" s="360" t="str">
        <f t="shared" si="36"/>
        <v>Profil aérodynamique à l'emplanture de la gouverne 2, coordonnées de l'extrados</v>
      </c>
      <c r="AC176" s="360" t="str">
        <f t="shared" si="37"/>
        <v>(-)</v>
      </c>
      <c r="AD176" s="361" t="str">
        <f t="shared" si="38"/>
        <v>variable: airfoil_extrados_control_surface_2_table double[] input description= "Profil aérodynamique à l'emplanture de la gouverne 2, coordonnées de l'extrados" units= "(-)"</v>
      </c>
      <c r="AE176" s="359" t="str">
        <f t="shared" si="27"/>
        <v>Y20.aerodynamics.airfoils</v>
      </c>
      <c r="AF176" s="360" t="str">
        <f t="shared" si="28"/>
        <v>Y32.aerodynamics.airfoils</v>
      </c>
      <c r="AG176" s="360" t="str">
        <f t="shared" si="29"/>
        <v/>
      </c>
      <c r="AH176" s="360" t="str">
        <f t="shared" si="30"/>
        <v/>
      </c>
      <c r="AI176" s="360" t="str">
        <f t="shared" si="31"/>
        <v/>
      </c>
      <c r="AJ176" s="361" t="str">
        <f t="shared" si="32"/>
        <v/>
      </c>
    </row>
    <row r="177" spans="2:36" ht="12.75" customHeight="1" x14ac:dyDescent="0.2">
      <c r="B177" s="329"/>
      <c r="C177" s="330"/>
      <c r="D177" s="163" t="s">
        <v>404</v>
      </c>
      <c r="E177" s="164" t="s">
        <v>405</v>
      </c>
      <c r="F177" s="165" t="s">
        <v>844</v>
      </c>
      <c r="G177" s="166" t="s">
        <v>854</v>
      </c>
      <c r="H177" s="179" t="s">
        <v>72</v>
      </c>
      <c r="I177" s="167" t="s">
        <v>587</v>
      </c>
      <c r="J177" s="180" t="s">
        <v>51</v>
      </c>
      <c r="K177" s="181" t="s">
        <v>561</v>
      </c>
      <c r="L177" s="182" t="s">
        <v>964</v>
      </c>
      <c r="M177" s="182"/>
      <c r="N177" s="182"/>
      <c r="O177" s="182"/>
      <c r="P177" s="178"/>
      <c r="Q177" s="168" t="s">
        <v>984</v>
      </c>
      <c r="R177" s="166">
        <v>162</v>
      </c>
      <c r="S177" s="169" t="s">
        <v>592</v>
      </c>
      <c r="T177" s="170"/>
      <c r="U177" s="7"/>
      <c r="V177" s="61"/>
      <c r="Y177" s="359" t="str">
        <f t="shared" si="33"/>
        <v>airfoil_intrados_control_surface_2_table</v>
      </c>
      <c r="Z177" s="360" t="str">
        <f t="shared" si="34"/>
        <v>double[]</v>
      </c>
      <c r="AA177" s="360" t="str">
        <f t="shared" si="35"/>
        <v>table</v>
      </c>
      <c r="AB177" s="360" t="str">
        <f t="shared" si="36"/>
        <v>Profil aérodynamique à l'emplanture de la gouverne 2, coordonnées de l'intrados</v>
      </c>
      <c r="AC177" s="360" t="str">
        <f t="shared" si="37"/>
        <v>(-)</v>
      </c>
      <c r="AD177" s="361" t="str">
        <f t="shared" si="38"/>
        <v>variable: airfoil_intrados_control_surface_2_table double[] input description= "Profil aérodynamique à l'emplanture de la gouverne 2, coordonnées de l'intrados" units= "(-)"</v>
      </c>
      <c r="AE177" s="359" t="str">
        <f t="shared" si="27"/>
        <v>Y20.aerodynamics.airfoils</v>
      </c>
      <c r="AF177" s="360" t="str">
        <f t="shared" si="28"/>
        <v>Y32.aerodynamics.airfoils</v>
      </c>
      <c r="AG177" s="360" t="str">
        <f t="shared" si="29"/>
        <v/>
      </c>
      <c r="AH177" s="360" t="str">
        <f t="shared" si="30"/>
        <v/>
      </c>
      <c r="AI177" s="360" t="str">
        <f t="shared" si="31"/>
        <v/>
      </c>
      <c r="AJ177" s="361" t="str">
        <f t="shared" si="32"/>
        <v/>
      </c>
    </row>
    <row r="178" spans="2:36" ht="12.75" customHeight="1" x14ac:dyDescent="0.2">
      <c r="B178" s="329"/>
      <c r="C178" s="330"/>
      <c r="D178" s="163" t="s">
        <v>406</v>
      </c>
      <c r="E178" s="164" t="s">
        <v>407</v>
      </c>
      <c r="F178" s="165" t="s">
        <v>844</v>
      </c>
      <c r="G178" s="166" t="s">
        <v>854</v>
      </c>
      <c r="H178" s="179" t="s">
        <v>72</v>
      </c>
      <c r="I178" s="167" t="s">
        <v>587</v>
      </c>
      <c r="J178" s="180" t="s">
        <v>51</v>
      </c>
      <c r="K178" s="181" t="s">
        <v>561</v>
      </c>
      <c r="L178" s="182" t="s">
        <v>964</v>
      </c>
      <c r="M178" s="182"/>
      <c r="N178" s="182"/>
      <c r="O178" s="182"/>
      <c r="P178" s="178"/>
      <c r="Q178" s="168" t="s">
        <v>985</v>
      </c>
      <c r="R178" s="166">
        <v>163</v>
      </c>
      <c r="S178" s="169" t="s">
        <v>592</v>
      </c>
      <c r="T178" s="170"/>
      <c r="U178" s="7"/>
      <c r="V178" s="61"/>
      <c r="Y178" s="359" t="str">
        <f t="shared" si="33"/>
        <v>airfoil_extrados_control_surface_3_table</v>
      </c>
      <c r="Z178" s="360" t="str">
        <f t="shared" si="34"/>
        <v>double[]</v>
      </c>
      <c r="AA178" s="360" t="str">
        <f t="shared" si="35"/>
        <v>table</v>
      </c>
      <c r="AB178" s="360" t="str">
        <f t="shared" si="36"/>
        <v>Profil aérodynamique à l'emplanture de la gouverne 3, coordonnées de l'extrados</v>
      </c>
      <c r="AC178" s="360" t="str">
        <f t="shared" si="37"/>
        <v>(-)</v>
      </c>
      <c r="AD178" s="361" t="str">
        <f t="shared" si="38"/>
        <v>variable: airfoil_extrados_control_surface_3_table double[] input description= "Profil aérodynamique à l'emplanture de la gouverne 3, coordonnées de l'extrados" units= "(-)"</v>
      </c>
      <c r="AE178" s="359" t="str">
        <f t="shared" si="27"/>
        <v>Y20.aerodynamics.airfoils</v>
      </c>
      <c r="AF178" s="360" t="str">
        <f t="shared" si="28"/>
        <v>Y32.aerodynamics.airfoils</v>
      </c>
      <c r="AG178" s="360" t="str">
        <f t="shared" si="29"/>
        <v/>
      </c>
      <c r="AH178" s="360" t="str">
        <f t="shared" si="30"/>
        <v/>
      </c>
      <c r="AI178" s="360" t="str">
        <f t="shared" si="31"/>
        <v/>
      </c>
      <c r="AJ178" s="361" t="str">
        <f t="shared" si="32"/>
        <v/>
      </c>
    </row>
    <row r="179" spans="2:36" ht="12.75" customHeight="1" x14ac:dyDescent="0.2">
      <c r="B179" s="329"/>
      <c r="C179" s="330"/>
      <c r="D179" s="163" t="s">
        <v>408</v>
      </c>
      <c r="E179" s="164" t="s">
        <v>409</v>
      </c>
      <c r="F179" s="165" t="s">
        <v>844</v>
      </c>
      <c r="G179" s="166" t="s">
        <v>854</v>
      </c>
      <c r="H179" s="179" t="s">
        <v>72</v>
      </c>
      <c r="I179" s="167" t="s">
        <v>587</v>
      </c>
      <c r="J179" s="180" t="s">
        <v>51</v>
      </c>
      <c r="K179" s="181" t="s">
        <v>561</v>
      </c>
      <c r="L179" s="182" t="s">
        <v>964</v>
      </c>
      <c r="M179" s="182"/>
      <c r="N179" s="182"/>
      <c r="O179" s="182"/>
      <c r="P179" s="178"/>
      <c r="Q179" s="168" t="s">
        <v>986</v>
      </c>
      <c r="R179" s="166">
        <v>164</v>
      </c>
      <c r="S179" s="169" t="s">
        <v>592</v>
      </c>
      <c r="T179" s="170"/>
      <c r="U179" s="7"/>
      <c r="V179" s="61"/>
      <c r="Y179" s="359" t="str">
        <f t="shared" si="33"/>
        <v>airfoil_intrados_control_surface_3_table</v>
      </c>
      <c r="Z179" s="360" t="str">
        <f t="shared" si="34"/>
        <v>double[]</v>
      </c>
      <c r="AA179" s="360" t="str">
        <f t="shared" si="35"/>
        <v>table</v>
      </c>
      <c r="AB179" s="360" t="str">
        <f t="shared" si="36"/>
        <v>Profil aérodynamique à l'emplanture de la gouverne 3, coordonnées de l'intrados</v>
      </c>
      <c r="AC179" s="360" t="str">
        <f t="shared" si="37"/>
        <v>(-)</v>
      </c>
      <c r="AD179" s="361" t="str">
        <f t="shared" si="38"/>
        <v>variable: airfoil_intrados_control_surface_3_table double[] input description= "Profil aérodynamique à l'emplanture de la gouverne 3, coordonnées de l'intrados" units= "(-)"</v>
      </c>
      <c r="AE179" s="359" t="str">
        <f t="shared" si="27"/>
        <v>Y20.aerodynamics.airfoils</v>
      </c>
      <c r="AF179" s="360" t="str">
        <f t="shared" si="28"/>
        <v>Y32.aerodynamics.airfoils</v>
      </c>
      <c r="AG179" s="360" t="str">
        <f t="shared" si="29"/>
        <v/>
      </c>
      <c r="AH179" s="360" t="str">
        <f t="shared" si="30"/>
        <v/>
      </c>
      <c r="AI179" s="360" t="str">
        <f t="shared" si="31"/>
        <v/>
      </c>
      <c r="AJ179" s="361" t="str">
        <f t="shared" si="32"/>
        <v/>
      </c>
    </row>
    <row r="180" spans="2:36" ht="12.75" customHeight="1" x14ac:dyDescent="0.2">
      <c r="B180" s="329"/>
      <c r="C180" s="330"/>
      <c r="D180" s="177" t="s">
        <v>277</v>
      </c>
      <c r="E180" s="178" t="s">
        <v>279</v>
      </c>
      <c r="F180" s="165" t="s">
        <v>844</v>
      </c>
      <c r="G180" s="166" t="s">
        <v>854</v>
      </c>
      <c r="H180" s="179" t="s">
        <v>347</v>
      </c>
      <c r="I180" s="182" t="s">
        <v>574</v>
      </c>
      <c r="J180" s="180" t="s">
        <v>51</v>
      </c>
      <c r="K180" s="181" t="s">
        <v>74</v>
      </c>
      <c r="L180" s="182"/>
      <c r="M180" s="182"/>
      <c r="N180" s="182"/>
      <c r="O180" s="182"/>
      <c r="P180" s="178"/>
      <c r="Q180" s="168" t="s">
        <v>800</v>
      </c>
      <c r="R180" s="166">
        <v>165</v>
      </c>
      <c r="S180" s="169" t="s">
        <v>592</v>
      </c>
      <c r="T180" s="170"/>
      <c r="U180" s="7"/>
      <c r="V180" s="61"/>
      <c r="Y180" s="359" t="str">
        <f t="shared" si="33"/>
        <v>vertical_surface_airfoils_number_of_point</v>
      </c>
      <c r="Z180" s="360" t="str">
        <f t="shared" si="34"/>
        <v>integer</v>
      </c>
      <c r="AA180" s="360" t="str">
        <f t="shared" si="35"/>
        <v>scalaire</v>
      </c>
      <c r="AB180" s="360" t="str">
        <f t="shared" si="36"/>
        <v>Nombre de points des tables de profil aérodynamique de la surface verticale</v>
      </c>
      <c r="AC180" s="360" t="str">
        <f t="shared" si="37"/>
        <v>(-)</v>
      </c>
      <c r="AD180" s="361" t="str">
        <f t="shared" si="38"/>
        <v>variable: vertical_surface_airfoils_number_of_point integer input description= "Nombre de points des tables de profil aérodynamique de la surface verticale" units= "(-)"</v>
      </c>
      <c r="AE180" s="359" t="str">
        <f t="shared" si="27"/>
        <v>Y23.aerodynamics.airfoils</v>
      </c>
      <c r="AF180" s="360" t="str">
        <f t="shared" si="28"/>
        <v/>
      </c>
      <c r="AG180" s="360" t="str">
        <f t="shared" si="29"/>
        <v/>
      </c>
      <c r="AH180" s="360" t="str">
        <f t="shared" si="30"/>
        <v/>
      </c>
      <c r="AI180" s="360" t="str">
        <f t="shared" si="31"/>
        <v/>
      </c>
      <c r="AJ180" s="361" t="str">
        <f t="shared" si="32"/>
        <v/>
      </c>
    </row>
    <row r="181" spans="2:36" ht="12.75" customHeight="1" x14ac:dyDescent="0.2">
      <c r="B181" s="329"/>
      <c r="C181" s="330"/>
      <c r="D181" s="177" t="s">
        <v>265</v>
      </c>
      <c r="E181" s="178" t="s">
        <v>274</v>
      </c>
      <c r="F181" s="165" t="s">
        <v>844</v>
      </c>
      <c r="G181" s="166" t="s">
        <v>854</v>
      </c>
      <c r="H181" s="179" t="s">
        <v>72</v>
      </c>
      <c r="I181" s="167" t="s">
        <v>587</v>
      </c>
      <c r="J181" s="180" t="s">
        <v>51</v>
      </c>
      <c r="K181" s="181" t="s">
        <v>118</v>
      </c>
      <c r="L181" s="182" t="s">
        <v>561</v>
      </c>
      <c r="M181" s="182" t="s">
        <v>74</v>
      </c>
      <c r="N181" s="182"/>
      <c r="O181" s="182"/>
      <c r="P181" s="178"/>
      <c r="Q181" s="168" t="s">
        <v>987</v>
      </c>
      <c r="R181" s="166">
        <v>166</v>
      </c>
      <c r="S181" s="169" t="s">
        <v>592</v>
      </c>
      <c r="T181" s="170"/>
      <c r="U181" s="7"/>
      <c r="V181" s="61"/>
      <c r="Y181" s="359" t="str">
        <f t="shared" si="33"/>
        <v>airfoil_extrados_vertical_surface_table</v>
      </c>
      <c r="Z181" s="360" t="str">
        <f t="shared" si="34"/>
        <v>double[]</v>
      </c>
      <c r="AA181" s="360" t="str">
        <f t="shared" si="35"/>
        <v>table</v>
      </c>
      <c r="AB181" s="360" t="str">
        <f t="shared" si="36"/>
        <v>Profil aérodynamique de la surface verticale, coordonnées de l'extrados (BA vers BF)</v>
      </c>
      <c r="AC181" s="360" t="str">
        <f t="shared" si="37"/>
        <v>(-)</v>
      </c>
      <c r="AD181" s="361" t="str">
        <f t="shared" si="38"/>
        <v>variable: airfoil_extrados_vertical_surface_table double[] input description= "Profil aérodynamique de la surface verticale, coordonnées de l'extrados (BA vers BF)" units= "(-)"</v>
      </c>
      <c r="AE181" s="359" t="str">
        <f t="shared" si="27"/>
        <v>X2.aerodynamics.airfoils</v>
      </c>
      <c r="AF181" s="360" t="str">
        <f t="shared" si="28"/>
        <v>Y20.aerodynamics.airfoils</v>
      </c>
      <c r="AG181" s="360" t="str">
        <f t="shared" si="29"/>
        <v>Y23.aerodynamics.airfoils</v>
      </c>
      <c r="AH181" s="360" t="str">
        <f t="shared" si="30"/>
        <v/>
      </c>
      <c r="AI181" s="360" t="str">
        <f t="shared" si="31"/>
        <v/>
      </c>
      <c r="AJ181" s="361" t="str">
        <f t="shared" si="32"/>
        <v/>
      </c>
    </row>
    <row r="182" spans="2:36" ht="12.75" customHeight="1" x14ac:dyDescent="0.2">
      <c r="B182" s="329"/>
      <c r="C182" s="330"/>
      <c r="D182" s="177" t="s">
        <v>266</v>
      </c>
      <c r="E182" s="178" t="s">
        <v>275</v>
      </c>
      <c r="F182" s="165" t="s">
        <v>844</v>
      </c>
      <c r="G182" s="166" t="s">
        <v>854</v>
      </c>
      <c r="H182" s="179" t="s">
        <v>72</v>
      </c>
      <c r="I182" s="167" t="s">
        <v>587</v>
      </c>
      <c r="J182" s="180" t="s">
        <v>51</v>
      </c>
      <c r="K182" s="181" t="s">
        <v>118</v>
      </c>
      <c r="L182" s="182" t="s">
        <v>561</v>
      </c>
      <c r="M182" s="182" t="s">
        <v>74</v>
      </c>
      <c r="N182" s="182"/>
      <c r="O182" s="182"/>
      <c r="P182" s="178"/>
      <c r="Q182" s="168" t="s">
        <v>988</v>
      </c>
      <c r="R182" s="166">
        <v>167</v>
      </c>
      <c r="S182" s="169" t="s">
        <v>592</v>
      </c>
      <c r="T182" s="170"/>
      <c r="U182" s="7"/>
      <c r="V182" s="61"/>
      <c r="Y182" s="359" t="str">
        <f t="shared" si="33"/>
        <v>airfoil_intrados_vertical_surface_table</v>
      </c>
      <c r="Z182" s="360" t="str">
        <f t="shared" si="34"/>
        <v>double[]</v>
      </c>
      <c r="AA182" s="360" t="str">
        <f t="shared" si="35"/>
        <v>table</v>
      </c>
      <c r="AB182" s="360" t="str">
        <f t="shared" si="36"/>
        <v>Profil aérodynamique de la surface verticale, coordonnées de l'intrados (BA vers BF)</v>
      </c>
      <c r="AC182" s="360" t="str">
        <f t="shared" si="37"/>
        <v>(-)</v>
      </c>
      <c r="AD182" s="361" t="str">
        <f t="shared" si="38"/>
        <v>variable: airfoil_intrados_vertical_surface_table double[] input description= "Profil aérodynamique de la surface verticale, coordonnées de l'intrados (BA vers BF)" units= "(-)"</v>
      </c>
      <c r="AE182" s="359" t="str">
        <f t="shared" si="27"/>
        <v>X2.aerodynamics.airfoils</v>
      </c>
      <c r="AF182" s="360" t="str">
        <f t="shared" si="28"/>
        <v>Y20.aerodynamics.airfoils</v>
      </c>
      <c r="AG182" s="360" t="str">
        <f t="shared" si="29"/>
        <v>Y23.aerodynamics.airfoils</v>
      </c>
      <c r="AH182" s="360" t="str">
        <f t="shared" si="30"/>
        <v/>
      </c>
      <c r="AI182" s="360" t="str">
        <f t="shared" si="31"/>
        <v/>
      </c>
      <c r="AJ182" s="361" t="str">
        <f t="shared" si="32"/>
        <v/>
      </c>
    </row>
    <row r="183" spans="2:36" ht="12.75" customHeight="1" x14ac:dyDescent="0.2">
      <c r="B183" s="329"/>
      <c r="C183" s="330" t="s">
        <v>190</v>
      </c>
      <c r="D183" s="177" t="s">
        <v>253</v>
      </c>
      <c r="E183" s="178" t="s">
        <v>159</v>
      </c>
      <c r="F183" s="165" t="s">
        <v>844</v>
      </c>
      <c r="G183" s="166" t="s">
        <v>855</v>
      </c>
      <c r="H183" s="179" t="s">
        <v>347</v>
      </c>
      <c r="I183" s="182" t="s">
        <v>13</v>
      </c>
      <c r="J183" s="180" t="s">
        <v>12</v>
      </c>
      <c r="K183" s="181" t="s">
        <v>118</v>
      </c>
      <c r="L183" s="182" t="s">
        <v>561</v>
      </c>
      <c r="M183" s="182" t="s">
        <v>74</v>
      </c>
      <c r="N183" s="182"/>
      <c r="O183" s="182"/>
      <c r="P183" s="178"/>
      <c r="Q183" s="168" t="s">
        <v>801</v>
      </c>
      <c r="R183" s="166">
        <v>168</v>
      </c>
      <c r="S183" s="169" t="s">
        <v>592</v>
      </c>
      <c r="T183" s="170"/>
      <c r="U183" s="7"/>
      <c r="V183" s="61"/>
      <c r="Y183" s="359" t="str">
        <f t="shared" si="33"/>
        <v>fillet_radius</v>
      </c>
      <c r="Z183" s="360" t="str">
        <f t="shared" si="34"/>
        <v>double</v>
      </c>
      <c r="AA183" s="360" t="str">
        <f t="shared" si="35"/>
        <v>scalaire</v>
      </c>
      <c r="AB183" s="360" t="str">
        <f t="shared" si="36"/>
        <v>Rayon de courbure aux raccordements des surfaces</v>
      </c>
      <c r="AC183" s="360" t="str">
        <f t="shared" si="37"/>
        <v>m</v>
      </c>
      <c r="AD183" s="361" t="str">
        <f t="shared" si="38"/>
        <v>variable: fillet_radius double input description= "Rayon de courbure aux raccordements des surfaces" units= "m"</v>
      </c>
      <c r="AE183" s="359" t="str">
        <f t="shared" si="27"/>
        <v>X2.aerodynamics.twists_and_fillets</v>
      </c>
      <c r="AF183" s="360" t="str">
        <f t="shared" si="28"/>
        <v>Y20.aerodynamics.twists_and_fillets</v>
      </c>
      <c r="AG183" s="360" t="str">
        <f t="shared" si="29"/>
        <v>Y23.aerodynamics.twists_and_fillets</v>
      </c>
      <c r="AH183" s="360" t="str">
        <f t="shared" si="30"/>
        <v/>
      </c>
      <c r="AI183" s="360" t="str">
        <f t="shared" si="31"/>
        <v/>
      </c>
      <c r="AJ183" s="361" t="str">
        <f t="shared" si="32"/>
        <v/>
      </c>
    </row>
    <row r="184" spans="2:36" ht="12.75" customHeight="1" x14ac:dyDescent="0.2">
      <c r="B184" s="329"/>
      <c r="C184" s="330"/>
      <c r="D184" s="177"/>
      <c r="E184" s="178" t="s">
        <v>996</v>
      </c>
      <c r="F184" s="165" t="s">
        <v>844</v>
      </c>
      <c r="G184" s="166" t="s">
        <v>855</v>
      </c>
      <c r="H184" s="179" t="s">
        <v>347</v>
      </c>
      <c r="I184" s="182" t="s">
        <v>13</v>
      </c>
      <c r="J184" s="180" t="s">
        <v>42</v>
      </c>
      <c r="K184" s="181" t="s">
        <v>118</v>
      </c>
      <c r="L184" s="182" t="s">
        <v>561</v>
      </c>
      <c r="M184" s="182" t="s">
        <v>74</v>
      </c>
      <c r="N184" s="182"/>
      <c r="O184" s="182"/>
      <c r="P184" s="178"/>
      <c r="Q184" s="168" t="s">
        <v>873</v>
      </c>
      <c r="R184" s="166">
        <v>169</v>
      </c>
      <c r="S184" s="169" t="s">
        <v>592</v>
      </c>
      <c r="T184" s="170"/>
      <c r="U184" s="7"/>
      <c r="V184" s="61"/>
      <c r="Y184" s="359" t="str">
        <f t="shared" si="33"/>
        <v>twist_angle_p0</v>
      </c>
      <c r="Z184" s="360" t="str">
        <f t="shared" si="34"/>
        <v>double</v>
      </c>
      <c r="AA184" s="360" t="str">
        <f t="shared" si="35"/>
        <v>scalaire</v>
      </c>
      <c r="AB184" s="360" t="str">
        <f t="shared" si="36"/>
        <v>Angle de vrillage au plan 0</v>
      </c>
      <c r="AC184" s="360" t="str">
        <f t="shared" si="37"/>
        <v>degré</v>
      </c>
      <c r="AD184" s="361" t="str">
        <f t="shared" si="38"/>
        <v>variable: twist_angle_p0 double input description= "Angle de vrillage au plan 0" units= "degré"</v>
      </c>
      <c r="AE184" s="359" t="str">
        <f t="shared" si="27"/>
        <v>X2.aerodynamics.twists_and_fillets</v>
      </c>
      <c r="AF184" s="360" t="str">
        <f t="shared" si="28"/>
        <v>Y20.aerodynamics.twists_and_fillets</v>
      </c>
      <c r="AG184" s="360" t="str">
        <f t="shared" si="29"/>
        <v>Y23.aerodynamics.twists_and_fillets</v>
      </c>
      <c r="AH184" s="360" t="str">
        <f t="shared" si="30"/>
        <v/>
      </c>
      <c r="AI184" s="360" t="str">
        <f t="shared" si="31"/>
        <v/>
      </c>
      <c r="AJ184" s="361" t="str">
        <f t="shared" si="32"/>
        <v/>
      </c>
    </row>
    <row r="185" spans="2:36" x14ac:dyDescent="0.2">
      <c r="B185" s="329"/>
      <c r="C185" s="330"/>
      <c r="D185" s="177"/>
      <c r="E185" s="178" t="s">
        <v>997</v>
      </c>
      <c r="F185" s="165" t="s">
        <v>844</v>
      </c>
      <c r="G185" s="166" t="s">
        <v>855</v>
      </c>
      <c r="H185" s="179" t="s">
        <v>347</v>
      </c>
      <c r="I185" s="182" t="s">
        <v>13</v>
      </c>
      <c r="J185" s="180" t="s">
        <v>42</v>
      </c>
      <c r="K185" s="181" t="s">
        <v>118</v>
      </c>
      <c r="L185" s="182" t="s">
        <v>561</v>
      </c>
      <c r="M185" s="182" t="s">
        <v>74</v>
      </c>
      <c r="N185" s="182"/>
      <c r="O185" s="182"/>
      <c r="P185" s="178"/>
      <c r="Q185" s="168" t="s">
        <v>872</v>
      </c>
      <c r="R185" s="166">
        <v>170</v>
      </c>
      <c r="S185" s="169" t="s">
        <v>592</v>
      </c>
      <c r="T185" s="170"/>
      <c r="U185" s="7"/>
      <c r="V185" s="61"/>
      <c r="Y185" s="359" t="str">
        <f t="shared" si="33"/>
        <v>twist_angle_p0_1</v>
      </c>
      <c r="Z185" s="360" t="str">
        <f t="shared" si="34"/>
        <v>double</v>
      </c>
      <c r="AA185" s="360" t="str">
        <f t="shared" si="35"/>
        <v>scalaire</v>
      </c>
      <c r="AB185" s="360" t="str">
        <f t="shared" si="36"/>
        <v>Angle de vrillage au plan 0.1</v>
      </c>
      <c r="AC185" s="360" t="str">
        <f t="shared" si="37"/>
        <v>degré</v>
      </c>
      <c r="AD185" s="361" t="str">
        <f t="shared" si="38"/>
        <v>variable: twist_angle_p0_1 double input description= "Angle de vrillage au plan 0.1" units= "degré"</v>
      </c>
      <c r="AE185" s="359" t="str">
        <f t="shared" si="27"/>
        <v>X2.aerodynamics.twists_and_fillets</v>
      </c>
      <c r="AF185" s="360" t="str">
        <f t="shared" si="28"/>
        <v>Y20.aerodynamics.twists_and_fillets</v>
      </c>
      <c r="AG185" s="360" t="str">
        <f t="shared" si="29"/>
        <v>Y23.aerodynamics.twists_and_fillets</v>
      </c>
      <c r="AH185" s="360" t="str">
        <f t="shared" si="30"/>
        <v/>
      </c>
      <c r="AI185" s="360" t="str">
        <f t="shared" si="31"/>
        <v/>
      </c>
      <c r="AJ185" s="361" t="str">
        <f t="shared" si="32"/>
        <v/>
      </c>
    </row>
    <row r="186" spans="2:36" x14ac:dyDescent="0.2">
      <c r="B186" s="329"/>
      <c r="C186" s="330"/>
      <c r="D186" s="177"/>
      <c r="E186" s="178" t="s">
        <v>995</v>
      </c>
      <c r="F186" s="165" t="s">
        <v>844</v>
      </c>
      <c r="G186" s="166" t="s">
        <v>855</v>
      </c>
      <c r="H186" s="179" t="s">
        <v>347</v>
      </c>
      <c r="I186" s="182" t="s">
        <v>13</v>
      </c>
      <c r="J186" s="180" t="s">
        <v>42</v>
      </c>
      <c r="K186" s="181" t="s">
        <v>118</v>
      </c>
      <c r="L186" s="182" t="s">
        <v>561</v>
      </c>
      <c r="M186" s="182" t="s">
        <v>74</v>
      </c>
      <c r="N186" s="182"/>
      <c r="O186" s="182"/>
      <c r="P186" s="178"/>
      <c r="Q186" s="168" t="s">
        <v>871</v>
      </c>
      <c r="R186" s="166">
        <v>171</v>
      </c>
      <c r="S186" s="169" t="s">
        <v>592</v>
      </c>
      <c r="T186" s="170"/>
      <c r="U186" s="7"/>
      <c r="V186" s="61"/>
      <c r="Y186" s="359" t="str">
        <f t="shared" si="33"/>
        <v>twist_angle_p1</v>
      </c>
      <c r="Z186" s="360" t="str">
        <f t="shared" si="34"/>
        <v>double</v>
      </c>
      <c r="AA186" s="360" t="str">
        <f t="shared" si="35"/>
        <v>scalaire</v>
      </c>
      <c r="AB186" s="360" t="str">
        <f t="shared" si="36"/>
        <v>Angle de vrillage au plan 1</v>
      </c>
      <c r="AC186" s="360" t="str">
        <f t="shared" si="37"/>
        <v>degré</v>
      </c>
      <c r="AD186" s="361" t="str">
        <f t="shared" si="38"/>
        <v>variable: twist_angle_p1 double input description= "Angle de vrillage au plan 1" units= "degré"</v>
      </c>
      <c r="AE186" s="359" t="str">
        <f t="shared" si="27"/>
        <v>X2.aerodynamics.twists_and_fillets</v>
      </c>
      <c r="AF186" s="360" t="str">
        <f t="shared" si="28"/>
        <v>Y20.aerodynamics.twists_and_fillets</v>
      </c>
      <c r="AG186" s="360" t="str">
        <f t="shared" si="29"/>
        <v>Y23.aerodynamics.twists_and_fillets</v>
      </c>
      <c r="AH186" s="360" t="str">
        <f t="shared" si="30"/>
        <v/>
      </c>
      <c r="AI186" s="360" t="str">
        <f t="shared" si="31"/>
        <v/>
      </c>
      <c r="AJ186" s="361" t="str">
        <f t="shared" si="32"/>
        <v/>
      </c>
    </row>
    <row r="187" spans="2:36" x14ac:dyDescent="0.2">
      <c r="B187" s="329"/>
      <c r="C187" s="330"/>
      <c r="D187" s="177" t="s">
        <v>254</v>
      </c>
      <c r="E187" s="178" t="s">
        <v>80</v>
      </c>
      <c r="F187" s="165" t="s">
        <v>844</v>
      </c>
      <c r="G187" s="166" t="s">
        <v>855</v>
      </c>
      <c r="H187" s="179" t="s">
        <v>347</v>
      </c>
      <c r="I187" s="182" t="s">
        <v>13</v>
      </c>
      <c r="J187" s="180" t="s">
        <v>42</v>
      </c>
      <c r="K187" s="181" t="s">
        <v>118</v>
      </c>
      <c r="L187" s="182" t="s">
        <v>561</v>
      </c>
      <c r="M187" s="182" t="s">
        <v>74</v>
      </c>
      <c r="N187" s="182"/>
      <c r="O187" s="182"/>
      <c r="P187" s="178"/>
      <c r="Q187" s="168" t="s">
        <v>678</v>
      </c>
      <c r="R187" s="166">
        <v>172</v>
      </c>
      <c r="S187" s="169" t="s">
        <v>592</v>
      </c>
      <c r="T187" s="170"/>
      <c r="U187" s="7"/>
      <c r="V187" s="61"/>
      <c r="Y187" s="359" t="str">
        <f t="shared" si="33"/>
        <v>twist_angle_p2</v>
      </c>
      <c r="Z187" s="360" t="str">
        <f t="shared" si="34"/>
        <v>double</v>
      </c>
      <c r="AA187" s="360" t="str">
        <f t="shared" si="35"/>
        <v>scalaire</v>
      </c>
      <c r="AB187" s="360" t="str">
        <f t="shared" si="36"/>
        <v>Angle de vrillage au plan 2</v>
      </c>
      <c r="AC187" s="360" t="str">
        <f t="shared" si="37"/>
        <v>degré</v>
      </c>
      <c r="AD187" s="361" t="str">
        <f t="shared" si="38"/>
        <v>variable: twist_angle_p2 double input description= "Angle de vrillage au plan 2" units= "degré"</v>
      </c>
      <c r="AE187" s="359" t="str">
        <f t="shared" si="27"/>
        <v>X2.aerodynamics.twists_and_fillets</v>
      </c>
      <c r="AF187" s="360" t="str">
        <f t="shared" si="28"/>
        <v>Y20.aerodynamics.twists_and_fillets</v>
      </c>
      <c r="AG187" s="360" t="str">
        <f t="shared" si="29"/>
        <v>Y23.aerodynamics.twists_and_fillets</v>
      </c>
      <c r="AH187" s="360" t="str">
        <f t="shared" si="30"/>
        <v/>
      </c>
      <c r="AI187" s="360" t="str">
        <f t="shared" si="31"/>
        <v/>
      </c>
      <c r="AJ187" s="361" t="str">
        <f t="shared" si="32"/>
        <v/>
      </c>
    </row>
    <row r="188" spans="2:36" x14ac:dyDescent="0.2">
      <c r="B188" s="329"/>
      <c r="C188" s="330"/>
      <c r="D188" s="177" t="s">
        <v>522</v>
      </c>
      <c r="E188" s="178" t="s">
        <v>556</v>
      </c>
      <c r="F188" s="165" t="s">
        <v>844</v>
      </c>
      <c r="G188" s="166" t="s">
        <v>855</v>
      </c>
      <c r="H188" s="179" t="s">
        <v>347</v>
      </c>
      <c r="I188" s="182" t="s">
        <v>13</v>
      </c>
      <c r="J188" s="180" t="s">
        <v>42</v>
      </c>
      <c r="K188" s="181" t="s">
        <v>118</v>
      </c>
      <c r="L188" s="182" t="s">
        <v>561</v>
      </c>
      <c r="M188" s="182" t="s">
        <v>74</v>
      </c>
      <c r="N188" s="182"/>
      <c r="O188" s="182"/>
      <c r="P188" s="178"/>
      <c r="Q188" s="168" t="s">
        <v>679</v>
      </c>
      <c r="R188" s="166">
        <v>173</v>
      </c>
      <c r="S188" s="169" t="s">
        <v>592</v>
      </c>
      <c r="T188" s="170"/>
      <c r="U188" s="7"/>
      <c r="V188" s="61"/>
      <c r="Y188" s="359" t="str">
        <f t="shared" si="33"/>
        <v>twist_angle_p2_1</v>
      </c>
      <c r="Z188" s="360" t="str">
        <f t="shared" si="34"/>
        <v>double</v>
      </c>
      <c r="AA188" s="360" t="str">
        <f t="shared" si="35"/>
        <v>scalaire</v>
      </c>
      <c r="AB188" s="360" t="str">
        <f t="shared" si="36"/>
        <v>Angle de vrillage au plan 2.1</v>
      </c>
      <c r="AC188" s="360" t="str">
        <f t="shared" si="37"/>
        <v>degré</v>
      </c>
      <c r="AD188" s="361" t="str">
        <f t="shared" si="38"/>
        <v>variable: twist_angle_p2_1 double input description= "Angle de vrillage au plan 2.1" units= "degré"</v>
      </c>
      <c r="AE188" s="359" t="str">
        <f t="shared" si="27"/>
        <v>X2.aerodynamics.twists_and_fillets</v>
      </c>
      <c r="AF188" s="360" t="str">
        <f t="shared" si="28"/>
        <v>Y20.aerodynamics.twists_and_fillets</v>
      </c>
      <c r="AG188" s="360" t="str">
        <f t="shared" si="29"/>
        <v>Y23.aerodynamics.twists_and_fillets</v>
      </c>
      <c r="AH188" s="360" t="str">
        <f t="shared" si="30"/>
        <v/>
      </c>
      <c r="AI188" s="360" t="str">
        <f t="shared" si="31"/>
        <v/>
      </c>
      <c r="AJ188" s="361" t="str">
        <f t="shared" si="32"/>
        <v/>
      </c>
    </row>
    <row r="189" spans="2:36" x14ac:dyDescent="0.2">
      <c r="B189" s="329"/>
      <c r="C189" s="330"/>
      <c r="D189" s="177" t="s">
        <v>255</v>
      </c>
      <c r="E189" s="178" t="s">
        <v>81</v>
      </c>
      <c r="F189" s="165" t="s">
        <v>844</v>
      </c>
      <c r="G189" s="166" t="s">
        <v>855</v>
      </c>
      <c r="H189" s="179" t="s">
        <v>347</v>
      </c>
      <c r="I189" s="182" t="s">
        <v>13</v>
      </c>
      <c r="J189" s="180" t="s">
        <v>42</v>
      </c>
      <c r="K189" s="181" t="s">
        <v>118</v>
      </c>
      <c r="L189" s="182" t="s">
        <v>561</v>
      </c>
      <c r="M189" s="182" t="s">
        <v>74</v>
      </c>
      <c r="N189" s="182"/>
      <c r="O189" s="182"/>
      <c r="P189" s="178"/>
      <c r="Q189" s="168" t="s">
        <v>680</v>
      </c>
      <c r="R189" s="166">
        <v>174</v>
      </c>
      <c r="S189" s="169" t="s">
        <v>592</v>
      </c>
      <c r="T189" s="170"/>
      <c r="U189" s="7"/>
      <c r="V189" s="61"/>
      <c r="Y189" s="359" t="str">
        <f t="shared" si="33"/>
        <v>twist_angle_p3</v>
      </c>
      <c r="Z189" s="360" t="str">
        <f t="shared" si="34"/>
        <v>double</v>
      </c>
      <c r="AA189" s="360" t="str">
        <f t="shared" si="35"/>
        <v>scalaire</v>
      </c>
      <c r="AB189" s="360" t="str">
        <f t="shared" si="36"/>
        <v>Angle de vrillage au plan 3</v>
      </c>
      <c r="AC189" s="360" t="str">
        <f t="shared" si="37"/>
        <v>degré</v>
      </c>
      <c r="AD189" s="361" t="str">
        <f t="shared" si="38"/>
        <v>variable: twist_angle_p3 double input description= "Angle de vrillage au plan 3" units= "degré"</v>
      </c>
      <c r="AE189" s="359" t="str">
        <f t="shared" si="27"/>
        <v>X2.aerodynamics.twists_and_fillets</v>
      </c>
      <c r="AF189" s="360" t="str">
        <f t="shared" si="28"/>
        <v>Y20.aerodynamics.twists_and_fillets</v>
      </c>
      <c r="AG189" s="360" t="str">
        <f t="shared" si="29"/>
        <v>Y23.aerodynamics.twists_and_fillets</v>
      </c>
      <c r="AH189" s="360" t="str">
        <f t="shared" si="30"/>
        <v/>
      </c>
      <c r="AI189" s="360" t="str">
        <f t="shared" si="31"/>
        <v/>
      </c>
      <c r="AJ189" s="361" t="str">
        <f t="shared" si="32"/>
        <v/>
      </c>
    </row>
    <row r="190" spans="2:36" x14ac:dyDescent="0.2">
      <c r="B190" s="329"/>
      <c r="C190" s="183" t="s">
        <v>343</v>
      </c>
      <c r="D190" s="177" t="s">
        <v>115</v>
      </c>
      <c r="E190" s="178" t="s">
        <v>449</v>
      </c>
      <c r="F190" s="165" t="s">
        <v>844</v>
      </c>
      <c r="G190" s="166" t="s">
        <v>850</v>
      </c>
      <c r="H190" s="179" t="s">
        <v>72</v>
      </c>
      <c r="I190" s="167" t="s">
        <v>587</v>
      </c>
      <c r="J190" s="180" t="s">
        <v>51</v>
      </c>
      <c r="K190" s="181" t="s">
        <v>118</v>
      </c>
      <c r="L190" s="182"/>
      <c r="M190" s="182"/>
      <c r="N190" s="182"/>
      <c r="O190" s="182"/>
      <c r="P190" s="178"/>
      <c r="Q190" s="168" t="s">
        <v>802</v>
      </c>
      <c r="R190" s="166">
        <v>175</v>
      </c>
      <c r="S190" s="169" t="s">
        <v>592</v>
      </c>
      <c r="T190" s="170"/>
      <c r="U190" s="7"/>
      <c r="V190" s="61"/>
      <c r="Y190" s="359" t="str">
        <f t="shared" si="33"/>
        <v>aerodynamic_inputs_table</v>
      </c>
      <c r="Z190" s="360" t="str">
        <f t="shared" si="34"/>
        <v>double[]</v>
      </c>
      <c r="AA190" s="360" t="str">
        <f t="shared" si="35"/>
        <v>table</v>
      </c>
      <c r="AB190" s="360" t="str">
        <f t="shared" si="36"/>
        <v>Points de vol pour le calcul de l'aérodynamique (z, Mach)</v>
      </c>
      <c r="AC190" s="360" t="str">
        <f t="shared" si="37"/>
        <v>(-)</v>
      </c>
      <c r="AD190" s="361" t="str">
        <f t="shared" si="38"/>
        <v>variable: aerodynamic_inputs_table double[] input description= "Points de vol pour le calcul de l'aérodynamique (z, Mach)" units= "(-)"</v>
      </c>
      <c r="AE190" s="359" t="str">
        <f t="shared" si="27"/>
        <v>X2.aerodynamics.inputs</v>
      </c>
      <c r="AF190" s="360" t="str">
        <f t="shared" si="28"/>
        <v/>
      </c>
      <c r="AG190" s="360" t="str">
        <f t="shared" si="29"/>
        <v/>
      </c>
      <c r="AH190" s="360" t="str">
        <f t="shared" si="30"/>
        <v/>
      </c>
      <c r="AI190" s="360" t="str">
        <f t="shared" si="31"/>
        <v/>
      </c>
      <c r="AJ190" s="361" t="str">
        <f t="shared" si="32"/>
        <v/>
      </c>
    </row>
    <row r="191" spans="2:36" x14ac:dyDescent="0.2">
      <c r="B191" s="329"/>
      <c r="C191" s="183" t="s">
        <v>119</v>
      </c>
      <c r="D191" s="177" t="s">
        <v>119</v>
      </c>
      <c r="E191" s="178" t="s">
        <v>534</v>
      </c>
      <c r="F191" s="165" t="s">
        <v>844</v>
      </c>
      <c r="G191" s="166" t="s">
        <v>856</v>
      </c>
      <c r="H191" s="179" t="s">
        <v>72</v>
      </c>
      <c r="I191" s="167" t="s">
        <v>587</v>
      </c>
      <c r="J191" s="180" t="s">
        <v>51</v>
      </c>
      <c r="K191" s="181" t="s">
        <v>120</v>
      </c>
      <c r="L191" s="182"/>
      <c r="M191" s="182"/>
      <c r="N191" s="182"/>
      <c r="O191" s="182"/>
      <c r="P191" s="178"/>
      <c r="Q191" s="168" t="s">
        <v>806</v>
      </c>
      <c r="R191" s="166">
        <v>176</v>
      </c>
      <c r="S191" s="169" t="s">
        <v>592</v>
      </c>
      <c r="T191" s="170"/>
      <c r="U191" s="7"/>
      <c r="V191" s="61"/>
      <c r="Y191" s="359" t="str">
        <f t="shared" si="33"/>
        <v>drag_coefficient_table</v>
      </c>
      <c r="Z191" s="360" t="str">
        <f t="shared" si="34"/>
        <v>double[]</v>
      </c>
      <c r="AA191" s="360" t="str">
        <f t="shared" si="35"/>
        <v>table</v>
      </c>
      <c r="AB191" s="360" t="str">
        <f t="shared" si="36"/>
        <v>Cx aux points Tableaero (z, Mach,Cz)</v>
      </c>
      <c r="AC191" s="360" t="str">
        <f t="shared" si="37"/>
        <v>(-)</v>
      </c>
      <c r="AD191" s="361" t="str">
        <f t="shared" si="38"/>
        <v>variable: drag_coefficient_table double[] input description= "Cx aux points Tableaero (z, Mach,Cz)" units= "(-)"</v>
      </c>
      <c r="AE191" s="359" t="str">
        <f t="shared" si="27"/>
        <v>Y24.aerodynamics.drag</v>
      </c>
      <c r="AF191" s="360" t="str">
        <f t="shared" si="28"/>
        <v/>
      </c>
      <c r="AG191" s="360" t="str">
        <f t="shared" si="29"/>
        <v/>
      </c>
      <c r="AH191" s="360" t="str">
        <f t="shared" si="30"/>
        <v/>
      </c>
      <c r="AI191" s="360" t="str">
        <f t="shared" si="31"/>
        <v/>
      </c>
      <c r="AJ191" s="361" t="str">
        <f t="shared" si="32"/>
        <v/>
      </c>
    </row>
    <row r="192" spans="2:36" x14ac:dyDescent="0.2">
      <c r="B192" s="329"/>
      <c r="C192" s="183" t="s">
        <v>195</v>
      </c>
      <c r="D192" s="177" t="s">
        <v>196</v>
      </c>
      <c r="E192" s="178" t="s">
        <v>197</v>
      </c>
      <c r="F192" s="165" t="s">
        <v>844</v>
      </c>
      <c r="G192" s="166" t="s">
        <v>858</v>
      </c>
      <c r="H192" s="179" t="s">
        <v>72</v>
      </c>
      <c r="I192" s="167" t="s">
        <v>587</v>
      </c>
      <c r="J192" s="180" t="s">
        <v>51</v>
      </c>
      <c r="K192" s="181" t="s">
        <v>163</v>
      </c>
      <c r="L192" s="182"/>
      <c r="M192" s="182"/>
      <c r="N192" s="182"/>
      <c r="O192" s="182"/>
      <c r="P192" s="178"/>
      <c r="Q192" s="168" t="s">
        <v>803</v>
      </c>
      <c r="R192" s="166">
        <v>177</v>
      </c>
      <c r="S192" s="169" t="s">
        <v>592</v>
      </c>
      <c r="T192" s="170"/>
      <c r="U192" s="7"/>
      <c r="V192" s="61"/>
      <c r="Y192" s="359" t="str">
        <f t="shared" si="33"/>
        <v>lift_over_drag_ratio_table</v>
      </c>
      <c r="Z192" s="360" t="str">
        <f t="shared" si="34"/>
        <v>double[]</v>
      </c>
      <c r="AA192" s="360" t="str">
        <f t="shared" si="35"/>
        <v>table</v>
      </c>
      <c r="AB192" s="360" t="str">
        <f t="shared" si="36"/>
        <v>Finesse aux points Tableaero</v>
      </c>
      <c r="AC192" s="360" t="str">
        <f t="shared" si="37"/>
        <v>(-)</v>
      </c>
      <c r="AD192" s="361" t="str">
        <f t="shared" si="38"/>
        <v>variable: lift_over_drag_ratio_table double[] input description= "Finesse aux points Tableaero" units= "(-)"</v>
      </c>
      <c r="AE192" s="359" t="str">
        <f t="shared" si="27"/>
        <v>Y2x.aerodynamics.lift_over_drag</v>
      </c>
      <c r="AF192" s="360" t="str">
        <f t="shared" si="28"/>
        <v/>
      </c>
      <c r="AG192" s="360" t="str">
        <f t="shared" si="29"/>
        <v/>
      </c>
      <c r="AH192" s="360" t="str">
        <f t="shared" si="30"/>
        <v/>
      </c>
      <c r="AI192" s="360" t="str">
        <f t="shared" si="31"/>
        <v/>
      </c>
      <c r="AJ192" s="361" t="str">
        <f t="shared" si="32"/>
        <v/>
      </c>
    </row>
    <row r="193" spans="2:36" x14ac:dyDescent="0.2">
      <c r="B193" s="329"/>
      <c r="C193" s="183" t="s">
        <v>458</v>
      </c>
      <c r="D193" s="177" t="s">
        <v>450</v>
      </c>
      <c r="E193" s="178" t="s">
        <v>451</v>
      </c>
      <c r="F193" s="165" t="s">
        <v>844</v>
      </c>
      <c r="G193" s="166" t="s">
        <v>857</v>
      </c>
      <c r="H193" s="179" t="s">
        <v>72</v>
      </c>
      <c r="I193" s="167" t="s">
        <v>587</v>
      </c>
      <c r="J193" s="180" t="s">
        <v>466</v>
      </c>
      <c r="K193" s="181" t="s">
        <v>163</v>
      </c>
      <c r="L193" s="182"/>
      <c r="M193" s="182"/>
      <c r="N193" s="182"/>
      <c r="O193" s="182"/>
      <c r="P193" s="178"/>
      <c r="Q193" s="168" t="s">
        <v>804</v>
      </c>
      <c r="R193" s="166">
        <v>178</v>
      </c>
      <c r="S193" s="169" t="s">
        <v>592</v>
      </c>
      <c r="T193" s="170"/>
      <c r="U193" s="7"/>
      <c r="V193" s="61"/>
      <c r="Y193" s="359" t="str">
        <f t="shared" si="33"/>
        <v>angle_of_attack_table</v>
      </c>
      <c r="Z193" s="360" t="str">
        <f t="shared" si="34"/>
        <v>double[]</v>
      </c>
      <c r="AA193" s="360" t="str">
        <f t="shared" si="35"/>
        <v>table</v>
      </c>
      <c r="AB193" s="360" t="str">
        <f t="shared" si="36"/>
        <v>Incidence aux points Tableaero</v>
      </c>
      <c r="AC193" s="360" t="str">
        <f t="shared" si="37"/>
        <v>rad</v>
      </c>
      <c r="AD193" s="361" t="str">
        <f t="shared" si="38"/>
        <v>variable: angle_of_attack_table double[] input description= "Incidence aux points Tableaero" units= "rad"</v>
      </c>
      <c r="AE193" s="359" t="str">
        <f t="shared" si="27"/>
        <v>Y2x.aerodynamics.angle_of_attack</v>
      </c>
      <c r="AF193" s="360" t="str">
        <f t="shared" si="28"/>
        <v/>
      </c>
      <c r="AG193" s="360" t="str">
        <f t="shared" si="29"/>
        <v/>
      </c>
      <c r="AH193" s="360" t="str">
        <f t="shared" si="30"/>
        <v/>
      </c>
      <c r="AI193" s="360" t="str">
        <f t="shared" si="31"/>
        <v/>
      </c>
      <c r="AJ193" s="361" t="str">
        <f t="shared" si="32"/>
        <v/>
      </c>
    </row>
    <row r="194" spans="2:36" x14ac:dyDescent="0.2">
      <c r="B194" s="329"/>
      <c r="C194" s="183" t="s">
        <v>459</v>
      </c>
      <c r="D194" s="177" t="s">
        <v>452</v>
      </c>
      <c r="E194" s="178" t="s">
        <v>453</v>
      </c>
      <c r="F194" s="165" t="s">
        <v>844</v>
      </c>
      <c r="G194" s="166" t="s">
        <v>859</v>
      </c>
      <c r="H194" s="179" t="s">
        <v>347</v>
      </c>
      <c r="I194" s="182" t="s">
        <v>13</v>
      </c>
      <c r="J194" s="180" t="s">
        <v>12</v>
      </c>
      <c r="K194" s="181" t="s">
        <v>163</v>
      </c>
      <c r="L194" s="182"/>
      <c r="M194" s="182"/>
      <c r="N194" s="182"/>
      <c r="O194" s="182"/>
      <c r="P194" s="178"/>
      <c r="Q194" s="168" t="s">
        <v>805</v>
      </c>
      <c r="R194" s="166">
        <v>179</v>
      </c>
      <c r="S194" s="169" t="s">
        <v>592</v>
      </c>
      <c r="T194" s="170"/>
      <c r="U194" s="7"/>
      <c r="V194" s="61"/>
      <c r="Y194" s="359" t="str">
        <f t="shared" si="33"/>
        <v>mean_aerodynamic_chord</v>
      </c>
      <c r="Z194" s="360" t="str">
        <f t="shared" si="34"/>
        <v>double</v>
      </c>
      <c r="AA194" s="360" t="str">
        <f t="shared" si="35"/>
        <v>scalaire</v>
      </c>
      <c r="AB194" s="360" t="str">
        <f t="shared" si="36"/>
        <v>Corde Moyenne Aérodynamique</v>
      </c>
      <c r="AC194" s="360" t="str">
        <f t="shared" si="37"/>
        <v>m</v>
      </c>
      <c r="AD194" s="361" t="str">
        <f t="shared" si="38"/>
        <v>variable: mean_aerodynamic_chord double input description= "Corde Moyenne Aérodynamique" units= "m"</v>
      </c>
      <c r="AE194" s="359" t="str">
        <f t="shared" si="27"/>
        <v>Y2x.aerodynamics.MAC</v>
      </c>
      <c r="AF194" s="360" t="str">
        <f t="shared" si="28"/>
        <v/>
      </c>
      <c r="AG194" s="360" t="str">
        <f t="shared" si="29"/>
        <v/>
      </c>
      <c r="AH194" s="360" t="str">
        <f t="shared" si="30"/>
        <v/>
      </c>
      <c r="AI194" s="360" t="str">
        <f t="shared" si="31"/>
        <v/>
      </c>
      <c r="AJ194" s="361" t="str">
        <f t="shared" si="32"/>
        <v/>
      </c>
    </row>
    <row r="195" spans="2:36" x14ac:dyDescent="0.2">
      <c r="B195" s="329"/>
      <c r="C195" s="330" t="s">
        <v>191</v>
      </c>
      <c r="D195" s="177" t="s">
        <v>93</v>
      </c>
      <c r="E195" s="178" t="s">
        <v>204</v>
      </c>
      <c r="F195" s="165" t="s">
        <v>844</v>
      </c>
      <c r="G195" s="166" t="s">
        <v>686</v>
      </c>
      <c r="H195" s="179" t="s">
        <v>72</v>
      </c>
      <c r="I195" s="167" t="s">
        <v>587</v>
      </c>
      <c r="J195" s="180" t="s">
        <v>94</v>
      </c>
      <c r="K195" s="181" t="s">
        <v>74</v>
      </c>
      <c r="L195" s="182"/>
      <c r="M195" s="182"/>
      <c r="N195" s="182"/>
      <c r="O195" s="182"/>
      <c r="P195" s="178"/>
      <c r="Q195" s="168" t="s">
        <v>989</v>
      </c>
      <c r="R195" s="166">
        <v>180</v>
      </c>
      <c r="S195" s="169" t="s">
        <v>592</v>
      </c>
      <c r="T195" s="170"/>
      <c r="U195" s="7"/>
      <c r="V195" s="61"/>
      <c r="Y195" s="359" t="str">
        <f t="shared" si="33"/>
        <v>lift_distribution_table</v>
      </c>
      <c r="Z195" s="360" t="str">
        <f t="shared" si="34"/>
        <v>double[]</v>
      </c>
      <c r="AA195" s="360" t="str">
        <f t="shared" si="35"/>
        <v>table</v>
      </c>
      <c r="AB195" s="360" t="str">
        <f t="shared" si="36"/>
        <v>Répartition de portance en envergure pour le dimensionnement de la structure</v>
      </c>
      <c r="AC195" s="360" t="str">
        <f t="shared" si="37"/>
        <v>N/m</v>
      </c>
      <c r="AD195" s="361" t="str">
        <f t="shared" si="38"/>
        <v>variable: lift_distribution_table double[] input description= "Répartition de portance en envergure pour le dimensionnement de la structure" units= "N/m"</v>
      </c>
      <c r="AE195" s="359" t="str">
        <f t="shared" si="27"/>
        <v>Y23.aerodynamics.lift</v>
      </c>
      <c r="AF195" s="360" t="str">
        <f t="shared" si="28"/>
        <v/>
      </c>
      <c r="AG195" s="360" t="str">
        <f t="shared" si="29"/>
        <v/>
      </c>
      <c r="AH195" s="360" t="str">
        <f t="shared" si="30"/>
        <v/>
      </c>
      <c r="AI195" s="360" t="str">
        <f t="shared" si="31"/>
        <v/>
      </c>
      <c r="AJ195" s="361" t="str">
        <f t="shared" si="32"/>
        <v/>
      </c>
    </row>
    <row r="196" spans="2:36" x14ac:dyDescent="0.2">
      <c r="B196" s="329"/>
      <c r="C196" s="330"/>
      <c r="D196" s="177" t="s">
        <v>101</v>
      </c>
      <c r="E196" s="178" t="s">
        <v>353</v>
      </c>
      <c r="F196" s="165" t="s">
        <v>844</v>
      </c>
      <c r="G196" s="166" t="s">
        <v>686</v>
      </c>
      <c r="H196" s="179" t="s">
        <v>72</v>
      </c>
      <c r="I196" s="167" t="s">
        <v>587</v>
      </c>
      <c r="J196" s="180" t="s">
        <v>464</v>
      </c>
      <c r="K196" s="181" t="s">
        <v>74</v>
      </c>
      <c r="L196" s="182"/>
      <c r="M196" s="182"/>
      <c r="N196" s="182"/>
      <c r="O196" s="182"/>
      <c r="P196" s="178"/>
      <c r="Q196" s="168" t="s">
        <v>990</v>
      </c>
      <c r="R196" s="166">
        <v>181</v>
      </c>
      <c r="S196" s="169" t="s">
        <v>592</v>
      </c>
      <c r="T196" s="170"/>
      <c r="U196" s="7"/>
      <c r="V196" s="61"/>
      <c r="Y196" s="359" t="str">
        <f t="shared" si="33"/>
        <v>lift_gradient_table</v>
      </c>
      <c r="Z196" s="360" t="str">
        <f t="shared" si="34"/>
        <v>double[]</v>
      </c>
      <c r="AA196" s="360" t="str">
        <f t="shared" si="35"/>
        <v>table</v>
      </c>
      <c r="AB196" s="360" t="str">
        <f t="shared" si="36"/>
        <v>Gradient de portance aux points de vol pour le dimensionnement de la structure</v>
      </c>
      <c r="AC196" s="360" t="str">
        <f t="shared" si="37"/>
        <v>rad-1</v>
      </c>
      <c r="AD196" s="361" t="str">
        <f t="shared" si="38"/>
        <v>variable: lift_gradient_table double[] input description= "Gradient de portance aux points de vol pour le dimensionnement de la structure" units= "rad-1"</v>
      </c>
      <c r="AE196" s="359" t="str">
        <f t="shared" si="27"/>
        <v>Y23.aerodynamics.lift</v>
      </c>
      <c r="AF196" s="360" t="str">
        <f t="shared" si="28"/>
        <v/>
      </c>
      <c r="AG196" s="360" t="str">
        <f t="shared" si="29"/>
        <v/>
      </c>
      <c r="AH196" s="360" t="str">
        <f t="shared" si="30"/>
        <v/>
      </c>
      <c r="AI196" s="360" t="str">
        <f t="shared" si="31"/>
        <v/>
      </c>
      <c r="AJ196" s="361" t="str">
        <f t="shared" si="32"/>
        <v/>
      </c>
    </row>
    <row r="197" spans="2:36" x14ac:dyDescent="0.2">
      <c r="B197" s="329"/>
      <c r="C197" s="330"/>
      <c r="D197" s="177" t="s">
        <v>102</v>
      </c>
      <c r="E197" s="178" t="s">
        <v>870</v>
      </c>
      <c r="F197" s="165" t="s">
        <v>844</v>
      </c>
      <c r="G197" s="166" t="s">
        <v>686</v>
      </c>
      <c r="H197" s="179" t="s">
        <v>72</v>
      </c>
      <c r="I197" s="167" t="s">
        <v>587</v>
      </c>
      <c r="J197" s="180" t="s">
        <v>51</v>
      </c>
      <c r="K197" s="181" t="s">
        <v>74</v>
      </c>
      <c r="L197" s="182" t="s">
        <v>120</v>
      </c>
      <c r="M197" s="182"/>
      <c r="N197" s="182"/>
      <c r="O197" s="182"/>
      <c r="P197" s="178"/>
      <c r="Q197" s="168" t="s">
        <v>991</v>
      </c>
      <c r="R197" s="166">
        <v>182</v>
      </c>
      <c r="S197" s="169" t="s">
        <v>592</v>
      </c>
      <c r="T197" s="170"/>
      <c r="U197" s="7"/>
      <c r="V197" s="61"/>
      <c r="Y197" s="359" t="str">
        <f t="shared" si="33"/>
        <v>maximum_lift_coefficient_table</v>
      </c>
      <c r="Z197" s="360" t="str">
        <f t="shared" si="34"/>
        <v>double[]</v>
      </c>
      <c r="AA197" s="360" t="str">
        <f t="shared" si="35"/>
        <v>table</v>
      </c>
      <c r="AB197" s="360" t="str">
        <f t="shared" si="36"/>
        <v>Czmax</v>
      </c>
      <c r="AC197" s="360" t="str">
        <f t="shared" si="37"/>
        <v>(-)</v>
      </c>
      <c r="AD197" s="361" t="str">
        <f t="shared" si="38"/>
        <v>variable: maximum_lift_coefficient_table double[] input description= "Czmax" units= "(-)"</v>
      </c>
      <c r="AE197" s="359" t="str">
        <f t="shared" si="27"/>
        <v>Y23.aerodynamics.lift</v>
      </c>
      <c r="AF197" s="360" t="str">
        <f t="shared" si="28"/>
        <v>Y24.aerodynamics.lift</v>
      </c>
      <c r="AG197" s="360" t="str">
        <f t="shared" si="29"/>
        <v/>
      </c>
      <c r="AH197" s="360" t="str">
        <f t="shared" si="30"/>
        <v/>
      </c>
      <c r="AI197" s="360" t="str">
        <f t="shared" si="31"/>
        <v/>
      </c>
      <c r="AJ197" s="361" t="str">
        <f t="shared" si="32"/>
        <v/>
      </c>
    </row>
    <row r="198" spans="2:36" ht="13.5" thickBot="1" x14ac:dyDescent="0.25">
      <c r="B198" s="329"/>
      <c r="C198" s="184" t="s">
        <v>201</v>
      </c>
      <c r="D198" s="185" t="s">
        <v>202</v>
      </c>
      <c r="E198" s="186" t="s">
        <v>244</v>
      </c>
      <c r="F198" s="187" t="s">
        <v>844</v>
      </c>
      <c r="G198" s="188"/>
      <c r="H198" s="189" t="s">
        <v>72</v>
      </c>
      <c r="I198" s="190" t="s">
        <v>587</v>
      </c>
      <c r="J198" s="191" t="s">
        <v>51</v>
      </c>
      <c r="K198" s="192" t="s">
        <v>203</v>
      </c>
      <c r="L198" s="193"/>
      <c r="M198" s="193"/>
      <c r="N198" s="193"/>
      <c r="O198" s="193"/>
      <c r="P198" s="186"/>
      <c r="Q198" s="194" t="s">
        <v>992</v>
      </c>
      <c r="R198" s="294">
        <v>183</v>
      </c>
      <c r="S198" s="195" t="s">
        <v>592</v>
      </c>
      <c r="T198" s="196"/>
      <c r="U198" s="7"/>
      <c r="V198" s="61"/>
      <c r="Y198" s="359" t="str">
        <f t="shared" si="33"/>
        <v>aerodynamic_model_table</v>
      </c>
      <c r="Z198" s="360" t="str">
        <f t="shared" si="34"/>
        <v>double[]</v>
      </c>
      <c r="AA198" s="360" t="str">
        <f t="shared" si="35"/>
        <v>table</v>
      </c>
      <c r="AB198" s="360" t="str">
        <f t="shared" si="36"/>
        <v>Modèle aérodynamique complet (Cz, Cx, Cm, etc. en fonction de M ,α ,β, dl, etc.)</v>
      </c>
      <c r="AC198" s="360" t="str">
        <f t="shared" si="37"/>
        <v>(-)</v>
      </c>
      <c r="AD198" s="361" t="str">
        <f t="shared" si="38"/>
        <v>variable: aerodynamic_model_table double[] input description= "Modèle aérodynamique complet (Cz, Cx, Cm, etc. en fonction de M ,α ,β, dl, etc.)" units= "(-)"</v>
      </c>
      <c r="AE198" s="359" t="str">
        <f t="shared" si="27"/>
        <v>Y25.aerodynamics</v>
      </c>
      <c r="AF198" s="360" t="str">
        <f t="shared" si="28"/>
        <v/>
      </c>
      <c r="AG198" s="360" t="str">
        <f t="shared" si="29"/>
        <v/>
      </c>
      <c r="AH198" s="360" t="str">
        <f t="shared" si="30"/>
        <v/>
      </c>
      <c r="AI198" s="360" t="str">
        <f t="shared" si="31"/>
        <v/>
      </c>
      <c r="AJ198" s="361" t="str">
        <f t="shared" si="32"/>
        <v/>
      </c>
    </row>
    <row r="199" spans="2:36" x14ac:dyDescent="0.2">
      <c r="B199" s="324" t="s">
        <v>867</v>
      </c>
      <c r="C199" s="242" t="s">
        <v>344</v>
      </c>
      <c r="D199" s="243" t="s">
        <v>122</v>
      </c>
      <c r="E199" s="244" t="s">
        <v>123</v>
      </c>
      <c r="F199" s="245" t="s">
        <v>847</v>
      </c>
      <c r="G199" s="246" t="s">
        <v>688</v>
      </c>
      <c r="H199" s="247" t="s">
        <v>72</v>
      </c>
      <c r="I199" s="244" t="s">
        <v>587</v>
      </c>
      <c r="J199" s="248" t="s">
        <v>63</v>
      </c>
      <c r="K199" s="249" t="s">
        <v>17</v>
      </c>
      <c r="L199" s="244"/>
      <c r="M199" s="244"/>
      <c r="N199" s="244"/>
      <c r="O199" s="244"/>
      <c r="P199" s="250"/>
      <c r="Q199" s="251" t="s">
        <v>798</v>
      </c>
      <c r="R199" s="246">
        <v>184</v>
      </c>
      <c r="S199" s="252" t="s">
        <v>592</v>
      </c>
      <c r="T199" s="253"/>
      <c r="U199" s="7"/>
      <c r="V199" s="61"/>
      <c r="Y199" s="359" t="str">
        <f t="shared" si="33"/>
        <v>detailed_mass_budget_table</v>
      </c>
      <c r="Z199" s="360" t="str">
        <f t="shared" si="34"/>
        <v>double[]</v>
      </c>
      <c r="AA199" s="360" t="str">
        <f t="shared" si="35"/>
        <v>table</v>
      </c>
      <c r="AB199" s="360" t="str">
        <f t="shared" si="36"/>
        <v>Masse par postes i, d'après la norme AIR 2001</v>
      </c>
      <c r="AC199" s="360" t="str">
        <f t="shared" si="37"/>
        <v>kg</v>
      </c>
      <c r="AD199" s="361" t="str">
        <f t="shared" si="38"/>
        <v>variable: detailed_mass_budget_table double[] input description= "Masse par postes i, d'après la norme AIR 2001" units= "kg"</v>
      </c>
      <c r="AE199" s="359" t="str">
        <f t="shared" si="27"/>
        <v>Y3x.weight_balance_inertia.weight</v>
      </c>
      <c r="AF199" s="360" t="str">
        <f t="shared" si="28"/>
        <v/>
      </c>
      <c r="AG199" s="360" t="str">
        <f t="shared" si="29"/>
        <v/>
      </c>
      <c r="AH199" s="360" t="str">
        <f t="shared" si="30"/>
        <v/>
      </c>
      <c r="AI199" s="360" t="str">
        <f t="shared" si="31"/>
        <v/>
      </c>
      <c r="AJ199" s="361" t="str">
        <f t="shared" si="32"/>
        <v/>
      </c>
    </row>
    <row r="200" spans="2:36" x14ac:dyDescent="0.2">
      <c r="B200" s="325"/>
      <c r="C200" s="254" t="s">
        <v>523</v>
      </c>
      <c r="D200" s="255" t="s">
        <v>523</v>
      </c>
      <c r="E200" s="256" t="s">
        <v>524</v>
      </c>
      <c r="F200" s="257" t="s">
        <v>847</v>
      </c>
      <c r="G200" s="258" t="s">
        <v>688</v>
      </c>
      <c r="H200" s="259" t="s">
        <v>347</v>
      </c>
      <c r="I200" s="256" t="s">
        <v>13</v>
      </c>
      <c r="J200" s="260" t="s">
        <v>63</v>
      </c>
      <c r="K200" s="261" t="s">
        <v>17</v>
      </c>
      <c r="L200" s="256"/>
      <c r="M200" s="256"/>
      <c r="N200" s="256"/>
      <c r="O200" s="256"/>
      <c r="P200" s="262"/>
      <c r="Q200" s="263" t="s">
        <v>523</v>
      </c>
      <c r="R200" s="258">
        <v>185</v>
      </c>
      <c r="S200" s="264" t="s">
        <v>592</v>
      </c>
      <c r="T200" s="265"/>
      <c r="U200" s="7"/>
      <c r="V200" s="61"/>
      <c r="Y200" s="359" t="str">
        <f t="shared" si="33"/>
        <v>OEW</v>
      </c>
      <c r="Z200" s="360" t="str">
        <f t="shared" si="34"/>
        <v>double</v>
      </c>
      <c r="AA200" s="360" t="str">
        <f t="shared" si="35"/>
        <v>scalaire</v>
      </c>
      <c r="AB200" s="360" t="str">
        <f t="shared" si="36"/>
        <v>Operating Empty Weight</v>
      </c>
      <c r="AC200" s="360" t="str">
        <f t="shared" si="37"/>
        <v>kg</v>
      </c>
      <c r="AD200" s="361" t="str">
        <f t="shared" si="38"/>
        <v>variable: OEW double input description= "Operating Empty Weight" units= "kg"</v>
      </c>
      <c r="AE200" s="359" t="str">
        <f t="shared" si="27"/>
        <v>Y3x.weight_balance_inertia.weight</v>
      </c>
      <c r="AF200" s="360" t="str">
        <f t="shared" si="28"/>
        <v/>
      </c>
      <c r="AG200" s="360" t="str">
        <f t="shared" si="29"/>
        <v/>
      </c>
      <c r="AH200" s="360" t="str">
        <f t="shared" si="30"/>
        <v/>
      </c>
      <c r="AI200" s="360" t="str">
        <f t="shared" si="31"/>
        <v/>
      </c>
      <c r="AJ200" s="361" t="str">
        <f t="shared" si="32"/>
        <v/>
      </c>
    </row>
    <row r="201" spans="2:36" x14ac:dyDescent="0.2">
      <c r="B201" s="325"/>
      <c r="C201" s="254" t="s">
        <v>103</v>
      </c>
      <c r="D201" s="255" t="s">
        <v>103</v>
      </c>
      <c r="E201" s="256" t="s">
        <v>104</v>
      </c>
      <c r="F201" s="257" t="s">
        <v>847</v>
      </c>
      <c r="G201" s="258" t="s">
        <v>688</v>
      </c>
      <c r="H201" s="259" t="s">
        <v>347</v>
      </c>
      <c r="I201" s="256" t="s">
        <v>13</v>
      </c>
      <c r="J201" s="260" t="s">
        <v>63</v>
      </c>
      <c r="K201" s="261" t="s">
        <v>562</v>
      </c>
      <c r="L201" s="256" t="s">
        <v>563</v>
      </c>
      <c r="M201" s="256" t="s">
        <v>564</v>
      </c>
      <c r="N201" s="256"/>
      <c r="O201" s="256"/>
      <c r="P201" s="262"/>
      <c r="Q201" s="263" t="s">
        <v>103</v>
      </c>
      <c r="R201" s="258">
        <v>186</v>
      </c>
      <c r="S201" s="264" t="s">
        <v>592</v>
      </c>
      <c r="T201" s="265" t="s">
        <v>894</v>
      </c>
      <c r="U201" s="7"/>
      <c r="V201" s="61"/>
      <c r="Y201" s="359" t="str">
        <f t="shared" si="33"/>
        <v>MTOW</v>
      </c>
      <c r="Z201" s="360" t="str">
        <f t="shared" si="34"/>
        <v>double</v>
      </c>
      <c r="AA201" s="360" t="str">
        <f t="shared" si="35"/>
        <v>scalaire</v>
      </c>
      <c r="AB201" s="360" t="str">
        <f t="shared" si="36"/>
        <v>Maximum Take Off Weight</v>
      </c>
      <c r="AC201" s="360" t="str">
        <f t="shared" si="37"/>
        <v>kg</v>
      </c>
      <c r="AD201" s="361" t="str">
        <f t="shared" si="38"/>
        <v>variable: MTOW double input description= "Maximum Take Off Weight" units= "kg"</v>
      </c>
      <c r="AE201" s="359" t="str">
        <f t="shared" si="27"/>
        <v>Y34.weight_balance_inertia.weight</v>
      </c>
      <c r="AF201" s="360" t="str">
        <f t="shared" si="28"/>
        <v>Y43.weight_balance_inertia.weight</v>
      </c>
      <c r="AG201" s="360" t="str">
        <f t="shared" si="29"/>
        <v>Y35.weight_balance_inertia.weight</v>
      </c>
      <c r="AH201" s="360" t="str">
        <f t="shared" si="30"/>
        <v/>
      </c>
      <c r="AI201" s="360" t="str">
        <f t="shared" si="31"/>
        <v/>
      </c>
      <c r="AJ201" s="361" t="str">
        <f t="shared" si="32"/>
        <v/>
      </c>
    </row>
    <row r="202" spans="2:36" x14ac:dyDescent="0.2">
      <c r="B202" s="325"/>
      <c r="C202" s="254" t="s">
        <v>236</v>
      </c>
      <c r="D202" s="255" t="s">
        <v>236</v>
      </c>
      <c r="E202" s="256" t="s">
        <v>237</v>
      </c>
      <c r="F202" s="257" t="s">
        <v>847</v>
      </c>
      <c r="G202" s="258" t="s">
        <v>688</v>
      </c>
      <c r="H202" s="259" t="s">
        <v>347</v>
      </c>
      <c r="I202" s="256" t="s">
        <v>13</v>
      </c>
      <c r="J202" s="260" t="s">
        <v>63</v>
      </c>
      <c r="K202" s="261" t="s">
        <v>562</v>
      </c>
      <c r="L202" s="256" t="s">
        <v>563</v>
      </c>
      <c r="M202" s="256" t="s">
        <v>564</v>
      </c>
      <c r="N202" s="256"/>
      <c r="O202" s="256"/>
      <c r="P202" s="262"/>
      <c r="Q202" s="263" t="s">
        <v>236</v>
      </c>
      <c r="R202" s="258">
        <v>187</v>
      </c>
      <c r="S202" s="264" t="s">
        <v>592</v>
      </c>
      <c r="T202" s="265"/>
      <c r="U202" s="7"/>
      <c r="V202" s="61"/>
      <c r="Y202" s="359" t="str">
        <f t="shared" si="33"/>
        <v>ZFW</v>
      </c>
      <c r="Z202" s="360" t="str">
        <f t="shared" si="34"/>
        <v>double</v>
      </c>
      <c r="AA202" s="360" t="str">
        <f t="shared" si="35"/>
        <v>scalaire</v>
      </c>
      <c r="AB202" s="360" t="str">
        <f t="shared" si="36"/>
        <v>Zero Fuel Weight</v>
      </c>
      <c r="AC202" s="360" t="str">
        <f t="shared" si="37"/>
        <v>kg</v>
      </c>
      <c r="AD202" s="361" t="str">
        <f t="shared" si="38"/>
        <v>variable: ZFW double input description= "Zero Fuel Weight" units= "kg"</v>
      </c>
      <c r="AE202" s="359" t="str">
        <f t="shared" si="27"/>
        <v>Y34.weight_balance_inertia.weight</v>
      </c>
      <c r="AF202" s="360" t="str">
        <f t="shared" si="28"/>
        <v>Y43.weight_balance_inertia.weight</v>
      </c>
      <c r="AG202" s="360" t="str">
        <f t="shared" si="29"/>
        <v>Y35.weight_balance_inertia.weight</v>
      </c>
      <c r="AH202" s="360" t="str">
        <f t="shared" si="30"/>
        <v/>
      </c>
      <c r="AI202" s="360" t="str">
        <f t="shared" si="31"/>
        <v/>
      </c>
      <c r="AJ202" s="361" t="str">
        <f t="shared" si="32"/>
        <v/>
      </c>
    </row>
    <row r="203" spans="2:36" x14ac:dyDescent="0.2">
      <c r="B203" s="325"/>
      <c r="C203" s="254" t="s">
        <v>238</v>
      </c>
      <c r="D203" s="255" t="s">
        <v>238</v>
      </c>
      <c r="E203" s="256" t="s">
        <v>239</v>
      </c>
      <c r="F203" s="257" t="s">
        <v>847</v>
      </c>
      <c r="G203" s="258" t="s">
        <v>688</v>
      </c>
      <c r="H203" s="259" t="s">
        <v>347</v>
      </c>
      <c r="I203" s="256" t="s">
        <v>13</v>
      </c>
      <c r="J203" s="260" t="s">
        <v>63</v>
      </c>
      <c r="K203" s="261" t="s">
        <v>562</v>
      </c>
      <c r="L203" s="256" t="s">
        <v>563</v>
      </c>
      <c r="M203" s="256" t="s">
        <v>564</v>
      </c>
      <c r="N203" s="256"/>
      <c r="O203" s="256"/>
      <c r="P203" s="262"/>
      <c r="Q203" s="263" t="s">
        <v>238</v>
      </c>
      <c r="R203" s="258">
        <v>188</v>
      </c>
      <c r="S203" s="264" t="s">
        <v>592</v>
      </c>
      <c r="T203" s="265"/>
      <c r="U203" s="7"/>
      <c r="V203" s="61"/>
      <c r="Y203" s="359" t="str">
        <f t="shared" si="33"/>
        <v>MLW</v>
      </c>
      <c r="Z203" s="360" t="str">
        <f t="shared" si="34"/>
        <v>double</v>
      </c>
      <c r="AA203" s="360" t="str">
        <f t="shared" si="35"/>
        <v>scalaire</v>
      </c>
      <c r="AB203" s="360" t="str">
        <f t="shared" si="36"/>
        <v>Maximum Landing Weight</v>
      </c>
      <c r="AC203" s="360" t="str">
        <f t="shared" si="37"/>
        <v>kg</v>
      </c>
      <c r="AD203" s="361" t="str">
        <f t="shared" si="38"/>
        <v>variable: MLW double input description= "Maximum Landing Weight" units= "kg"</v>
      </c>
      <c r="AE203" s="359" t="str">
        <f t="shared" si="27"/>
        <v>Y34.weight_balance_inertia.weight</v>
      </c>
      <c r="AF203" s="360" t="str">
        <f t="shared" si="28"/>
        <v>Y43.weight_balance_inertia.weight</v>
      </c>
      <c r="AG203" s="360" t="str">
        <f t="shared" si="29"/>
        <v>Y35.weight_balance_inertia.weight</v>
      </c>
      <c r="AH203" s="360" t="str">
        <f t="shared" si="30"/>
        <v/>
      </c>
      <c r="AI203" s="360" t="str">
        <f t="shared" si="31"/>
        <v/>
      </c>
      <c r="AJ203" s="361" t="str">
        <f t="shared" si="32"/>
        <v/>
      </c>
    </row>
    <row r="204" spans="2:36" ht="12.75" customHeight="1" x14ac:dyDescent="0.2">
      <c r="B204" s="325"/>
      <c r="C204" s="341" t="s">
        <v>245</v>
      </c>
      <c r="D204" s="255" t="s">
        <v>334</v>
      </c>
      <c r="E204" s="256" t="s">
        <v>288</v>
      </c>
      <c r="F204" s="257" t="s">
        <v>847</v>
      </c>
      <c r="G204" s="258" t="s">
        <v>860</v>
      </c>
      <c r="H204" s="259" t="s">
        <v>72</v>
      </c>
      <c r="I204" s="256" t="s">
        <v>587</v>
      </c>
      <c r="J204" s="260" t="s">
        <v>12</v>
      </c>
      <c r="K204" s="261" t="s">
        <v>14</v>
      </c>
      <c r="L204" s="256"/>
      <c r="M204" s="256"/>
      <c r="N204" s="256"/>
      <c r="O204" s="256"/>
      <c r="P204" s="262"/>
      <c r="Q204" s="263" t="s">
        <v>781</v>
      </c>
      <c r="R204" s="258">
        <v>189</v>
      </c>
      <c r="S204" s="264" t="s">
        <v>592</v>
      </c>
      <c r="T204" s="265"/>
      <c r="U204" s="7"/>
      <c r="V204" s="61"/>
      <c r="Y204" s="359" t="str">
        <f t="shared" si="33"/>
        <v>cabin_seats_center_of_mass_position_table</v>
      </c>
      <c r="Z204" s="360" t="str">
        <f t="shared" si="34"/>
        <v>double[]</v>
      </c>
      <c r="AA204" s="360" t="str">
        <f t="shared" si="35"/>
        <v>table</v>
      </c>
      <c r="AB204" s="360" t="str">
        <f t="shared" si="36"/>
        <v>Position longitudinale et latérale du CdG des sièges passagers</v>
      </c>
      <c r="AC204" s="360" t="str">
        <f t="shared" si="37"/>
        <v>m</v>
      </c>
      <c r="AD204" s="361" t="str">
        <f t="shared" si="38"/>
        <v>variable: cabin_seats_center_of_mass_position_table double[] input description= "Position longitudinale et latérale du CdG des sièges passagers" units= "m"</v>
      </c>
      <c r="AE204" s="359" t="str">
        <f t="shared" si="27"/>
        <v>Y03.weight_balance_inertia.center_of_mass</v>
      </c>
      <c r="AF204" s="360" t="str">
        <f t="shared" si="28"/>
        <v/>
      </c>
      <c r="AG204" s="360" t="str">
        <f t="shared" si="29"/>
        <v/>
      </c>
      <c r="AH204" s="360" t="str">
        <f t="shared" si="30"/>
        <v/>
      </c>
      <c r="AI204" s="360" t="str">
        <f t="shared" si="31"/>
        <v/>
      </c>
      <c r="AJ204" s="361" t="str">
        <f t="shared" si="32"/>
        <v/>
      </c>
    </row>
    <row r="205" spans="2:36" x14ac:dyDescent="0.2">
      <c r="B205" s="325"/>
      <c r="C205" s="341"/>
      <c r="D205" s="255" t="s">
        <v>287</v>
      </c>
      <c r="E205" s="256" t="s">
        <v>289</v>
      </c>
      <c r="F205" s="257" t="s">
        <v>847</v>
      </c>
      <c r="G205" s="258" t="s">
        <v>860</v>
      </c>
      <c r="H205" s="259" t="s">
        <v>72</v>
      </c>
      <c r="I205" s="256" t="s">
        <v>587</v>
      </c>
      <c r="J205" s="260" t="s">
        <v>12</v>
      </c>
      <c r="K205" s="261" t="s">
        <v>14</v>
      </c>
      <c r="L205" s="256"/>
      <c r="M205" s="256"/>
      <c r="N205" s="256"/>
      <c r="O205" s="256"/>
      <c r="P205" s="262"/>
      <c r="Q205" s="263" t="s">
        <v>782</v>
      </c>
      <c r="R205" s="258">
        <v>190</v>
      </c>
      <c r="S205" s="264" t="s">
        <v>592</v>
      </c>
      <c r="T205" s="265"/>
      <c r="U205" s="7"/>
      <c r="V205" s="61"/>
      <c r="Y205" s="359" t="str">
        <f t="shared" si="33"/>
        <v>cabin_toilets_center_of_mass_position_table</v>
      </c>
      <c r="Z205" s="360" t="str">
        <f t="shared" si="34"/>
        <v>double[]</v>
      </c>
      <c r="AA205" s="360" t="str">
        <f t="shared" si="35"/>
        <v>table</v>
      </c>
      <c r="AB205" s="360" t="str">
        <f t="shared" si="36"/>
        <v>Position longitudinale et latérale du CdG des WC</v>
      </c>
      <c r="AC205" s="360" t="str">
        <f t="shared" si="37"/>
        <v>m</v>
      </c>
      <c r="AD205" s="361" t="str">
        <f t="shared" si="38"/>
        <v>variable: cabin_toilets_center_of_mass_position_table double[] input description= "Position longitudinale et latérale du CdG des WC" units= "m"</v>
      </c>
      <c r="AE205" s="359" t="str">
        <f t="shared" si="27"/>
        <v>Y03.weight_balance_inertia.center_of_mass</v>
      </c>
      <c r="AF205" s="360" t="str">
        <f t="shared" si="28"/>
        <v/>
      </c>
      <c r="AG205" s="360" t="str">
        <f t="shared" si="29"/>
        <v/>
      </c>
      <c r="AH205" s="360" t="str">
        <f t="shared" si="30"/>
        <v/>
      </c>
      <c r="AI205" s="360" t="str">
        <f t="shared" si="31"/>
        <v/>
      </c>
      <c r="AJ205" s="361" t="str">
        <f t="shared" si="32"/>
        <v/>
      </c>
    </row>
    <row r="206" spans="2:36" x14ac:dyDescent="0.2">
      <c r="B206" s="325"/>
      <c r="C206" s="341"/>
      <c r="D206" s="255" t="s">
        <v>335</v>
      </c>
      <c r="E206" s="256" t="s">
        <v>290</v>
      </c>
      <c r="F206" s="257" t="s">
        <v>847</v>
      </c>
      <c r="G206" s="258" t="s">
        <v>860</v>
      </c>
      <c r="H206" s="259" t="s">
        <v>72</v>
      </c>
      <c r="I206" s="256" t="s">
        <v>587</v>
      </c>
      <c r="J206" s="260" t="s">
        <v>12</v>
      </c>
      <c r="K206" s="261" t="s">
        <v>14</v>
      </c>
      <c r="L206" s="256"/>
      <c r="M206" s="256"/>
      <c r="N206" s="256"/>
      <c r="O206" s="256"/>
      <c r="P206" s="262"/>
      <c r="Q206" s="263" t="s">
        <v>783</v>
      </c>
      <c r="R206" s="258">
        <v>191</v>
      </c>
      <c r="S206" s="264" t="s">
        <v>592</v>
      </c>
      <c r="T206" s="265"/>
      <c r="U206" s="7"/>
      <c r="V206" s="61"/>
      <c r="Y206" s="359" t="str">
        <f t="shared" si="33"/>
        <v>cabin_galleys_center_of_mass_position_table</v>
      </c>
      <c r="Z206" s="360" t="str">
        <f t="shared" si="34"/>
        <v>double[]</v>
      </c>
      <c r="AA206" s="360" t="str">
        <f t="shared" si="35"/>
        <v>table</v>
      </c>
      <c r="AB206" s="360" t="str">
        <f t="shared" si="36"/>
        <v>Position longitudinale et latérale du CdG des galleys</v>
      </c>
      <c r="AC206" s="360" t="str">
        <f t="shared" si="37"/>
        <v>m</v>
      </c>
      <c r="AD206" s="361" t="str">
        <f t="shared" si="38"/>
        <v>variable: cabin_galleys_center_of_mass_position_table double[] input description= "Position longitudinale et latérale du CdG des galleys" units= "m"</v>
      </c>
      <c r="AE206" s="359" t="str">
        <f t="shared" si="27"/>
        <v>Y03.weight_balance_inertia.center_of_mass</v>
      </c>
      <c r="AF206" s="360" t="str">
        <f t="shared" si="28"/>
        <v/>
      </c>
      <c r="AG206" s="360" t="str">
        <f t="shared" si="29"/>
        <v/>
      </c>
      <c r="AH206" s="360" t="str">
        <f t="shared" si="30"/>
        <v/>
      </c>
      <c r="AI206" s="360" t="str">
        <f t="shared" si="31"/>
        <v/>
      </c>
      <c r="AJ206" s="361" t="str">
        <f t="shared" si="32"/>
        <v/>
      </c>
    </row>
    <row r="207" spans="2:36" x14ac:dyDescent="0.2">
      <c r="B207" s="325"/>
      <c r="C207" s="341"/>
      <c r="D207" s="255" t="s">
        <v>336</v>
      </c>
      <c r="E207" s="256" t="s">
        <v>291</v>
      </c>
      <c r="F207" s="257" t="s">
        <v>847</v>
      </c>
      <c r="G207" s="258" t="s">
        <v>860</v>
      </c>
      <c r="H207" s="259" t="s">
        <v>72</v>
      </c>
      <c r="I207" s="256" t="s">
        <v>587</v>
      </c>
      <c r="J207" s="260" t="s">
        <v>12</v>
      </c>
      <c r="K207" s="261" t="s">
        <v>14</v>
      </c>
      <c r="L207" s="256"/>
      <c r="M207" s="256"/>
      <c r="N207" s="256"/>
      <c r="O207" s="256"/>
      <c r="P207" s="262"/>
      <c r="Q207" s="263" t="s">
        <v>784</v>
      </c>
      <c r="R207" s="258">
        <v>192</v>
      </c>
      <c r="S207" s="264" t="s">
        <v>592</v>
      </c>
      <c r="T207" s="265"/>
      <c r="U207" s="7"/>
      <c r="V207" s="61"/>
      <c r="Y207" s="359" t="str">
        <f t="shared" si="33"/>
        <v>cabin_doors_center_of_mass_position_table</v>
      </c>
      <c r="Z207" s="360" t="str">
        <f t="shared" si="34"/>
        <v>double[]</v>
      </c>
      <c r="AA207" s="360" t="str">
        <f t="shared" si="35"/>
        <v>table</v>
      </c>
      <c r="AB207" s="360" t="str">
        <f t="shared" si="36"/>
        <v>Position longitudinale et latérale du CdG des portes</v>
      </c>
      <c r="AC207" s="360" t="str">
        <f t="shared" si="37"/>
        <v>m</v>
      </c>
      <c r="AD207" s="361" t="str">
        <f t="shared" si="38"/>
        <v>variable: cabin_doors_center_of_mass_position_table double[] input description= "Position longitudinale et latérale du CdG des portes" units= "m"</v>
      </c>
      <c r="AE207" s="359" t="str">
        <f t="shared" si="27"/>
        <v>Y03.weight_balance_inertia.center_of_mass</v>
      </c>
      <c r="AF207" s="360" t="str">
        <f t="shared" si="28"/>
        <v/>
      </c>
      <c r="AG207" s="360" t="str">
        <f t="shared" si="29"/>
        <v/>
      </c>
      <c r="AH207" s="360" t="str">
        <f t="shared" si="30"/>
        <v/>
      </c>
      <c r="AI207" s="360" t="str">
        <f t="shared" si="31"/>
        <v/>
      </c>
      <c r="AJ207" s="361" t="str">
        <f t="shared" si="32"/>
        <v/>
      </c>
    </row>
    <row r="208" spans="2:36" x14ac:dyDescent="0.2">
      <c r="B208" s="325"/>
      <c r="C208" s="341" t="s">
        <v>460</v>
      </c>
      <c r="D208" s="255" t="s">
        <v>413</v>
      </c>
      <c r="E208" s="256" t="s">
        <v>414</v>
      </c>
      <c r="F208" s="257" t="s">
        <v>847</v>
      </c>
      <c r="G208" s="258" t="s">
        <v>860</v>
      </c>
      <c r="H208" s="259" t="s">
        <v>72</v>
      </c>
      <c r="I208" s="256" t="s">
        <v>587</v>
      </c>
      <c r="J208" s="260" t="s">
        <v>12</v>
      </c>
      <c r="K208" s="261" t="s">
        <v>14</v>
      </c>
      <c r="L208" s="256"/>
      <c r="M208" s="256"/>
      <c r="N208" s="256"/>
      <c r="O208" s="256"/>
      <c r="P208" s="262"/>
      <c r="Q208" s="263" t="s">
        <v>785</v>
      </c>
      <c r="R208" s="258">
        <v>193</v>
      </c>
      <c r="S208" s="264" t="s">
        <v>592</v>
      </c>
      <c r="T208" s="265"/>
      <c r="U208" s="7"/>
      <c r="V208" s="61"/>
      <c r="Y208" s="359" t="str">
        <f t="shared" si="33"/>
        <v>hold_LD3_center_of_mass_position_table</v>
      </c>
      <c r="Z208" s="360" t="str">
        <f t="shared" si="34"/>
        <v>double[]</v>
      </c>
      <c r="AA208" s="360" t="str">
        <f t="shared" si="35"/>
        <v>table</v>
      </c>
      <c r="AB208" s="360" t="str">
        <f t="shared" si="36"/>
        <v>Position longitudinale et latérale du CdG des conteneurs LD3</v>
      </c>
      <c r="AC208" s="360" t="str">
        <f t="shared" si="37"/>
        <v>m</v>
      </c>
      <c r="AD208" s="361" t="str">
        <f t="shared" si="38"/>
        <v>variable: hold_LD3_center_of_mass_position_table double[] input description= "Position longitudinale et latérale du CdG des conteneurs LD3" units= "m"</v>
      </c>
      <c r="AE208" s="359" t="str">
        <f t="shared" ref="AE208:AE271" si="39">CONCATENER_MODELCENTER(K208,$F208,$G208)</f>
        <v>Y03.weight_balance_inertia.center_of_mass</v>
      </c>
      <c r="AF208" s="360" t="str">
        <f t="shared" ref="AF208:AF271" si="40">CONCATENER_MODELCENTER(L208,$F208,$G208)</f>
        <v/>
      </c>
      <c r="AG208" s="360" t="str">
        <f t="shared" ref="AG208:AG271" si="41">CONCATENER_MODELCENTER(M208,$F208,$G208)</f>
        <v/>
      </c>
      <c r="AH208" s="360" t="str">
        <f t="shared" ref="AH208:AH271" si="42">CONCATENER_MODELCENTER(N208,$F208,$G208)</f>
        <v/>
      </c>
      <c r="AI208" s="360" t="str">
        <f t="shared" ref="AI208:AI271" si="43">CONCATENER_MODELCENTER(O208,$F208,$G208)</f>
        <v/>
      </c>
      <c r="AJ208" s="361" t="str">
        <f t="shared" ref="AJ208:AJ271" si="44">CONCATENER_MODELCENTER(P208,$F208,$G208)</f>
        <v/>
      </c>
    </row>
    <row r="209" spans="2:36" x14ac:dyDescent="0.2">
      <c r="B209" s="325"/>
      <c r="C209" s="341"/>
      <c r="D209" s="255" t="s">
        <v>415</v>
      </c>
      <c r="E209" s="256" t="s">
        <v>416</v>
      </c>
      <c r="F209" s="257" t="s">
        <v>847</v>
      </c>
      <c r="G209" s="258" t="s">
        <v>860</v>
      </c>
      <c r="H209" s="259" t="s">
        <v>72</v>
      </c>
      <c r="I209" s="256" t="s">
        <v>587</v>
      </c>
      <c r="J209" s="260" t="s">
        <v>12</v>
      </c>
      <c r="K209" s="261" t="s">
        <v>14</v>
      </c>
      <c r="L209" s="256"/>
      <c r="M209" s="256"/>
      <c r="N209" s="256"/>
      <c r="O209" s="256"/>
      <c r="P209" s="262"/>
      <c r="Q209" s="263" t="s">
        <v>786</v>
      </c>
      <c r="R209" s="258">
        <v>194</v>
      </c>
      <c r="S209" s="264" t="s">
        <v>592</v>
      </c>
      <c r="T209" s="265"/>
      <c r="U209" s="7"/>
      <c r="V209" s="61"/>
      <c r="Y209" s="359" t="str">
        <f t="shared" ref="Y209:Y272" si="45">Q209</f>
        <v>hold_pallet_center_of_mass_position_table</v>
      </c>
      <c r="Z209" s="360" t="str">
        <f t="shared" ref="Z209:Z272" si="46">I209</f>
        <v>double[]</v>
      </c>
      <c r="AA209" s="360" t="str">
        <f t="shared" ref="AA209:AA272" si="47">H209</f>
        <v>table</v>
      </c>
      <c r="AB209" s="360" t="str">
        <f t="shared" ref="AB209:AB272" si="48">E209</f>
        <v>Position longitudinale et latérale du CdG des palettes 96"</v>
      </c>
      <c r="AC209" s="360" t="str">
        <f t="shared" ref="AC209:AC272" si="49">J209</f>
        <v>m</v>
      </c>
      <c r="AD209" s="361" t="str">
        <f t="shared" ref="AD209:AD272" si="50">CONCATENATE(IF(S209="oui","#",""),"variable: ",Y209," ",Z209," input ","description= """,AB209,""" units= """,AC209,"""")</f>
        <v>variable: hold_pallet_center_of_mass_position_table double[] input description= "Position longitudinale et latérale du CdG des palettes 96"" units= "m"</v>
      </c>
      <c r="AE209" s="359" t="str">
        <f t="shared" si="39"/>
        <v>Y03.weight_balance_inertia.center_of_mass</v>
      </c>
      <c r="AF209" s="360" t="str">
        <f t="shared" si="40"/>
        <v/>
      </c>
      <c r="AG209" s="360" t="str">
        <f t="shared" si="41"/>
        <v/>
      </c>
      <c r="AH209" s="360" t="str">
        <f t="shared" si="42"/>
        <v/>
      </c>
      <c r="AI209" s="360" t="str">
        <f t="shared" si="43"/>
        <v/>
      </c>
      <c r="AJ209" s="361" t="str">
        <f t="shared" si="44"/>
        <v/>
      </c>
    </row>
    <row r="210" spans="2:36" x14ac:dyDescent="0.2">
      <c r="B210" s="325"/>
      <c r="C210" s="254" t="s">
        <v>47</v>
      </c>
      <c r="D210" s="255" t="s">
        <v>292</v>
      </c>
      <c r="E210" s="256" t="s">
        <v>293</v>
      </c>
      <c r="F210" s="257" t="s">
        <v>847</v>
      </c>
      <c r="G210" s="258" t="s">
        <v>860</v>
      </c>
      <c r="H210" s="259" t="s">
        <v>72</v>
      </c>
      <c r="I210" s="256" t="s">
        <v>587</v>
      </c>
      <c r="J210" s="260" t="s">
        <v>12</v>
      </c>
      <c r="K210" s="261" t="s">
        <v>130</v>
      </c>
      <c r="L210" s="255" t="s">
        <v>419</v>
      </c>
      <c r="M210" s="256" t="s">
        <v>559</v>
      </c>
      <c r="N210" s="256"/>
      <c r="O210" s="256"/>
      <c r="P210" s="262"/>
      <c r="Q210" s="263" t="s">
        <v>787</v>
      </c>
      <c r="R210" s="258">
        <v>195</v>
      </c>
      <c r="S210" s="264" t="s">
        <v>592</v>
      </c>
      <c r="T210" s="265"/>
      <c r="U210" s="7"/>
      <c r="V210" s="61"/>
      <c r="Y210" s="359" t="str">
        <f t="shared" si="45"/>
        <v>engine_center_of_mass_position_table</v>
      </c>
      <c r="Z210" s="360" t="str">
        <f t="shared" si="46"/>
        <v>double[]</v>
      </c>
      <c r="AA210" s="360" t="str">
        <f t="shared" si="47"/>
        <v>table</v>
      </c>
      <c r="AB210" s="360" t="str">
        <f t="shared" si="48"/>
        <v>Position longitudinale, latérale et verticale du CdG des moteurs</v>
      </c>
      <c r="AC210" s="360" t="str">
        <f t="shared" si="49"/>
        <v>m</v>
      </c>
      <c r="AD210" s="361" t="str">
        <f>CONCATENATE(IF(S210="oui","#",""),"variable: ",Y210," ",Z210," input ","description= """,AB210,""" units= """,AC210,"""")</f>
        <v>variable: engine_center_of_mass_position_table double[] input description= "Position longitudinale, latérale et verticale du CdG des moteurs" units= "m"</v>
      </c>
      <c r="AE210" s="359" t="str">
        <f t="shared" si="39"/>
        <v>X0.weight_balance_inertia.center_of_mass</v>
      </c>
      <c r="AF210" s="360" t="str">
        <f t="shared" si="40"/>
        <v>Y02.weight_balance_inertia.center_of_mass</v>
      </c>
      <c r="AG210" s="360" t="str">
        <f t="shared" si="41"/>
        <v>Y03.weight_balance_inertia.center_of_mass</v>
      </c>
      <c r="AH210" s="360" t="str">
        <f t="shared" si="42"/>
        <v/>
      </c>
      <c r="AI210" s="360" t="str">
        <f t="shared" si="43"/>
        <v/>
      </c>
      <c r="AJ210" s="361" t="str">
        <f t="shared" si="44"/>
        <v/>
      </c>
    </row>
    <row r="211" spans="2:36" ht="12.75" customHeight="1" x14ac:dyDescent="0.2">
      <c r="B211" s="325"/>
      <c r="C211" s="341" t="s">
        <v>54</v>
      </c>
      <c r="D211" s="255" t="s">
        <v>389</v>
      </c>
      <c r="E211" s="266" t="s">
        <v>390</v>
      </c>
      <c r="F211" s="257" t="s">
        <v>847</v>
      </c>
      <c r="G211" s="258" t="s">
        <v>860</v>
      </c>
      <c r="H211" s="259" t="s">
        <v>72</v>
      </c>
      <c r="I211" s="256" t="s">
        <v>587</v>
      </c>
      <c r="J211" s="260" t="s">
        <v>12</v>
      </c>
      <c r="K211" s="267" t="s">
        <v>130</v>
      </c>
      <c r="L211" s="256" t="s">
        <v>14</v>
      </c>
      <c r="M211" s="268"/>
      <c r="N211" s="268"/>
      <c r="O211" s="268"/>
      <c r="P211" s="269"/>
      <c r="Q211" s="263" t="s">
        <v>788</v>
      </c>
      <c r="R211" s="258">
        <v>196</v>
      </c>
      <c r="S211" s="264" t="s">
        <v>592</v>
      </c>
      <c r="T211" s="265"/>
      <c r="U211" s="7"/>
      <c r="V211" s="61"/>
      <c r="Y211" s="359" t="str">
        <f t="shared" si="45"/>
        <v>nose_landing_gear_center_of_mass_position_table</v>
      </c>
      <c r="Z211" s="360" t="str">
        <f t="shared" si="46"/>
        <v>double[]</v>
      </c>
      <c r="AA211" s="360" t="str">
        <f t="shared" si="47"/>
        <v>table</v>
      </c>
      <c r="AB211" s="360" t="str">
        <f t="shared" si="48"/>
        <v>Position longitudinale, latérale et verticale du CdG de la case du train avant</v>
      </c>
      <c r="AC211" s="360" t="str">
        <f t="shared" si="49"/>
        <v>m</v>
      </c>
      <c r="AD211" s="361" t="str">
        <f t="shared" si="50"/>
        <v>variable: nose_landing_gear_center_of_mass_position_table double[] input description= "Position longitudinale, latérale et verticale du CdG de la case du train avant" units= "m"</v>
      </c>
      <c r="AE211" s="359" t="str">
        <f t="shared" si="39"/>
        <v>X0.weight_balance_inertia.center_of_mass</v>
      </c>
      <c r="AF211" s="360" t="str">
        <f t="shared" si="40"/>
        <v>Y03.weight_balance_inertia.center_of_mass</v>
      </c>
      <c r="AG211" s="360" t="str">
        <f t="shared" si="41"/>
        <v/>
      </c>
      <c r="AH211" s="360" t="str">
        <f t="shared" si="42"/>
        <v/>
      </c>
      <c r="AI211" s="360" t="str">
        <f t="shared" si="43"/>
        <v/>
      </c>
      <c r="AJ211" s="361" t="str">
        <f t="shared" si="44"/>
        <v/>
      </c>
    </row>
    <row r="212" spans="2:36" ht="12.75" customHeight="1" x14ac:dyDescent="0.2">
      <c r="B212" s="325"/>
      <c r="C212" s="341"/>
      <c r="D212" s="255" t="s">
        <v>391</v>
      </c>
      <c r="E212" s="256" t="s">
        <v>869</v>
      </c>
      <c r="F212" s="257" t="s">
        <v>847</v>
      </c>
      <c r="G212" s="258" t="s">
        <v>860</v>
      </c>
      <c r="H212" s="259" t="s">
        <v>72</v>
      </c>
      <c r="I212" s="256" t="s">
        <v>587</v>
      </c>
      <c r="J212" s="260" t="s">
        <v>12</v>
      </c>
      <c r="K212" s="267" t="s">
        <v>130</v>
      </c>
      <c r="L212" s="256" t="s">
        <v>14</v>
      </c>
      <c r="M212" s="268"/>
      <c r="N212" s="268"/>
      <c r="O212" s="268"/>
      <c r="P212" s="269"/>
      <c r="Q212" s="263" t="s">
        <v>789</v>
      </c>
      <c r="R212" s="258">
        <v>197</v>
      </c>
      <c r="S212" s="264" t="s">
        <v>592</v>
      </c>
      <c r="T212" s="265"/>
      <c r="U212" s="7"/>
      <c r="V212" s="61"/>
      <c r="Y212" s="359" t="str">
        <f t="shared" si="45"/>
        <v>main_landing_gear_center_of_mass_position_table</v>
      </c>
      <c r="Z212" s="360" t="str">
        <f t="shared" si="46"/>
        <v>double[]</v>
      </c>
      <c r="AA212" s="360" t="str">
        <f t="shared" si="47"/>
        <v>table</v>
      </c>
      <c r="AB212" s="360" t="str">
        <f t="shared" si="48"/>
        <v>Position longitudinale, latérale et verticale du CdG des cases du train principal</v>
      </c>
      <c r="AC212" s="360" t="str">
        <f t="shared" si="49"/>
        <v>m</v>
      </c>
      <c r="AD212" s="361" t="str">
        <f t="shared" si="50"/>
        <v>variable: main_landing_gear_center_of_mass_position_table double[] input description= "Position longitudinale, latérale et verticale du CdG des cases du train principal" units= "m"</v>
      </c>
      <c r="AE212" s="359" t="str">
        <f t="shared" si="39"/>
        <v>X0.weight_balance_inertia.center_of_mass</v>
      </c>
      <c r="AF212" s="360" t="str">
        <f t="shared" si="40"/>
        <v>Y03.weight_balance_inertia.center_of_mass</v>
      </c>
      <c r="AG212" s="360" t="str">
        <f t="shared" si="41"/>
        <v/>
      </c>
      <c r="AH212" s="360" t="str">
        <f t="shared" si="42"/>
        <v/>
      </c>
      <c r="AI212" s="360" t="str">
        <f t="shared" si="43"/>
        <v/>
      </c>
      <c r="AJ212" s="361" t="str">
        <f t="shared" si="44"/>
        <v/>
      </c>
    </row>
    <row r="213" spans="2:36" ht="12.75" customHeight="1" x14ac:dyDescent="0.2">
      <c r="B213" s="325"/>
      <c r="C213" s="341" t="s">
        <v>350</v>
      </c>
      <c r="D213" s="255" t="s">
        <v>348</v>
      </c>
      <c r="E213" s="256" t="s">
        <v>351</v>
      </c>
      <c r="F213" s="257" t="s">
        <v>847</v>
      </c>
      <c r="G213" s="258" t="s">
        <v>860</v>
      </c>
      <c r="H213" s="259" t="s">
        <v>72</v>
      </c>
      <c r="I213" s="256" t="s">
        <v>587</v>
      </c>
      <c r="J213" s="260" t="s">
        <v>12</v>
      </c>
      <c r="K213" s="261" t="s">
        <v>83</v>
      </c>
      <c r="L213" s="256"/>
      <c r="M213" s="256"/>
      <c r="N213" s="256"/>
      <c r="O213" s="256"/>
      <c r="P213" s="262"/>
      <c r="Q213" s="263" t="s">
        <v>790</v>
      </c>
      <c r="R213" s="258">
        <v>198</v>
      </c>
      <c r="S213" s="264" t="s">
        <v>592</v>
      </c>
      <c r="T213" s="265"/>
      <c r="U213" s="7"/>
      <c r="V213" s="61"/>
      <c r="Y213" s="359" t="str">
        <f t="shared" si="45"/>
        <v>wing_fuel_tank_center_of_mass_position_table</v>
      </c>
      <c r="Z213" s="360" t="str">
        <f t="shared" si="46"/>
        <v>double[]</v>
      </c>
      <c r="AA213" s="360" t="str">
        <f t="shared" si="47"/>
        <v>table</v>
      </c>
      <c r="AB213" s="360" t="str">
        <f t="shared" si="48"/>
        <v>Position longitudinale, latérale et verticale du CdG du réservoir situé dans la voilure</v>
      </c>
      <c r="AC213" s="360" t="str">
        <f t="shared" si="49"/>
        <v>m</v>
      </c>
      <c r="AD213" s="361" t="str">
        <f t="shared" si="50"/>
        <v>variable: wing_fuel_tank_center_of_mass_position_table double[] input description= "Position longitudinale, latérale et verticale du CdG du réservoir situé dans la voilure" units= "m"</v>
      </c>
      <c r="AE213" s="359" t="str">
        <f t="shared" si="39"/>
        <v>Y30.weight_balance_inertia.center_of_mass</v>
      </c>
      <c r="AF213" s="360" t="str">
        <f t="shared" si="40"/>
        <v/>
      </c>
      <c r="AG213" s="360" t="str">
        <f t="shared" si="41"/>
        <v/>
      </c>
      <c r="AH213" s="360" t="str">
        <f t="shared" si="42"/>
        <v/>
      </c>
      <c r="AI213" s="360" t="str">
        <f t="shared" si="43"/>
        <v/>
      </c>
      <c r="AJ213" s="361" t="str">
        <f t="shared" si="44"/>
        <v/>
      </c>
    </row>
    <row r="214" spans="2:36" ht="12.75" customHeight="1" x14ac:dyDescent="0.2">
      <c r="B214" s="325"/>
      <c r="C214" s="341"/>
      <c r="D214" s="255" t="s">
        <v>349</v>
      </c>
      <c r="E214" s="256" t="s">
        <v>352</v>
      </c>
      <c r="F214" s="257" t="s">
        <v>847</v>
      </c>
      <c r="G214" s="258" t="s">
        <v>860</v>
      </c>
      <c r="H214" s="259" t="s">
        <v>72</v>
      </c>
      <c r="I214" s="256" t="s">
        <v>587</v>
      </c>
      <c r="J214" s="260" t="s">
        <v>12</v>
      </c>
      <c r="K214" s="261" t="s">
        <v>83</v>
      </c>
      <c r="L214" s="256"/>
      <c r="M214" s="256"/>
      <c r="N214" s="256"/>
      <c r="O214" s="256"/>
      <c r="P214" s="262"/>
      <c r="Q214" s="263" t="s">
        <v>791</v>
      </c>
      <c r="R214" s="258">
        <v>199</v>
      </c>
      <c r="S214" s="264" t="s">
        <v>592</v>
      </c>
      <c r="T214" s="265"/>
      <c r="U214" s="7"/>
      <c r="V214" s="61"/>
      <c r="Y214" s="359" t="str">
        <f t="shared" si="45"/>
        <v>body_fuel_tank_center_of_mass_position_table</v>
      </c>
      <c r="Z214" s="360" t="str">
        <f t="shared" si="46"/>
        <v>double[]</v>
      </c>
      <c r="AA214" s="360" t="str">
        <f t="shared" si="47"/>
        <v>table</v>
      </c>
      <c r="AB214" s="360" t="str">
        <f t="shared" si="48"/>
        <v>Position longitudinale, latérale et verticale du CdG du réservoir situé dans le corps central</v>
      </c>
      <c r="AC214" s="360" t="str">
        <f t="shared" si="49"/>
        <v>m</v>
      </c>
      <c r="AD214" s="361" t="str">
        <f>CONCATENATE(IF(S214="oui","#",""),"variable: ",Y214," ",Z214," input ","description= """,AB214,""" units= """,AC214,"""")</f>
        <v>variable: body_fuel_tank_center_of_mass_position_table double[] input description= "Position longitudinale, latérale et verticale du CdG du réservoir situé dans le corps central" units= "m"</v>
      </c>
      <c r="AE214" s="359" t="str">
        <f t="shared" si="39"/>
        <v>Y30.weight_balance_inertia.center_of_mass</v>
      </c>
      <c r="AF214" s="360" t="str">
        <f t="shared" si="40"/>
        <v/>
      </c>
      <c r="AG214" s="360" t="str">
        <f t="shared" si="41"/>
        <v/>
      </c>
      <c r="AH214" s="360" t="str">
        <f t="shared" si="42"/>
        <v/>
      </c>
      <c r="AI214" s="360" t="str">
        <f t="shared" si="43"/>
        <v/>
      </c>
      <c r="AJ214" s="361" t="str">
        <f t="shared" si="44"/>
        <v/>
      </c>
    </row>
    <row r="215" spans="2:36" x14ac:dyDescent="0.2">
      <c r="B215" s="325"/>
      <c r="C215" s="254" t="s">
        <v>103</v>
      </c>
      <c r="D215" s="255" t="s">
        <v>294</v>
      </c>
      <c r="E215" s="256" t="s">
        <v>297</v>
      </c>
      <c r="F215" s="257" t="s">
        <v>847</v>
      </c>
      <c r="G215" s="258" t="s">
        <v>860</v>
      </c>
      <c r="H215" s="259" t="s">
        <v>72</v>
      </c>
      <c r="I215" s="256" t="s">
        <v>587</v>
      </c>
      <c r="J215" s="260" t="s">
        <v>12</v>
      </c>
      <c r="K215" s="261" t="s">
        <v>240</v>
      </c>
      <c r="L215" s="256"/>
      <c r="M215" s="256"/>
      <c r="N215" s="256"/>
      <c r="O215" s="256"/>
      <c r="P215" s="262"/>
      <c r="Q215" s="263" t="s">
        <v>792</v>
      </c>
      <c r="R215" s="258">
        <v>200</v>
      </c>
      <c r="S215" s="264" t="s">
        <v>592</v>
      </c>
      <c r="T215" s="265"/>
      <c r="U215" s="7"/>
      <c r="V215" s="61"/>
      <c r="Y215" s="359" t="str">
        <f t="shared" si="45"/>
        <v>MTOW_center_of_mass_position_table</v>
      </c>
      <c r="Z215" s="360" t="str">
        <f t="shared" si="46"/>
        <v>double[]</v>
      </c>
      <c r="AA215" s="360" t="str">
        <f t="shared" si="47"/>
        <v>table</v>
      </c>
      <c r="AB215" s="360" t="str">
        <f t="shared" si="48"/>
        <v>Position longitudinale, latérale et verticale du CdG à la MTOW</v>
      </c>
      <c r="AC215" s="360" t="str">
        <f t="shared" si="49"/>
        <v>m</v>
      </c>
      <c r="AD215" s="361" t="str">
        <f t="shared" si="50"/>
        <v>variable: MTOW_center_of_mass_position_table double[] input description= "Position longitudinale, latérale et verticale du CdG à la MTOW" units= "m"</v>
      </c>
      <c r="AE215" s="359" t="str">
        <f t="shared" si="39"/>
        <v>Y35.weight_balance_inertia.center_of_mass</v>
      </c>
      <c r="AF215" s="360" t="str">
        <f t="shared" si="40"/>
        <v/>
      </c>
      <c r="AG215" s="360" t="str">
        <f t="shared" si="41"/>
        <v/>
      </c>
      <c r="AH215" s="360" t="str">
        <f t="shared" si="42"/>
        <v/>
      </c>
      <c r="AI215" s="360" t="str">
        <f t="shared" si="43"/>
        <v/>
      </c>
      <c r="AJ215" s="361" t="str">
        <f t="shared" si="44"/>
        <v/>
      </c>
    </row>
    <row r="216" spans="2:36" x14ac:dyDescent="0.2">
      <c r="B216" s="325"/>
      <c r="C216" s="254" t="s">
        <v>236</v>
      </c>
      <c r="D216" s="255" t="s">
        <v>295</v>
      </c>
      <c r="E216" s="256" t="s">
        <v>298</v>
      </c>
      <c r="F216" s="257" t="s">
        <v>847</v>
      </c>
      <c r="G216" s="258" t="s">
        <v>860</v>
      </c>
      <c r="H216" s="259" t="s">
        <v>72</v>
      </c>
      <c r="I216" s="256" t="s">
        <v>587</v>
      </c>
      <c r="J216" s="260" t="s">
        <v>12</v>
      </c>
      <c r="K216" s="261" t="s">
        <v>240</v>
      </c>
      <c r="L216" s="256"/>
      <c r="M216" s="256"/>
      <c r="N216" s="256"/>
      <c r="O216" s="256"/>
      <c r="P216" s="262"/>
      <c r="Q216" s="263" t="s">
        <v>793</v>
      </c>
      <c r="R216" s="258">
        <v>201</v>
      </c>
      <c r="S216" s="264" t="s">
        <v>592</v>
      </c>
      <c r="T216" s="265"/>
      <c r="U216" s="7"/>
      <c r="V216" s="61"/>
      <c r="Y216" s="359" t="str">
        <f t="shared" si="45"/>
        <v>ZFW_center_of_mass_position_table</v>
      </c>
      <c r="Z216" s="360" t="str">
        <f t="shared" si="46"/>
        <v>double[]</v>
      </c>
      <c r="AA216" s="360" t="str">
        <f t="shared" si="47"/>
        <v>table</v>
      </c>
      <c r="AB216" s="360" t="str">
        <f t="shared" si="48"/>
        <v>Position longitudinale, latérale et verticale du CdG à la ZFW</v>
      </c>
      <c r="AC216" s="360" t="str">
        <f t="shared" si="49"/>
        <v>m</v>
      </c>
      <c r="AD216" s="361" t="str">
        <f t="shared" si="50"/>
        <v>variable: ZFW_center_of_mass_position_table double[] input description= "Position longitudinale, latérale et verticale du CdG à la ZFW" units= "m"</v>
      </c>
      <c r="AE216" s="359" t="str">
        <f t="shared" si="39"/>
        <v>Y35.weight_balance_inertia.center_of_mass</v>
      </c>
      <c r="AF216" s="360" t="str">
        <f t="shared" si="40"/>
        <v/>
      </c>
      <c r="AG216" s="360" t="str">
        <f t="shared" si="41"/>
        <v/>
      </c>
      <c r="AH216" s="360" t="str">
        <f t="shared" si="42"/>
        <v/>
      </c>
      <c r="AI216" s="360" t="str">
        <f t="shared" si="43"/>
        <v/>
      </c>
      <c r="AJ216" s="361" t="str">
        <f t="shared" si="44"/>
        <v/>
      </c>
    </row>
    <row r="217" spans="2:36" x14ac:dyDescent="0.2">
      <c r="B217" s="325"/>
      <c r="C217" s="254" t="s">
        <v>238</v>
      </c>
      <c r="D217" s="255" t="s">
        <v>296</v>
      </c>
      <c r="E217" s="256" t="s">
        <v>299</v>
      </c>
      <c r="F217" s="257" t="s">
        <v>847</v>
      </c>
      <c r="G217" s="258" t="s">
        <v>860</v>
      </c>
      <c r="H217" s="259" t="s">
        <v>72</v>
      </c>
      <c r="I217" s="256" t="s">
        <v>587</v>
      </c>
      <c r="J217" s="260" t="s">
        <v>12</v>
      </c>
      <c r="K217" s="261" t="s">
        <v>240</v>
      </c>
      <c r="L217" s="256"/>
      <c r="M217" s="256"/>
      <c r="N217" s="256"/>
      <c r="O217" s="256"/>
      <c r="P217" s="262"/>
      <c r="Q217" s="263" t="s">
        <v>794</v>
      </c>
      <c r="R217" s="258">
        <v>202</v>
      </c>
      <c r="S217" s="264" t="s">
        <v>592</v>
      </c>
      <c r="T217" s="265"/>
      <c r="U217" s="7"/>
      <c r="V217" s="61"/>
      <c r="Y217" s="359" t="str">
        <f t="shared" si="45"/>
        <v>MLW_center_of_mass_position_table</v>
      </c>
      <c r="Z217" s="360" t="str">
        <f t="shared" si="46"/>
        <v>double[]</v>
      </c>
      <c r="AA217" s="360" t="str">
        <f t="shared" si="47"/>
        <v>table</v>
      </c>
      <c r="AB217" s="360" t="str">
        <f t="shared" si="48"/>
        <v>Position longitudinale, latérale et verticale du CdG à la MLW</v>
      </c>
      <c r="AC217" s="360" t="str">
        <f t="shared" si="49"/>
        <v>m</v>
      </c>
      <c r="AD217" s="361" t="str">
        <f t="shared" si="50"/>
        <v>variable: MLW_center_of_mass_position_table double[] input description= "Position longitudinale, latérale et verticale du CdG à la MLW" units= "m"</v>
      </c>
      <c r="AE217" s="359" t="str">
        <f t="shared" si="39"/>
        <v>Y35.weight_balance_inertia.center_of_mass</v>
      </c>
      <c r="AF217" s="360" t="str">
        <f t="shared" si="40"/>
        <v/>
      </c>
      <c r="AG217" s="360" t="str">
        <f t="shared" si="41"/>
        <v/>
      </c>
      <c r="AH217" s="360" t="str">
        <f t="shared" si="42"/>
        <v/>
      </c>
      <c r="AI217" s="360" t="str">
        <f t="shared" si="43"/>
        <v/>
      </c>
      <c r="AJ217" s="361" t="str">
        <f t="shared" si="44"/>
        <v/>
      </c>
    </row>
    <row r="218" spans="2:36" x14ac:dyDescent="0.2">
      <c r="B218" s="325"/>
      <c r="C218" s="341" t="s">
        <v>105</v>
      </c>
      <c r="D218" s="255" t="s">
        <v>124</v>
      </c>
      <c r="E218" s="256" t="s">
        <v>125</v>
      </c>
      <c r="F218" s="257" t="s">
        <v>847</v>
      </c>
      <c r="G218" s="258" t="s">
        <v>861</v>
      </c>
      <c r="H218" s="259" t="s">
        <v>72</v>
      </c>
      <c r="I218" s="256" t="s">
        <v>587</v>
      </c>
      <c r="J218" s="260" t="s">
        <v>465</v>
      </c>
      <c r="K218" s="261" t="s">
        <v>240</v>
      </c>
      <c r="L218" s="256"/>
      <c r="M218" s="256"/>
      <c r="N218" s="256"/>
      <c r="O218" s="256"/>
      <c r="P218" s="262"/>
      <c r="Q218" s="263" t="s">
        <v>795</v>
      </c>
      <c r="R218" s="258">
        <v>203</v>
      </c>
      <c r="S218" s="264" t="s">
        <v>592</v>
      </c>
      <c r="T218" s="265"/>
      <c r="U218" s="7"/>
      <c r="V218" s="61"/>
      <c r="Y218" s="359" t="str">
        <f t="shared" si="45"/>
        <v>MTOW_inertia_table</v>
      </c>
      <c r="Z218" s="360" t="str">
        <f t="shared" si="46"/>
        <v>double[]</v>
      </c>
      <c r="AA218" s="360" t="str">
        <f t="shared" si="47"/>
        <v>table</v>
      </c>
      <c r="AB218" s="360" t="str">
        <f t="shared" si="48"/>
        <v>Matrice d'inertie à la MTOW</v>
      </c>
      <c r="AC218" s="360" t="str">
        <f t="shared" si="49"/>
        <v>kg.m2</v>
      </c>
      <c r="AD218" s="361" t="str">
        <f t="shared" si="50"/>
        <v>variable: MTOW_inertia_table double[] input description= "Matrice d'inertie à la MTOW" units= "kg.m2"</v>
      </c>
      <c r="AE218" s="359" t="str">
        <f t="shared" si="39"/>
        <v>Y35.weight_balance_inertia.inertia</v>
      </c>
      <c r="AF218" s="360" t="str">
        <f t="shared" si="40"/>
        <v/>
      </c>
      <c r="AG218" s="360" t="str">
        <f t="shared" si="41"/>
        <v/>
      </c>
      <c r="AH218" s="360" t="str">
        <f t="shared" si="42"/>
        <v/>
      </c>
      <c r="AI218" s="360" t="str">
        <f t="shared" si="43"/>
        <v/>
      </c>
      <c r="AJ218" s="361" t="str">
        <f t="shared" si="44"/>
        <v/>
      </c>
    </row>
    <row r="219" spans="2:36" x14ac:dyDescent="0.2">
      <c r="B219" s="325"/>
      <c r="C219" s="341"/>
      <c r="D219" s="255" t="s">
        <v>126</v>
      </c>
      <c r="E219" s="256" t="s">
        <v>127</v>
      </c>
      <c r="F219" s="257" t="s">
        <v>847</v>
      </c>
      <c r="G219" s="258" t="s">
        <v>861</v>
      </c>
      <c r="H219" s="259" t="s">
        <v>72</v>
      </c>
      <c r="I219" s="256" t="s">
        <v>587</v>
      </c>
      <c r="J219" s="260" t="s">
        <v>465</v>
      </c>
      <c r="K219" s="261" t="s">
        <v>240</v>
      </c>
      <c r="L219" s="256"/>
      <c r="M219" s="256"/>
      <c r="N219" s="256"/>
      <c r="O219" s="256"/>
      <c r="P219" s="262"/>
      <c r="Q219" s="263" t="s">
        <v>796</v>
      </c>
      <c r="R219" s="258">
        <v>204</v>
      </c>
      <c r="S219" s="264" t="s">
        <v>592</v>
      </c>
      <c r="T219" s="265"/>
      <c r="U219" s="7"/>
      <c r="V219" s="61"/>
      <c r="Y219" s="359" t="str">
        <f t="shared" si="45"/>
        <v>ZFW_inertia_table</v>
      </c>
      <c r="Z219" s="360" t="str">
        <f t="shared" si="46"/>
        <v>double[]</v>
      </c>
      <c r="AA219" s="360" t="str">
        <f t="shared" si="47"/>
        <v>table</v>
      </c>
      <c r="AB219" s="360" t="str">
        <f t="shared" si="48"/>
        <v>Matrice d'inertie à la ZFW</v>
      </c>
      <c r="AC219" s="360" t="str">
        <f t="shared" si="49"/>
        <v>kg.m2</v>
      </c>
      <c r="AD219" s="361" t="str">
        <f t="shared" si="50"/>
        <v>variable: ZFW_inertia_table double[] input description= "Matrice d'inertie à la ZFW" units= "kg.m2"</v>
      </c>
      <c r="AE219" s="359" t="str">
        <f t="shared" si="39"/>
        <v>Y35.weight_balance_inertia.inertia</v>
      </c>
      <c r="AF219" s="360" t="str">
        <f t="shared" si="40"/>
        <v/>
      </c>
      <c r="AG219" s="360" t="str">
        <f t="shared" si="41"/>
        <v/>
      </c>
      <c r="AH219" s="360" t="str">
        <f t="shared" si="42"/>
        <v/>
      </c>
      <c r="AI219" s="360" t="str">
        <f t="shared" si="43"/>
        <v/>
      </c>
      <c r="AJ219" s="361" t="str">
        <f t="shared" si="44"/>
        <v/>
      </c>
    </row>
    <row r="220" spans="2:36" ht="13.5" thickBot="1" x14ac:dyDescent="0.25">
      <c r="B220" s="326"/>
      <c r="C220" s="348"/>
      <c r="D220" s="270" t="s">
        <v>234</v>
      </c>
      <c r="E220" s="271" t="s">
        <v>235</v>
      </c>
      <c r="F220" s="272" t="s">
        <v>847</v>
      </c>
      <c r="G220" s="273" t="s">
        <v>861</v>
      </c>
      <c r="H220" s="274" t="s">
        <v>72</v>
      </c>
      <c r="I220" s="271" t="s">
        <v>587</v>
      </c>
      <c r="J220" s="275" t="s">
        <v>465</v>
      </c>
      <c r="K220" s="276" t="s">
        <v>240</v>
      </c>
      <c r="L220" s="271"/>
      <c r="M220" s="271"/>
      <c r="N220" s="271"/>
      <c r="O220" s="271"/>
      <c r="P220" s="277"/>
      <c r="Q220" s="278" t="s">
        <v>797</v>
      </c>
      <c r="R220" s="273">
        <v>205</v>
      </c>
      <c r="S220" s="279" t="s">
        <v>592</v>
      </c>
      <c r="T220" s="280"/>
      <c r="U220" s="7"/>
      <c r="V220" s="61"/>
      <c r="Y220" s="359" t="str">
        <f t="shared" si="45"/>
        <v>MLW_inertia_table</v>
      </c>
      <c r="Z220" s="360" t="str">
        <f t="shared" si="46"/>
        <v>double[]</v>
      </c>
      <c r="AA220" s="360" t="str">
        <f t="shared" si="47"/>
        <v>table</v>
      </c>
      <c r="AB220" s="360" t="str">
        <f t="shared" si="48"/>
        <v>Matrice d'inertie à la MLW</v>
      </c>
      <c r="AC220" s="360" t="str">
        <f t="shared" si="49"/>
        <v>kg.m2</v>
      </c>
      <c r="AD220" s="361" t="str">
        <f t="shared" si="50"/>
        <v>variable: MLW_inertia_table double[] input description= "Matrice d'inertie à la MLW" units= "kg.m2"</v>
      </c>
      <c r="AE220" s="359" t="str">
        <f t="shared" si="39"/>
        <v>Y35.weight_balance_inertia.inertia</v>
      </c>
      <c r="AF220" s="360" t="str">
        <f t="shared" si="40"/>
        <v/>
      </c>
      <c r="AG220" s="360" t="str">
        <f t="shared" si="41"/>
        <v/>
      </c>
      <c r="AH220" s="360" t="str">
        <f t="shared" si="42"/>
        <v/>
      </c>
      <c r="AI220" s="360" t="str">
        <f t="shared" si="43"/>
        <v/>
      </c>
      <c r="AJ220" s="361" t="str">
        <f t="shared" si="44"/>
        <v/>
      </c>
    </row>
    <row r="221" spans="2:36" x14ac:dyDescent="0.2">
      <c r="B221" s="349" t="s">
        <v>8</v>
      </c>
      <c r="C221" s="345" t="s">
        <v>164</v>
      </c>
      <c r="D221" s="197" t="s">
        <v>165</v>
      </c>
      <c r="E221" s="198" t="s">
        <v>169</v>
      </c>
      <c r="F221" s="139" t="s">
        <v>684</v>
      </c>
      <c r="G221" s="140" t="s">
        <v>692</v>
      </c>
      <c r="H221" s="199" t="s">
        <v>347</v>
      </c>
      <c r="I221" s="200" t="s">
        <v>574</v>
      </c>
      <c r="J221" s="201" t="s">
        <v>51</v>
      </c>
      <c r="K221" s="202" t="s">
        <v>130</v>
      </c>
      <c r="L221" s="200"/>
      <c r="M221" s="200"/>
      <c r="N221" s="200"/>
      <c r="O221" s="200"/>
      <c r="P221" s="198"/>
      <c r="Q221" s="203" t="s">
        <v>822</v>
      </c>
      <c r="R221" s="295">
        <v>206</v>
      </c>
      <c r="S221" s="204" t="s">
        <v>592</v>
      </c>
      <c r="T221" s="205"/>
      <c r="U221" s="7"/>
      <c r="V221" s="61"/>
      <c r="Y221" s="359" t="str">
        <f t="shared" si="45"/>
        <v>pax_number</v>
      </c>
      <c r="Z221" s="360" t="str">
        <f t="shared" si="46"/>
        <v>integer</v>
      </c>
      <c r="AA221" s="360" t="str">
        <f t="shared" si="47"/>
        <v>scalaire</v>
      </c>
      <c r="AB221" s="360" t="str">
        <f t="shared" si="48"/>
        <v>Nombre de passagers (aménagement homogène 100% classe économique)</v>
      </c>
      <c r="AC221" s="360" t="str">
        <f t="shared" si="49"/>
        <v>(-)</v>
      </c>
      <c r="AD221" s="361" t="str">
        <f t="shared" si="50"/>
        <v>variable: pax_number integer input description= "Nombre de passagers (aménagement homogène 100% classe économique)" units= "(-)"</v>
      </c>
      <c r="AE221" s="359" t="str">
        <f t="shared" si="39"/>
        <v>X0.mission.payload</v>
      </c>
      <c r="AF221" s="360" t="str">
        <f t="shared" si="40"/>
        <v/>
      </c>
      <c r="AG221" s="360" t="str">
        <f t="shared" si="41"/>
        <v/>
      </c>
      <c r="AH221" s="360" t="str">
        <f t="shared" si="42"/>
        <v/>
      </c>
      <c r="AI221" s="360" t="str">
        <f t="shared" si="43"/>
        <v/>
      </c>
      <c r="AJ221" s="361" t="str">
        <f t="shared" si="44"/>
        <v/>
      </c>
    </row>
    <row r="222" spans="2:36" x14ac:dyDescent="0.2">
      <c r="B222" s="349"/>
      <c r="C222" s="345"/>
      <c r="D222" s="95" t="s">
        <v>280</v>
      </c>
      <c r="E222" s="25" t="s">
        <v>332</v>
      </c>
      <c r="F222" s="141" t="s">
        <v>684</v>
      </c>
      <c r="G222" s="142" t="s">
        <v>692</v>
      </c>
      <c r="H222" s="68" t="s">
        <v>347</v>
      </c>
      <c r="I222" s="26" t="s">
        <v>574</v>
      </c>
      <c r="J222" s="48" t="s">
        <v>51</v>
      </c>
      <c r="K222" s="47" t="s">
        <v>14</v>
      </c>
      <c r="L222" s="26"/>
      <c r="M222" s="26"/>
      <c r="N222" s="26"/>
      <c r="O222" s="26"/>
      <c r="P222" s="25"/>
      <c r="Q222" s="143" t="s">
        <v>823</v>
      </c>
      <c r="R222" s="142">
        <v>207</v>
      </c>
      <c r="S222" s="113" t="s">
        <v>592</v>
      </c>
      <c r="T222" s="114"/>
      <c r="U222" s="7"/>
      <c r="V222" s="61"/>
      <c r="Y222" s="359" t="str">
        <f t="shared" si="45"/>
        <v>cabin_crew_number</v>
      </c>
      <c r="Z222" s="360" t="str">
        <f t="shared" si="46"/>
        <v>integer</v>
      </c>
      <c r="AA222" s="360" t="str">
        <f t="shared" si="47"/>
        <v>scalaire</v>
      </c>
      <c r="AB222" s="360" t="str">
        <f t="shared" si="48"/>
        <v>Nombre de personnel navigant commercial</v>
      </c>
      <c r="AC222" s="360" t="str">
        <f t="shared" si="49"/>
        <v>(-)</v>
      </c>
      <c r="AD222" s="361" t="str">
        <f t="shared" si="50"/>
        <v>variable: cabin_crew_number integer input description= "Nombre de personnel navigant commercial" units= "(-)"</v>
      </c>
      <c r="AE222" s="359" t="str">
        <f t="shared" si="39"/>
        <v>Y03.mission.payload</v>
      </c>
      <c r="AF222" s="360" t="str">
        <f t="shared" si="40"/>
        <v/>
      </c>
      <c r="AG222" s="360" t="str">
        <f t="shared" si="41"/>
        <v/>
      </c>
      <c r="AH222" s="360" t="str">
        <f t="shared" si="42"/>
        <v/>
      </c>
      <c r="AI222" s="360" t="str">
        <f t="shared" si="43"/>
        <v/>
      </c>
      <c r="AJ222" s="361" t="str">
        <f t="shared" si="44"/>
        <v/>
      </c>
    </row>
    <row r="223" spans="2:36" x14ac:dyDescent="0.2">
      <c r="B223" s="349"/>
      <c r="C223" s="345"/>
      <c r="D223" s="95" t="s">
        <v>281</v>
      </c>
      <c r="E223" s="25" t="s">
        <v>333</v>
      </c>
      <c r="F223" s="141" t="s">
        <v>684</v>
      </c>
      <c r="G223" s="142" t="s">
        <v>692</v>
      </c>
      <c r="H223" s="68" t="s">
        <v>347</v>
      </c>
      <c r="I223" s="26" t="s">
        <v>574</v>
      </c>
      <c r="J223" s="48" t="s">
        <v>51</v>
      </c>
      <c r="K223" s="47" t="s">
        <v>14</v>
      </c>
      <c r="L223" s="26"/>
      <c r="M223" s="26"/>
      <c r="N223" s="26"/>
      <c r="O223" s="26"/>
      <c r="P223" s="25"/>
      <c r="Q223" s="143" t="s">
        <v>824</v>
      </c>
      <c r="R223" s="142">
        <v>208</v>
      </c>
      <c r="S223" s="113" t="s">
        <v>592</v>
      </c>
      <c r="T223" s="114"/>
      <c r="U223" s="7"/>
      <c r="V223" s="61"/>
      <c r="Y223" s="359" t="str">
        <f t="shared" si="45"/>
        <v>flight_crew_number</v>
      </c>
      <c r="Z223" s="360" t="str">
        <f t="shared" si="46"/>
        <v>integer</v>
      </c>
      <c r="AA223" s="360" t="str">
        <f t="shared" si="47"/>
        <v>scalaire</v>
      </c>
      <c r="AB223" s="360" t="str">
        <f t="shared" si="48"/>
        <v>Nombre de personnel navigant technique</v>
      </c>
      <c r="AC223" s="360" t="str">
        <f t="shared" si="49"/>
        <v>(-)</v>
      </c>
      <c r="AD223" s="361" t="str">
        <f t="shared" si="50"/>
        <v>variable: flight_crew_number integer input description= "Nombre de personnel navigant technique" units= "(-)"</v>
      </c>
      <c r="AE223" s="359" t="str">
        <f t="shared" si="39"/>
        <v>Y03.mission.payload</v>
      </c>
      <c r="AF223" s="360" t="str">
        <f t="shared" si="40"/>
        <v/>
      </c>
      <c r="AG223" s="360" t="str">
        <f t="shared" si="41"/>
        <v/>
      </c>
      <c r="AH223" s="360" t="str">
        <f t="shared" si="42"/>
        <v/>
      </c>
      <c r="AI223" s="360" t="str">
        <f t="shared" si="43"/>
        <v/>
      </c>
      <c r="AJ223" s="361" t="str">
        <f t="shared" si="44"/>
        <v/>
      </c>
    </row>
    <row r="224" spans="2:36" x14ac:dyDescent="0.2">
      <c r="B224" s="349"/>
      <c r="C224" s="345"/>
      <c r="D224" s="95" t="s">
        <v>322</v>
      </c>
      <c r="E224" s="25" t="s">
        <v>170</v>
      </c>
      <c r="F224" s="141" t="s">
        <v>684</v>
      </c>
      <c r="G224" s="142" t="s">
        <v>692</v>
      </c>
      <c r="H224" s="68" t="s">
        <v>347</v>
      </c>
      <c r="I224" s="26" t="s">
        <v>574</v>
      </c>
      <c r="J224" s="48" t="s">
        <v>51</v>
      </c>
      <c r="K224" s="47" t="s">
        <v>130</v>
      </c>
      <c r="L224" s="26" t="s">
        <v>559</v>
      </c>
      <c r="M224" s="26"/>
      <c r="N224" s="26"/>
      <c r="O224" s="26"/>
      <c r="P224" s="25"/>
      <c r="Q224" s="143" t="s">
        <v>830</v>
      </c>
      <c r="R224" s="142">
        <v>209</v>
      </c>
      <c r="S224" s="113" t="s">
        <v>592</v>
      </c>
      <c r="T224" s="114"/>
      <c r="U224" s="7"/>
      <c r="V224" s="61"/>
      <c r="Y224" s="359" t="str">
        <f t="shared" si="45"/>
        <v>cabin_partitions_number</v>
      </c>
      <c r="Z224" s="360" t="str">
        <f t="shared" si="46"/>
        <v>integer</v>
      </c>
      <c r="AA224" s="360" t="str">
        <f t="shared" si="47"/>
        <v>scalaire</v>
      </c>
      <c r="AB224" s="360" t="str">
        <f t="shared" si="48"/>
        <v>Nombre de cloisons internes dans la cabine</v>
      </c>
      <c r="AC224" s="360" t="str">
        <f t="shared" si="49"/>
        <v>(-)</v>
      </c>
      <c r="AD224" s="361" t="str">
        <f t="shared" si="50"/>
        <v>variable: cabin_partitions_number integer input description= "Nombre de cloisons internes dans la cabine" units= "(-)"</v>
      </c>
      <c r="AE224" s="359" t="str">
        <f t="shared" si="39"/>
        <v>X0.mission.payload</v>
      </c>
      <c r="AF224" s="360" t="str">
        <f t="shared" si="40"/>
        <v>Y03.mission.payload</v>
      </c>
      <c r="AG224" s="360" t="str">
        <f t="shared" si="41"/>
        <v/>
      </c>
      <c r="AH224" s="360" t="str">
        <f t="shared" si="42"/>
        <v/>
      </c>
      <c r="AI224" s="360" t="str">
        <f t="shared" si="43"/>
        <v/>
      </c>
      <c r="AJ224" s="361" t="str">
        <f t="shared" si="44"/>
        <v/>
      </c>
    </row>
    <row r="225" spans="2:36" x14ac:dyDescent="0.2">
      <c r="B225" s="349"/>
      <c r="C225" s="345"/>
      <c r="D225" s="95" t="s">
        <v>166</v>
      </c>
      <c r="E225" s="25" t="s">
        <v>171</v>
      </c>
      <c r="F225" s="141" t="s">
        <v>684</v>
      </c>
      <c r="G225" s="142" t="s">
        <v>692</v>
      </c>
      <c r="H225" s="68" t="s">
        <v>347</v>
      </c>
      <c r="I225" s="26" t="s">
        <v>13</v>
      </c>
      <c r="J225" s="48" t="s">
        <v>463</v>
      </c>
      <c r="K225" s="47" t="s">
        <v>130</v>
      </c>
      <c r="L225" s="26"/>
      <c r="M225" s="26"/>
      <c r="N225" s="26"/>
      <c r="O225" s="26"/>
      <c r="P225" s="25"/>
      <c r="Q225" s="143" t="s">
        <v>681</v>
      </c>
      <c r="R225" s="142">
        <v>210</v>
      </c>
      <c r="S225" s="113" t="s">
        <v>592</v>
      </c>
      <c r="T225" s="114"/>
      <c r="U225" s="7"/>
      <c r="V225" s="61"/>
      <c r="Y225" s="359" t="str">
        <f t="shared" si="45"/>
        <v>hold_volume</v>
      </c>
      <c r="Z225" s="360" t="str">
        <f t="shared" si="46"/>
        <v>double</v>
      </c>
      <c r="AA225" s="360" t="str">
        <f t="shared" si="47"/>
        <v>scalaire</v>
      </c>
      <c r="AB225" s="360" t="str">
        <f t="shared" si="48"/>
        <v>Volume total de la soute</v>
      </c>
      <c r="AC225" s="360" t="str">
        <f t="shared" si="49"/>
        <v>m3</v>
      </c>
      <c r="AD225" s="361" t="str">
        <f t="shared" si="50"/>
        <v>variable: hold_volume double input description= "Volume total de la soute" units= "m3"</v>
      </c>
      <c r="AE225" s="359" t="str">
        <f t="shared" si="39"/>
        <v>X0.mission.payload</v>
      </c>
      <c r="AF225" s="360" t="str">
        <f t="shared" si="40"/>
        <v/>
      </c>
      <c r="AG225" s="360" t="str">
        <f t="shared" si="41"/>
        <v/>
      </c>
      <c r="AH225" s="360" t="str">
        <f t="shared" si="42"/>
        <v/>
      </c>
      <c r="AI225" s="360" t="str">
        <f t="shared" si="43"/>
        <v/>
      </c>
      <c r="AJ225" s="361" t="str">
        <f t="shared" si="44"/>
        <v/>
      </c>
    </row>
    <row r="226" spans="2:36" x14ac:dyDescent="0.2">
      <c r="B226" s="349"/>
      <c r="C226" s="345"/>
      <c r="D226" s="95" t="s">
        <v>168</v>
      </c>
      <c r="E226" s="25" t="s">
        <v>173</v>
      </c>
      <c r="F226" s="141" t="s">
        <v>684</v>
      </c>
      <c r="G226" s="142" t="s">
        <v>692</v>
      </c>
      <c r="H226" s="68" t="s">
        <v>347</v>
      </c>
      <c r="I226" s="26" t="s">
        <v>13</v>
      </c>
      <c r="J226" s="48" t="s">
        <v>463</v>
      </c>
      <c r="K226" s="47" t="s">
        <v>130</v>
      </c>
      <c r="L226" s="26"/>
      <c r="M226" s="26"/>
      <c r="N226" s="26"/>
      <c r="O226" s="26"/>
      <c r="P226" s="25"/>
      <c r="Q226" s="143" t="s">
        <v>807</v>
      </c>
      <c r="R226" s="142">
        <v>211</v>
      </c>
      <c r="S226" s="113" t="s">
        <v>592</v>
      </c>
      <c r="T226" s="114"/>
      <c r="U226" s="7"/>
      <c r="V226" s="61"/>
      <c r="Y226" s="359" t="str">
        <f t="shared" si="45"/>
        <v>bulk_volume</v>
      </c>
      <c r="Z226" s="360" t="str">
        <f t="shared" si="46"/>
        <v>double</v>
      </c>
      <c r="AA226" s="360" t="str">
        <f t="shared" si="47"/>
        <v>scalaire</v>
      </c>
      <c r="AB226" s="360" t="str">
        <f t="shared" si="48"/>
        <v>Volume de vrac</v>
      </c>
      <c r="AC226" s="360" t="str">
        <f t="shared" si="49"/>
        <v>m3</v>
      </c>
      <c r="AD226" s="361" t="str">
        <f t="shared" si="50"/>
        <v>variable: bulk_volume double input description= "Volume de vrac" units= "m3"</v>
      </c>
      <c r="AE226" s="359" t="str">
        <f t="shared" si="39"/>
        <v>X0.mission.payload</v>
      </c>
      <c r="AF226" s="360" t="str">
        <f t="shared" si="40"/>
        <v/>
      </c>
      <c r="AG226" s="360" t="str">
        <f t="shared" si="41"/>
        <v/>
      </c>
      <c r="AH226" s="360" t="str">
        <f t="shared" si="42"/>
        <v/>
      </c>
      <c r="AI226" s="360" t="str">
        <f t="shared" si="43"/>
        <v/>
      </c>
      <c r="AJ226" s="361" t="str">
        <f t="shared" si="44"/>
        <v/>
      </c>
    </row>
    <row r="227" spans="2:36" x14ac:dyDescent="0.2">
      <c r="B227" s="349"/>
      <c r="C227" s="345"/>
      <c r="D227" s="95" t="s">
        <v>167</v>
      </c>
      <c r="E227" s="25" t="s">
        <v>172</v>
      </c>
      <c r="F227" s="141" t="s">
        <v>684</v>
      </c>
      <c r="G227" s="142" t="s">
        <v>692</v>
      </c>
      <c r="H227" s="68" t="s">
        <v>347</v>
      </c>
      <c r="I227" s="26" t="s">
        <v>574</v>
      </c>
      <c r="J227" s="48" t="s">
        <v>51</v>
      </c>
      <c r="K227" s="47" t="s">
        <v>130</v>
      </c>
      <c r="L227" s="26" t="s">
        <v>559</v>
      </c>
      <c r="M227" s="26"/>
      <c r="N227" s="26"/>
      <c r="O227" s="26"/>
      <c r="P227" s="25"/>
      <c r="Q227" s="143" t="s">
        <v>825</v>
      </c>
      <c r="R227" s="142">
        <v>212</v>
      </c>
      <c r="S227" s="113" t="s">
        <v>592</v>
      </c>
      <c r="T227" s="114"/>
      <c r="U227" s="7"/>
      <c r="V227" s="61"/>
      <c r="Y227" s="359" t="str">
        <f t="shared" si="45"/>
        <v>LD3_number</v>
      </c>
      <c r="Z227" s="360" t="str">
        <f t="shared" si="46"/>
        <v>integer</v>
      </c>
      <c r="AA227" s="360" t="str">
        <f t="shared" si="47"/>
        <v>scalaire</v>
      </c>
      <c r="AB227" s="360" t="str">
        <f t="shared" si="48"/>
        <v>Nombre de conteneurs LD3 (remplissage des soutes uniquement en LD3)</v>
      </c>
      <c r="AC227" s="360" t="str">
        <f t="shared" si="49"/>
        <v>(-)</v>
      </c>
      <c r="AD227" s="361" t="str">
        <f t="shared" si="50"/>
        <v>variable: LD3_number integer input description= "Nombre de conteneurs LD3 (remplissage des soutes uniquement en LD3)" units= "(-)"</v>
      </c>
      <c r="AE227" s="359" t="str">
        <f t="shared" si="39"/>
        <v>X0.mission.payload</v>
      </c>
      <c r="AF227" s="360" t="str">
        <f t="shared" si="40"/>
        <v>Y03.mission.payload</v>
      </c>
      <c r="AG227" s="360" t="str">
        <f t="shared" si="41"/>
        <v/>
      </c>
      <c r="AH227" s="360" t="str">
        <f t="shared" si="42"/>
        <v/>
      </c>
      <c r="AI227" s="360" t="str">
        <f t="shared" si="43"/>
        <v/>
      </c>
      <c r="AJ227" s="361" t="str">
        <f t="shared" si="44"/>
        <v/>
      </c>
    </row>
    <row r="228" spans="2:36" x14ac:dyDescent="0.2">
      <c r="B228" s="349"/>
      <c r="C228" s="345"/>
      <c r="D228" s="95" t="s">
        <v>323</v>
      </c>
      <c r="E228" s="25" t="s">
        <v>1084</v>
      </c>
      <c r="F228" s="141" t="s">
        <v>684</v>
      </c>
      <c r="G228" s="142" t="s">
        <v>692</v>
      </c>
      <c r="H228" s="68" t="s">
        <v>347</v>
      </c>
      <c r="I228" s="26" t="s">
        <v>574</v>
      </c>
      <c r="J228" s="48" t="s">
        <v>51</v>
      </c>
      <c r="K228" s="47" t="s">
        <v>130</v>
      </c>
      <c r="L228" s="26" t="s">
        <v>559</v>
      </c>
      <c r="M228" s="26"/>
      <c r="N228" s="26"/>
      <c r="O228" s="26"/>
      <c r="P228" s="25"/>
      <c r="Q228" s="143" t="s">
        <v>831</v>
      </c>
      <c r="R228" s="142">
        <v>213</v>
      </c>
      <c r="S228" s="113" t="s">
        <v>592</v>
      </c>
      <c r="T228" s="114"/>
      <c r="U228" s="7"/>
      <c r="V228" s="61"/>
      <c r="Y228" s="359" t="str">
        <f t="shared" si="45"/>
        <v>pallets_number</v>
      </c>
      <c r="Z228" s="360" t="str">
        <f t="shared" si="46"/>
        <v>integer</v>
      </c>
      <c r="AA228" s="360" t="str">
        <f t="shared" si="47"/>
        <v>scalaire</v>
      </c>
      <c r="AB228" s="360" t="str">
        <f t="shared" si="48"/>
        <v>Nombre de palettes 96 ppuces (remplissage des soutes uniquement en palettes 96p)</v>
      </c>
      <c r="AC228" s="360" t="str">
        <f t="shared" si="49"/>
        <v>(-)</v>
      </c>
      <c r="AD228" s="361" t="str">
        <f t="shared" si="50"/>
        <v>variable: pallets_number integer input description= "Nombre de palettes 96 ppuces (remplissage des soutes uniquement en palettes 96p)" units= "(-)"</v>
      </c>
      <c r="AE228" s="359" t="str">
        <f t="shared" si="39"/>
        <v>X0.mission.payload</v>
      </c>
      <c r="AF228" s="360" t="str">
        <f t="shared" si="40"/>
        <v>Y03.mission.payload</v>
      </c>
      <c r="AG228" s="360" t="str">
        <f t="shared" si="41"/>
        <v/>
      </c>
      <c r="AH228" s="360" t="str">
        <f t="shared" si="42"/>
        <v/>
      </c>
      <c r="AI228" s="360" t="str">
        <f t="shared" si="43"/>
        <v/>
      </c>
      <c r="AJ228" s="361" t="str">
        <f t="shared" si="44"/>
        <v/>
      </c>
    </row>
    <row r="229" spans="2:36" x14ac:dyDescent="0.2">
      <c r="B229" s="349"/>
      <c r="C229" s="345"/>
      <c r="D229" s="95" t="s">
        <v>324</v>
      </c>
      <c r="E229" s="25" t="s">
        <v>283</v>
      </c>
      <c r="F229" s="141" t="s">
        <v>684</v>
      </c>
      <c r="G229" s="142" t="s">
        <v>692</v>
      </c>
      <c r="H229" s="68" t="s">
        <v>347</v>
      </c>
      <c r="I229" s="26" t="s">
        <v>574</v>
      </c>
      <c r="J229" s="48" t="s">
        <v>51</v>
      </c>
      <c r="K229" s="47" t="s">
        <v>14</v>
      </c>
      <c r="L229" s="26"/>
      <c r="M229" s="26"/>
      <c r="N229" s="26"/>
      <c r="O229" s="26"/>
      <c r="P229" s="25"/>
      <c r="Q229" s="143" t="s">
        <v>826</v>
      </c>
      <c r="R229" s="142">
        <v>214</v>
      </c>
      <c r="S229" s="113" t="s">
        <v>592</v>
      </c>
      <c r="T229" s="114"/>
      <c r="U229" s="7"/>
      <c r="V229" s="61"/>
      <c r="Y229" s="359" t="str">
        <f t="shared" si="45"/>
        <v>seats_number</v>
      </c>
      <c r="Z229" s="360" t="str">
        <f t="shared" si="46"/>
        <v>integer</v>
      </c>
      <c r="AA229" s="360" t="str">
        <f t="shared" si="47"/>
        <v>scalaire</v>
      </c>
      <c r="AB229" s="360" t="str">
        <f t="shared" si="48"/>
        <v>Nombre de sièges</v>
      </c>
      <c r="AC229" s="360" t="str">
        <f t="shared" si="49"/>
        <v>(-)</v>
      </c>
      <c r="AD229" s="361" t="str">
        <f t="shared" si="50"/>
        <v>variable: seats_number integer input description= "Nombre de sièges" units= "(-)"</v>
      </c>
      <c r="AE229" s="359" t="str">
        <f t="shared" si="39"/>
        <v>Y03.mission.payload</v>
      </c>
      <c r="AF229" s="360" t="str">
        <f t="shared" si="40"/>
        <v/>
      </c>
      <c r="AG229" s="360" t="str">
        <f t="shared" si="41"/>
        <v/>
      </c>
      <c r="AH229" s="360" t="str">
        <f t="shared" si="42"/>
        <v/>
      </c>
      <c r="AI229" s="360" t="str">
        <f t="shared" si="43"/>
        <v/>
      </c>
      <c r="AJ229" s="361" t="str">
        <f t="shared" si="44"/>
        <v/>
      </c>
    </row>
    <row r="230" spans="2:36" x14ac:dyDescent="0.2">
      <c r="B230" s="349"/>
      <c r="C230" s="345"/>
      <c r="D230" s="95" t="s">
        <v>282</v>
      </c>
      <c r="E230" s="25" t="s">
        <v>284</v>
      </c>
      <c r="F230" s="141" t="s">
        <v>684</v>
      </c>
      <c r="G230" s="142" t="s">
        <v>692</v>
      </c>
      <c r="H230" s="68" t="s">
        <v>347</v>
      </c>
      <c r="I230" s="26" t="s">
        <v>574</v>
      </c>
      <c r="J230" s="48" t="s">
        <v>51</v>
      </c>
      <c r="K230" s="47" t="s">
        <v>14</v>
      </c>
      <c r="L230" s="26"/>
      <c r="M230" s="26"/>
      <c r="N230" s="26"/>
      <c r="O230" s="26"/>
      <c r="P230" s="25"/>
      <c r="Q230" s="143" t="s">
        <v>827</v>
      </c>
      <c r="R230" s="142">
        <v>215</v>
      </c>
      <c r="S230" s="113" t="s">
        <v>592</v>
      </c>
      <c r="T230" s="114"/>
      <c r="U230" s="7"/>
      <c r="V230" s="61"/>
      <c r="Y230" s="359" t="str">
        <f t="shared" si="45"/>
        <v>toilets_number</v>
      </c>
      <c r="Z230" s="360" t="str">
        <f t="shared" si="46"/>
        <v>integer</v>
      </c>
      <c r="AA230" s="360" t="str">
        <f t="shared" si="47"/>
        <v>scalaire</v>
      </c>
      <c r="AB230" s="360" t="str">
        <f t="shared" si="48"/>
        <v>Nombre de WC</v>
      </c>
      <c r="AC230" s="360" t="str">
        <f t="shared" si="49"/>
        <v>(-)</v>
      </c>
      <c r="AD230" s="361" t="str">
        <f t="shared" si="50"/>
        <v>variable: toilets_number integer input description= "Nombre de WC" units= "(-)"</v>
      </c>
      <c r="AE230" s="359" t="str">
        <f t="shared" si="39"/>
        <v>Y03.mission.payload</v>
      </c>
      <c r="AF230" s="360" t="str">
        <f t="shared" si="40"/>
        <v/>
      </c>
      <c r="AG230" s="360" t="str">
        <f t="shared" si="41"/>
        <v/>
      </c>
      <c r="AH230" s="360" t="str">
        <f t="shared" si="42"/>
        <v/>
      </c>
      <c r="AI230" s="360" t="str">
        <f t="shared" si="43"/>
        <v/>
      </c>
      <c r="AJ230" s="361" t="str">
        <f t="shared" si="44"/>
        <v/>
      </c>
    </row>
    <row r="231" spans="2:36" x14ac:dyDescent="0.2">
      <c r="B231" s="349"/>
      <c r="C231" s="345"/>
      <c r="D231" s="95" t="s">
        <v>325</v>
      </c>
      <c r="E231" s="25" t="s">
        <v>285</v>
      </c>
      <c r="F231" s="141" t="s">
        <v>684</v>
      </c>
      <c r="G231" s="142" t="s">
        <v>692</v>
      </c>
      <c r="H231" s="68" t="s">
        <v>347</v>
      </c>
      <c r="I231" s="26" t="s">
        <v>574</v>
      </c>
      <c r="J231" s="48" t="s">
        <v>51</v>
      </c>
      <c r="K231" s="47" t="s">
        <v>14</v>
      </c>
      <c r="L231" s="26"/>
      <c r="M231" s="26"/>
      <c r="N231" s="26"/>
      <c r="O231" s="26"/>
      <c r="P231" s="25"/>
      <c r="Q231" s="143" t="s">
        <v>828</v>
      </c>
      <c r="R231" s="142">
        <v>216</v>
      </c>
      <c r="S231" s="113" t="s">
        <v>592</v>
      </c>
      <c r="T231" s="114"/>
      <c r="U231" s="7"/>
      <c r="V231" s="61"/>
      <c r="Y231" s="359" t="str">
        <f t="shared" si="45"/>
        <v>galleys_number</v>
      </c>
      <c r="Z231" s="360" t="str">
        <f t="shared" si="46"/>
        <v>integer</v>
      </c>
      <c r="AA231" s="360" t="str">
        <f t="shared" si="47"/>
        <v>scalaire</v>
      </c>
      <c r="AB231" s="360" t="str">
        <f t="shared" si="48"/>
        <v>Nombre de galleys</v>
      </c>
      <c r="AC231" s="360" t="str">
        <f t="shared" si="49"/>
        <v>(-)</v>
      </c>
      <c r="AD231" s="361" t="str">
        <f t="shared" si="50"/>
        <v>variable: galleys_number integer input description= "Nombre de galleys" units= "(-)"</v>
      </c>
      <c r="AE231" s="359" t="str">
        <f t="shared" si="39"/>
        <v>Y03.mission.payload</v>
      </c>
      <c r="AF231" s="360" t="str">
        <f t="shared" si="40"/>
        <v/>
      </c>
      <c r="AG231" s="360" t="str">
        <f t="shared" si="41"/>
        <v/>
      </c>
      <c r="AH231" s="360" t="str">
        <f t="shared" si="42"/>
        <v/>
      </c>
      <c r="AI231" s="360" t="str">
        <f t="shared" si="43"/>
        <v/>
      </c>
      <c r="AJ231" s="361" t="str">
        <f t="shared" si="44"/>
        <v/>
      </c>
    </row>
    <row r="232" spans="2:36" x14ac:dyDescent="0.2">
      <c r="B232" s="349"/>
      <c r="C232" s="346"/>
      <c r="D232" s="95" t="s">
        <v>326</v>
      </c>
      <c r="E232" s="25" t="s">
        <v>286</v>
      </c>
      <c r="F232" s="141" t="s">
        <v>684</v>
      </c>
      <c r="G232" s="142" t="s">
        <v>692</v>
      </c>
      <c r="H232" s="68" t="s">
        <v>347</v>
      </c>
      <c r="I232" s="26" t="s">
        <v>574</v>
      </c>
      <c r="J232" s="48" t="s">
        <v>51</v>
      </c>
      <c r="K232" s="47" t="s">
        <v>14</v>
      </c>
      <c r="L232" s="26"/>
      <c r="M232" s="26"/>
      <c r="N232" s="26"/>
      <c r="O232" s="26"/>
      <c r="P232" s="25"/>
      <c r="Q232" s="143" t="s">
        <v>829</v>
      </c>
      <c r="R232" s="142">
        <v>217</v>
      </c>
      <c r="S232" s="113" t="s">
        <v>592</v>
      </c>
      <c r="T232" s="114"/>
      <c r="U232" s="7"/>
      <c r="V232" s="61"/>
      <c r="Y232" s="359" t="str">
        <f t="shared" si="45"/>
        <v>doors_number</v>
      </c>
      <c r="Z232" s="360" t="str">
        <f t="shared" si="46"/>
        <v>integer</v>
      </c>
      <c r="AA232" s="360" t="str">
        <f t="shared" si="47"/>
        <v>scalaire</v>
      </c>
      <c r="AB232" s="360" t="str">
        <f t="shared" si="48"/>
        <v>Nombre de portes</v>
      </c>
      <c r="AC232" s="360" t="str">
        <f t="shared" si="49"/>
        <v>(-)</v>
      </c>
      <c r="AD232" s="361" t="str">
        <f t="shared" si="50"/>
        <v>variable: doors_number integer input description= "Nombre de portes" units= "(-)"</v>
      </c>
      <c r="AE232" s="359" t="str">
        <f t="shared" si="39"/>
        <v>Y03.mission.payload</v>
      </c>
      <c r="AF232" s="360" t="str">
        <f t="shared" si="40"/>
        <v/>
      </c>
      <c r="AG232" s="360" t="str">
        <f t="shared" si="41"/>
        <v/>
      </c>
      <c r="AH232" s="360" t="str">
        <f t="shared" si="42"/>
        <v/>
      </c>
      <c r="AI232" s="360" t="str">
        <f t="shared" si="43"/>
        <v/>
      </c>
      <c r="AJ232" s="361" t="str">
        <f t="shared" si="44"/>
        <v/>
      </c>
    </row>
    <row r="233" spans="2:36" x14ac:dyDescent="0.2">
      <c r="B233" s="349"/>
      <c r="C233" s="338" t="s">
        <v>345</v>
      </c>
      <c r="D233" s="95" t="s">
        <v>178</v>
      </c>
      <c r="E233" s="25" t="s">
        <v>181</v>
      </c>
      <c r="F233" s="141" t="s">
        <v>684</v>
      </c>
      <c r="G233" s="142" t="s">
        <v>862</v>
      </c>
      <c r="H233" s="68" t="s">
        <v>347</v>
      </c>
      <c r="I233" s="26" t="s">
        <v>13</v>
      </c>
      <c r="J233" s="48" t="s">
        <v>51</v>
      </c>
      <c r="K233" s="47" t="s">
        <v>88</v>
      </c>
      <c r="L233" s="26" t="s">
        <v>565</v>
      </c>
      <c r="M233" s="26" t="s">
        <v>566</v>
      </c>
      <c r="N233" s="26"/>
      <c r="O233" s="26"/>
      <c r="P233" s="25"/>
      <c r="Q233" s="143" t="s">
        <v>811</v>
      </c>
      <c r="R233" s="142">
        <v>218</v>
      </c>
      <c r="S233" s="113" t="s">
        <v>592</v>
      </c>
      <c r="T233" s="114"/>
      <c r="U233" s="7"/>
      <c r="V233" s="61"/>
      <c r="Y233" s="359" t="str">
        <f t="shared" si="45"/>
        <v>engine_sizing_mach_number</v>
      </c>
      <c r="Z233" s="360" t="str">
        <f t="shared" si="46"/>
        <v>double</v>
      </c>
      <c r="AA233" s="360" t="str">
        <f t="shared" si="47"/>
        <v>scalaire</v>
      </c>
      <c r="AB233" s="360" t="str">
        <f t="shared" si="48"/>
        <v>Mach au point de dimensionnement de la propulsion</v>
      </c>
      <c r="AC233" s="360" t="str">
        <f t="shared" si="49"/>
        <v>(-)</v>
      </c>
      <c r="AD233" s="361" t="str">
        <f t="shared" si="50"/>
        <v>variable: engine_sizing_mach_number double input description= "Mach au point de dimensionnement de la propulsion" units= "(-)"</v>
      </c>
      <c r="AE233" s="359" t="str">
        <f t="shared" si="39"/>
        <v>X1.mission.engine_sizing</v>
      </c>
      <c r="AF233" s="360" t="str">
        <f t="shared" si="40"/>
        <v>X2.mission.engine_sizing</v>
      </c>
      <c r="AG233" s="360" t="str">
        <f t="shared" si="41"/>
        <v>X4.mission.engine_sizing</v>
      </c>
      <c r="AH233" s="360" t="str">
        <f t="shared" si="42"/>
        <v/>
      </c>
      <c r="AI233" s="360" t="str">
        <f t="shared" si="43"/>
        <v/>
      </c>
      <c r="AJ233" s="361" t="str">
        <f t="shared" si="44"/>
        <v/>
      </c>
    </row>
    <row r="234" spans="2:36" x14ac:dyDescent="0.2">
      <c r="B234" s="349"/>
      <c r="C234" s="339"/>
      <c r="D234" s="95" t="s">
        <v>179</v>
      </c>
      <c r="E234" s="25" t="s">
        <v>182</v>
      </c>
      <c r="F234" s="141" t="s">
        <v>684</v>
      </c>
      <c r="G234" s="142" t="s">
        <v>862</v>
      </c>
      <c r="H234" s="68" t="s">
        <v>347</v>
      </c>
      <c r="I234" s="26" t="s">
        <v>13</v>
      </c>
      <c r="J234" s="48" t="s">
        <v>12</v>
      </c>
      <c r="K234" s="47" t="s">
        <v>88</v>
      </c>
      <c r="L234" s="26" t="s">
        <v>565</v>
      </c>
      <c r="M234" s="26" t="s">
        <v>566</v>
      </c>
      <c r="N234" s="26"/>
      <c r="O234" s="26"/>
      <c r="P234" s="25"/>
      <c r="Q234" s="143" t="s">
        <v>682</v>
      </c>
      <c r="R234" s="142">
        <v>219</v>
      </c>
      <c r="S234" s="113" t="s">
        <v>592</v>
      </c>
      <c r="T234" s="114"/>
      <c r="U234" s="7"/>
      <c r="V234" s="61"/>
      <c r="Y234" s="359" t="str">
        <f t="shared" si="45"/>
        <v>engine_sizing_altitude</v>
      </c>
      <c r="Z234" s="360" t="str">
        <f t="shared" si="46"/>
        <v>double</v>
      </c>
      <c r="AA234" s="360" t="str">
        <f t="shared" si="47"/>
        <v>scalaire</v>
      </c>
      <c r="AB234" s="360" t="str">
        <f t="shared" si="48"/>
        <v>Altitude au point de dimensionnement de la propulsion</v>
      </c>
      <c r="AC234" s="360" t="str">
        <f t="shared" si="49"/>
        <v>m</v>
      </c>
      <c r="AD234" s="361" t="str">
        <f t="shared" si="50"/>
        <v>variable: engine_sizing_altitude double input description= "Altitude au point de dimensionnement de la propulsion" units= "m"</v>
      </c>
      <c r="AE234" s="359" t="str">
        <f t="shared" si="39"/>
        <v>X1.mission.engine_sizing</v>
      </c>
      <c r="AF234" s="360" t="str">
        <f t="shared" si="40"/>
        <v>X2.mission.engine_sizing</v>
      </c>
      <c r="AG234" s="360" t="str">
        <f t="shared" si="41"/>
        <v>X4.mission.engine_sizing</v>
      </c>
      <c r="AH234" s="360" t="str">
        <f t="shared" si="42"/>
        <v/>
      </c>
      <c r="AI234" s="360" t="str">
        <f t="shared" si="43"/>
        <v/>
      </c>
      <c r="AJ234" s="361" t="str">
        <f t="shared" si="44"/>
        <v/>
      </c>
    </row>
    <row r="235" spans="2:36" x14ac:dyDescent="0.2">
      <c r="B235" s="349"/>
      <c r="C235" s="339"/>
      <c r="D235" s="95" t="s">
        <v>177</v>
      </c>
      <c r="E235" s="25" t="s">
        <v>180</v>
      </c>
      <c r="F235" s="141" t="s">
        <v>684</v>
      </c>
      <c r="G235" s="142" t="s">
        <v>862</v>
      </c>
      <c r="H235" s="68" t="s">
        <v>347</v>
      </c>
      <c r="I235" s="26" t="s">
        <v>13</v>
      </c>
      <c r="J235" s="48" t="s">
        <v>116</v>
      </c>
      <c r="K235" s="47" t="s">
        <v>157</v>
      </c>
      <c r="L235" s="26"/>
      <c r="M235" s="26"/>
      <c r="N235" s="26"/>
      <c r="O235" s="26"/>
      <c r="P235" s="25"/>
      <c r="Q235" s="143" t="s">
        <v>808</v>
      </c>
      <c r="R235" s="142">
        <v>220</v>
      </c>
      <c r="S235" s="113" t="s">
        <v>592</v>
      </c>
      <c r="T235" s="114"/>
      <c r="U235" s="7"/>
      <c r="V235" s="61"/>
      <c r="Y235" s="359" t="str">
        <f t="shared" si="45"/>
        <v>engine_sizing_drag_force</v>
      </c>
      <c r="Z235" s="360" t="str">
        <f t="shared" si="46"/>
        <v>double</v>
      </c>
      <c r="AA235" s="360" t="str">
        <f t="shared" si="47"/>
        <v>scalaire</v>
      </c>
      <c r="AB235" s="360" t="str">
        <f t="shared" si="48"/>
        <v>Traînée au point de dimensionnement de la propulsion</v>
      </c>
      <c r="AC235" s="360" t="str">
        <f t="shared" si="49"/>
        <v>N</v>
      </c>
      <c r="AD235" s="361" t="str">
        <f t="shared" si="50"/>
        <v>variable: engine_sizing_drag_force double input description= "Traînée au point de dimensionnement de la propulsion" units= "N"</v>
      </c>
      <c r="AE235" s="359" t="str">
        <f t="shared" si="39"/>
        <v>Y21.mission.engine_sizing</v>
      </c>
      <c r="AF235" s="360" t="str">
        <f t="shared" si="40"/>
        <v/>
      </c>
      <c r="AG235" s="360" t="str">
        <f t="shared" si="41"/>
        <v/>
      </c>
      <c r="AH235" s="360" t="str">
        <f t="shared" si="42"/>
        <v/>
      </c>
      <c r="AI235" s="360" t="str">
        <f t="shared" si="43"/>
        <v/>
      </c>
      <c r="AJ235" s="361" t="str">
        <f t="shared" si="44"/>
        <v/>
      </c>
    </row>
    <row r="236" spans="2:36" x14ac:dyDescent="0.2">
      <c r="B236" s="349"/>
      <c r="C236" s="340"/>
      <c r="D236" s="95" t="s">
        <v>192</v>
      </c>
      <c r="E236" s="25" t="s">
        <v>193</v>
      </c>
      <c r="F236" s="141" t="s">
        <v>684</v>
      </c>
      <c r="G236" s="142" t="s">
        <v>862</v>
      </c>
      <c r="H236" s="68" t="s">
        <v>347</v>
      </c>
      <c r="I236" s="26" t="s">
        <v>13</v>
      </c>
      <c r="J236" s="48" t="s">
        <v>51</v>
      </c>
      <c r="K236" s="47" t="s">
        <v>194</v>
      </c>
      <c r="L236" s="26"/>
      <c r="M236" s="26"/>
      <c r="N236" s="26"/>
      <c r="O236" s="26"/>
      <c r="P236" s="25"/>
      <c r="Q236" s="143" t="s">
        <v>809</v>
      </c>
      <c r="R236" s="142">
        <v>221</v>
      </c>
      <c r="S236" s="113" t="s">
        <v>592</v>
      </c>
      <c r="T236" s="114"/>
      <c r="U236" s="7"/>
      <c r="V236" s="61"/>
      <c r="Y236" s="359" t="str">
        <f t="shared" si="45"/>
        <v>engine_sizing_lift_coefficient</v>
      </c>
      <c r="Z236" s="360" t="str">
        <f t="shared" si="46"/>
        <v>double</v>
      </c>
      <c r="AA236" s="360" t="str">
        <f t="shared" si="47"/>
        <v>scalaire</v>
      </c>
      <c r="AB236" s="360" t="str">
        <f t="shared" si="48"/>
        <v>Cz au point de dimensionnement de la propulsion</v>
      </c>
      <c r="AC236" s="360" t="str">
        <f t="shared" si="49"/>
        <v>(-)</v>
      </c>
      <c r="AD236" s="361" t="str">
        <f t="shared" si="50"/>
        <v>variable: engine_sizing_lift_coefficient double input description= "Cz au point de dimensionnement de la propulsion" units= "(-)"</v>
      </c>
      <c r="AE236" s="359" t="str">
        <f t="shared" si="39"/>
        <v>Y42.mission.engine_sizing</v>
      </c>
      <c r="AF236" s="360" t="str">
        <f t="shared" si="40"/>
        <v/>
      </c>
      <c r="AG236" s="360" t="str">
        <f t="shared" si="41"/>
        <v/>
      </c>
      <c r="AH236" s="360" t="str">
        <f t="shared" si="42"/>
        <v/>
      </c>
      <c r="AI236" s="360" t="str">
        <f t="shared" si="43"/>
        <v/>
      </c>
      <c r="AJ236" s="361" t="str">
        <f t="shared" si="44"/>
        <v/>
      </c>
    </row>
    <row r="237" spans="2:36" x14ac:dyDescent="0.2">
      <c r="B237" s="349"/>
      <c r="C237" s="339" t="s">
        <v>346</v>
      </c>
      <c r="D237" s="95" t="s">
        <v>454</v>
      </c>
      <c r="E237" s="25" t="s">
        <v>95</v>
      </c>
      <c r="F237" s="141" t="s">
        <v>684</v>
      </c>
      <c r="G237" s="142"/>
      <c r="H237" s="68" t="s">
        <v>347</v>
      </c>
      <c r="I237" s="26" t="s">
        <v>13</v>
      </c>
      <c r="J237" s="48" t="s">
        <v>12</v>
      </c>
      <c r="K237" s="47" t="s">
        <v>73</v>
      </c>
      <c r="L237" s="26"/>
      <c r="M237" s="26"/>
      <c r="N237" s="26"/>
      <c r="O237" s="26"/>
      <c r="P237" s="25"/>
      <c r="Q237" s="143" t="s">
        <v>683</v>
      </c>
      <c r="R237" s="142">
        <v>222</v>
      </c>
      <c r="S237" s="113" t="s">
        <v>592</v>
      </c>
      <c r="T237" s="114"/>
      <c r="U237" s="7"/>
      <c r="V237" s="61"/>
      <c r="Y237" s="359" t="str">
        <f t="shared" si="45"/>
        <v>structural_design_altitude</v>
      </c>
      <c r="Z237" s="360" t="str">
        <f t="shared" si="46"/>
        <v>double</v>
      </c>
      <c r="AA237" s="360" t="str">
        <f t="shared" si="47"/>
        <v>scalaire</v>
      </c>
      <c r="AB237" s="360" t="str">
        <f t="shared" si="48"/>
        <v>Structural design altitude</v>
      </c>
      <c r="AC237" s="360" t="str">
        <f t="shared" si="49"/>
        <v>m</v>
      </c>
      <c r="AD237" s="361" t="str">
        <f t="shared" si="50"/>
        <v>variable: structural_design_altitude double input description= "Structural design altitude" units= "m"</v>
      </c>
      <c r="AE237" s="359" t="str">
        <f t="shared" si="39"/>
        <v>X3.mission</v>
      </c>
      <c r="AF237" s="360" t="str">
        <f t="shared" si="40"/>
        <v/>
      </c>
      <c r="AG237" s="360" t="str">
        <f t="shared" si="41"/>
        <v/>
      </c>
      <c r="AH237" s="360" t="str">
        <f t="shared" si="42"/>
        <v/>
      </c>
      <c r="AI237" s="360" t="str">
        <f t="shared" si="43"/>
        <v/>
      </c>
      <c r="AJ237" s="361" t="str">
        <f t="shared" si="44"/>
        <v/>
      </c>
    </row>
    <row r="238" spans="2:36" x14ac:dyDescent="0.2">
      <c r="B238" s="349"/>
      <c r="C238" s="339"/>
      <c r="D238" s="95" t="s">
        <v>455</v>
      </c>
      <c r="E238" s="25" t="s">
        <v>456</v>
      </c>
      <c r="F238" s="141" t="s">
        <v>684</v>
      </c>
      <c r="G238" s="142"/>
      <c r="H238" s="68" t="s">
        <v>347</v>
      </c>
      <c r="I238" s="26" t="s">
        <v>13</v>
      </c>
      <c r="J238" s="48" t="s">
        <v>51</v>
      </c>
      <c r="K238" s="47" t="s">
        <v>112</v>
      </c>
      <c r="L238" s="26" t="s">
        <v>92</v>
      </c>
      <c r="M238" s="26"/>
      <c r="N238" s="26"/>
      <c r="O238" s="26"/>
      <c r="P238" s="25"/>
      <c r="Q238" s="143" t="s">
        <v>810</v>
      </c>
      <c r="R238" s="142">
        <v>223</v>
      </c>
      <c r="S238" s="113" t="s">
        <v>592</v>
      </c>
      <c r="T238" s="114" t="s">
        <v>896</v>
      </c>
      <c r="U238" s="7"/>
      <c r="V238" s="61"/>
      <c r="Y238" s="359" t="str">
        <f t="shared" si="45"/>
        <v>cruising_mach_number</v>
      </c>
      <c r="Z238" s="360" t="str">
        <f t="shared" si="46"/>
        <v>double</v>
      </c>
      <c r="AA238" s="360" t="str">
        <f t="shared" si="47"/>
        <v>scalaire</v>
      </c>
      <c r="AB238" s="360" t="str">
        <f t="shared" si="48"/>
        <v>Mach de croisière</v>
      </c>
      <c r="AC238" s="360" t="str">
        <f t="shared" si="49"/>
        <v>(-)</v>
      </c>
      <c r="AD238" s="361" t="str">
        <f t="shared" si="50"/>
        <v>variable: cruising_mach_number double input description= "Mach de croisière" units= "(-)"</v>
      </c>
      <c r="AE238" s="359" t="str">
        <f t="shared" si="39"/>
        <v>X4.mission</v>
      </c>
      <c r="AF238" s="360" t="str">
        <f t="shared" si="40"/>
        <v>Y43.mission</v>
      </c>
      <c r="AG238" s="360" t="str">
        <f t="shared" si="41"/>
        <v/>
      </c>
      <c r="AH238" s="360" t="str">
        <f t="shared" si="42"/>
        <v/>
      </c>
      <c r="AI238" s="360" t="str">
        <f t="shared" si="43"/>
        <v/>
      </c>
      <c r="AJ238" s="361" t="str">
        <f t="shared" si="44"/>
        <v/>
      </c>
    </row>
    <row r="239" spans="2:36" x14ac:dyDescent="0.2">
      <c r="B239" s="349"/>
      <c r="C239" s="339"/>
      <c r="D239" s="95" t="s">
        <v>97</v>
      </c>
      <c r="E239" s="25" t="s">
        <v>99</v>
      </c>
      <c r="F239" s="141" t="s">
        <v>684</v>
      </c>
      <c r="G239" s="142"/>
      <c r="H239" s="68" t="s">
        <v>347</v>
      </c>
      <c r="I239" s="26" t="s">
        <v>13</v>
      </c>
      <c r="J239" s="48" t="s">
        <v>12</v>
      </c>
      <c r="K239" s="47" t="s">
        <v>112</v>
      </c>
      <c r="L239" s="26" t="s">
        <v>92</v>
      </c>
      <c r="M239" s="26"/>
      <c r="N239" s="26"/>
      <c r="O239" s="26"/>
      <c r="P239" s="25"/>
      <c r="Q239" s="143" t="s">
        <v>815</v>
      </c>
      <c r="R239" s="142">
        <v>224</v>
      </c>
      <c r="S239" s="113" t="s">
        <v>592</v>
      </c>
      <c r="T239" s="114" t="s">
        <v>895</v>
      </c>
      <c r="U239" s="7"/>
      <c r="V239" s="61"/>
      <c r="Y239" s="359" t="str">
        <f t="shared" si="45"/>
        <v>top_of_climb_altitude</v>
      </c>
      <c r="Z239" s="360" t="str">
        <f t="shared" si="46"/>
        <v>double</v>
      </c>
      <c r="AA239" s="360" t="str">
        <f t="shared" si="47"/>
        <v>scalaire</v>
      </c>
      <c r="AB239" s="360" t="str">
        <f t="shared" si="48"/>
        <v>Altitude de fin de montée</v>
      </c>
      <c r="AC239" s="360" t="str">
        <f t="shared" si="49"/>
        <v>m</v>
      </c>
      <c r="AD239" s="361" t="str">
        <f t="shared" si="50"/>
        <v>variable: top_of_climb_altitude double input description= "Altitude de fin de montée" units= "m"</v>
      </c>
      <c r="AE239" s="359" t="str">
        <f t="shared" si="39"/>
        <v>X4.mission</v>
      </c>
      <c r="AF239" s="360" t="str">
        <f t="shared" si="40"/>
        <v>Y43.mission</v>
      </c>
      <c r="AG239" s="360" t="str">
        <f t="shared" si="41"/>
        <v/>
      </c>
      <c r="AH239" s="360" t="str">
        <f t="shared" si="42"/>
        <v/>
      </c>
      <c r="AI239" s="360" t="str">
        <f t="shared" si="43"/>
        <v/>
      </c>
      <c r="AJ239" s="361" t="str">
        <f t="shared" si="44"/>
        <v/>
      </c>
    </row>
    <row r="240" spans="2:36" x14ac:dyDescent="0.2">
      <c r="B240" s="349"/>
      <c r="C240" s="339"/>
      <c r="D240" s="95" t="s">
        <v>98</v>
      </c>
      <c r="E240" s="25" t="s">
        <v>100</v>
      </c>
      <c r="F240" s="141" t="s">
        <v>684</v>
      </c>
      <c r="G240" s="142"/>
      <c r="H240" s="68" t="s">
        <v>347</v>
      </c>
      <c r="I240" s="26" t="s">
        <v>13</v>
      </c>
      <c r="J240" s="48" t="s">
        <v>12</v>
      </c>
      <c r="K240" s="47" t="s">
        <v>92</v>
      </c>
      <c r="L240" s="26"/>
      <c r="M240" s="26"/>
      <c r="N240" s="26"/>
      <c r="O240" s="26"/>
      <c r="P240" s="25"/>
      <c r="Q240" s="143" t="s">
        <v>816</v>
      </c>
      <c r="R240" s="142">
        <v>225</v>
      </c>
      <c r="S240" s="113" t="s">
        <v>592</v>
      </c>
      <c r="T240" s="114"/>
      <c r="U240" s="7"/>
      <c r="V240" s="61"/>
      <c r="Y240" s="359" t="str">
        <f t="shared" si="45"/>
        <v>cruising_altitude</v>
      </c>
      <c r="Z240" s="360" t="str">
        <f t="shared" si="46"/>
        <v>double</v>
      </c>
      <c r="AA240" s="360" t="str">
        <f t="shared" si="47"/>
        <v>scalaire</v>
      </c>
      <c r="AB240" s="360" t="str">
        <f t="shared" si="48"/>
        <v>Altitude de croisière</v>
      </c>
      <c r="AC240" s="360" t="str">
        <f t="shared" si="49"/>
        <v>m</v>
      </c>
      <c r="AD240" s="361" t="str">
        <f t="shared" si="50"/>
        <v>variable: cruising_altitude double input description= "Altitude de croisière" units= "m"</v>
      </c>
      <c r="AE240" s="359" t="str">
        <f t="shared" si="39"/>
        <v>Y43.mission</v>
      </c>
      <c r="AF240" s="360" t="str">
        <f t="shared" si="40"/>
        <v/>
      </c>
      <c r="AG240" s="360" t="str">
        <f t="shared" si="41"/>
        <v/>
      </c>
      <c r="AH240" s="360" t="str">
        <f t="shared" si="42"/>
        <v/>
      </c>
      <c r="AI240" s="360" t="str">
        <f t="shared" si="43"/>
        <v/>
      </c>
      <c r="AJ240" s="361" t="str">
        <f t="shared" si="44"/>
        <v/>
      </c>
    </row>
    <row r="241" spans="2:36" x14ac:dyDescent="0.2">
      <c r="B241" s="349"/>
      <c r="C241" s="340"/>
      <c r="D241" s="95" t="s">
        <v>106</v>
      </c>
      <c r="E241" s="25" t="s">
        <v>110</v>
      </c>
      <c r="F241" s="141" t="s">
        <v>684</v>
      </c>
      <c r="G241" s="142"/>
      <c r="H241" s="68" t="s">
        <v>72</v>
      </c>
      <c r="I241" s="26" t="s">
        <v>587</v>
      </c>
      <c r="J241" s="48" t="s">
        <v>917</v>
      </c>
      <c r="K241" s="47" t="s">
        <v>17</v>
      </c>
      <c r="L241" s="26"/>
      <c r="M241" s="26"/>
      <c r="N241" s="26"/>
      <c r="O241" s="26"/>
      <c r="P241" s="25"/>
      <c r="Q241" s="143" t="s">
        <v>993</v>
      </c>
      <c r="R241" s="142">
        <v>226</v>
      </c>
      <c r="S241" s="113" t="s">
        <v>592</v>
      </c>
      <c r="T241" s="114"/>
      <c r="U241" s="7"/>
      <c r="V241" s="61"/>
      <c r="Y241" s="359" t="str">
        <f t="shared" si="45"/>
        <v>load_factor_table</v>
      </c>
      <c r="Z241" s="360" t="str">
        <f t="shared" si="46"/>
        <v>double[]</v>
      </c>
      <c r="AA241" s="360" t="str">
        <f t="shared" si="47"/>
        <v>table</v>
      </c>
      <c r="AB241" s="360" t="str">
        <f t="shared" si="48"/>
        <v>Facteurs de charge nz calculés pour le dimensionnement de la structure</v>
      </c>
      <c r="AC241" s="360" t="str">
        <f t="shared" si="49"/>
        <v>g</v>
      </c>
      <c r="AD241" s="361" t="str">
        <f t="shared" si="50"/>
        <v>variable: load_factor_table double[] input description= "Facteurs de charge nz calculés pour le dimensionnement de la structure" units= "g"</v>
      </c>
      <c r="AE241" s="359" t="str">
        <f t="shared" si="39"/>
        <v>Y3x.mission</v>
      </c>
      <c r="AF241" s="360" t="str">
        <f t="shared" si="40"/>
        <v/>
      </c>
      <c r="AG241" s="360" t="str">
        <f t="shared" si="41"/>
        <v/>
      </c>
      <c r="AH241" s="360" t="str">
        <f t="shared" si="42"/>
        <v/>
      </c>
      <c r="AI241" s="360" t="str">
        <f t="shared" si="43"/>
        <v/>
      </c>
      <c r="AJ241" s="361" t="str">
        <f t="shared" si="44"/>
        <v/>
      </c>
    </row>
    <row r="242" spans="2:36" s="82" customFormat="1" x14ac:dyDescent="0.2">
      <c r="B242" s="349"/>
      <c r="C242" s="351" t="s">
        <v>111</v>
      </c>
      <c r="D242" s="206"/>
      <c r="E242" s="207" t="s">
        <v>875</v>
      </c>
      <c r="F242" s="144" t="s">
        <v>684</v>
      </c>
      <c r="G242" s="145" t="s">
        <v>850</v>
      </c>
      <c r="H242" s="208" t="s">
        <v>347</v>
      </c>
      <c r="I242" s="146" t="s">
        <v>13</v>
      </c>
      <c r="J242" s="209" t="s">
        <v>51</v>
      </c>
      <c r="K242" s="210" t="s">
        <v>112</v>
      </c>
      <c r="L242" s="146"/>
      <c r="M242" s="146"/>
      <c r="N242" s="146"/>
      <c r="O242" s="146"/>
      <c r="P242" s="207"/>
      <c r="Q242" s="147" t="s">
        <v>874</v>
      </c>
      <c r="R242" s="142">
        <v>227</v>
      </c>
      <c r="S242" s="113" t="s">
        <v>592</v>
      </c>
      <c r="T242" s="148" t="s">
        <v>876</v>
      </c>
      <c r="U242" s="101"/>
      <c r="V242" s="102"/>
      <c r="Y242" s="359" t="str">
        <f t="shared" si="45"/>
        <v>mission_type</v>
      </c>
      <c r="Z242" s="360" t="str">
        <f t="shared" si="46"/>
        <v>double</v>
      </c>
      <c r="AA242" s="360" t="str">
        <f t="shared" si="47"/>
        <v>scalaire</v>
      </c>
      <c r="AB242" s="360" t="str">
        <f t="shared" si="48"/>
        <v>Type de mission</v>
      </c>
      <c r="AC242" s="360" t="str">
        <f t="shared" si="49"/>
        <v>(-)</v>
      </c>
      <c r="AD242" s="361" t="str">
        <f t="shared" si="50"/>
        <v>variable: mission_type double input description= "Type de mission" units= "(-)"</v>
      </c>
      <c r="AE242" s="359" t="str">
        <f t="shared" si="39"/>
        <v>X4.mission.inputs</v>
      </c>
      <c r="AF242" s="360" t="str">
        <f t="shared" si="40"/>
        <v/>
      </c>
      <c r="AG242" s="360" t="str">
        <f t="shared" si="41"/>
        <v/>
      </c>
      <c r="AH242" s="360" t="str">
        <f t="shared" si="42"/>
        <v/>
      </c>
      <c r="AI242" s="360" t="str">
        <f t="shared" si="43"/>
        <v/>
      </c>
      <c r="AJ242" s="361" t="str">
        <f t="shared" si="44"/>
        <v/>
      </c>
    </row>
    <row r="243" spans="2:36" s="82" customFormat="1" x14ac:dyDescent="0.2">
      <c r="B243" s="349"/>
      <c r="C243" s="352"/>
      <c r="D243" s="206"/>
      <c r="E243" s="207" t="s">
        <v>880</v>
      </c>
      <c r="F243" s="144" t="s">
        <v>684</v>
      </c>
      <c r="G243" s="145" t="s">
        <v>850</v>
      </c>
      <c r="H243" s="208" t="s">
        <v>347</v>
      </c>
      <c r="I243" s="146" t="s">
        <v>13</v>
      </c>
      <c r="J243" s="209" t="s">
        <v>51</v>
      </c>
      <c r="K243" s="210" t="s">
        <v>112</v>
      </c>
      <c r="L243" s="146"/>
      <c r="M243" s="146"/>
      <c r="N243" s="146"/>
      <c r="O243" s="146"/>
      <c r="P243" s="207"/>
      <c r="Q243" s="147" t="s">
        <v>882</v>
      </c>
      <c r="R243" s="142">
        <v>228</v>
      </c>
      <c r="S243" s="113" t="s">
        <v>592</v>
      </c>
      <c r="T243" s="148" t="s">
        <v>877</v>
      </c>
      <c r="U243" s="101"/>
      <c r="V243" s="102"/>
      <c r="Y243" s="359" t="str">
        <f t="shared" si="45"/>
        <v>take_off_option</v>
      </c>
      <c r="Z243" s="360" t="str">
        <f t="shared" si="46"/>
        <v>double</v>
      </c>
      <c r="AA243" s="360" t="str">
        <f t="shared" si="47"/>
        <v>scalaire</v>
      </c>
      <c r="AB243" s="360" t="str">
        <f t="shared" si="48"/>
        <v>Option de calcul des performances au décollage</v>
      </c>
      <c r="AC243" s="360" t="str">
        <f t="shared" si="49"/>
        <v>(-)</v>
      </c>
      <c r="AD243" s="361" t="str">
        <f t="shared" si="50"/>
        <v>variable: take_off_option double input description= "Option de calcul des performances au décollage" units= "(-)"</v>
      </c>
      <c r="AE243" s="359" t="str">
        <f t="shared" si="39"/>
        <v>X4.mission.inputs</v>
      </c>
      <c r="AF243" s="360" t="str">
        <f t="shared" si="40"/>
        <v/>
      </c>
      <c r="AG243" s="360" t="str">
        <f t="shared" si="41"/>
        <v/>
      </c>
      <c r="AH243" s="360" t="str">
        <f t="shared" si="42"/>
        <v/>
      </c>
      <c r="AI243" s="360" t="str">
        <f t="shared" si="43"/>
        <v/>
      </c>
      <c r="AJ243" s="361" t="str">
        <f t="shared" si="44"/>
        <v/>
      </c>
    </row>
    <row r="244" spans="2:36" s="82" customFormat="1" x14ac:dyDescent="0.2">
      <c r="B244" s="349"/>
      <c r="C244" s="352"/>
      <c r="D244" s="206"/>
      <c r="E244" s="207" t="s">
        <v>961</v>
      </c>
      <c r="F244" s="144" t="s">
        <v>684</v>
      </c>
      <c r="G244" s="145" t="s">
        <v>850</v>
      </c>
      <c r="H244" s="208" t="s">
        <v>347</v>
      </c>
      <c r="I244" s="146" t="s">
        <v>13</v>
      </c>
      <c r="J244" s="209" t="s">
        <v>51</v>
      </c>
      <c r="K244" s="210" t="s">
        <v>112</v>
      </c>
      <c r="L244" s="146"/>
      <c r="M244" s="146"/>
      <c r="N244" s="146"/>
      <c r="O244" s="146"/>
      <c r="P244" s="207"/>
      <c r="Q244" s="147" t="s">
        <v>883</v>
      </c>
      <c r="R244" s="142">
        <v>229</v>
      </c>
      <c r="S244" s="113" t="s">
        <v>592</v>
      </c>
      <c r="T244" s="148" t="s">
        <v>878</v>
      </c>
      <c r="U244" s="101"/>
      <c r="V244" s="102"/>
      <c r="Y244" s="359" t="str">
        <f t="shared" si="45"/>
        <v>polar_type</v>
      </c>
      <c r="Z244" s="360" t="str">
        <f t="shared" si="46"/>
        <v>double</v>
      </c>
      <c r="AA244" s="360" t="str">
        <f t="shared" si="47"/>
        <v>scalaire</v>
      </c>
      <c r="AB244" s="360" t="str">
        <f t="shared" si="48"/>
        <v>Type de polaire en entrée du module mission</v>
      </c>
      <c r="AC244" s="360" t="str">
        <f t="shared" si="49"/>
        <v>(-)</v>
      </c>
      <c r="AD244" s="361" t="str">
        <f t="shared" si="50"/>
        <v>variable: polar_type double input description= "Type de polaire en entrée du module mission" units= "(-)"</v>
      </c>
      <c r="AE244" s="359" t="str">
        <f t="shared" si="39"/>
        <v>X4.mission.inputs</v>
      </c>
      <c r="AF244" s="360" t="str">
        <f t="shared" si="40"/>
        <v/>
      </c>
      <c r="AG244" s="360" t="str">
        <f t="shared" si="41"/>
        <v/>
      </c>
      <c r="AH244" s="360" t="str">
        <f t="shared" si="42"/>
        <v/>
      </c>
      <c r="AI244" s="360" t="str">
        <f t="shared" si="43"/>
        <v/>
      </c>
      <c r="AJ244" s="361" t="str">
        <f t="shared" si="44"/>
        <v/>
      </c>
    </row>
    <row r="245" spans="2:36" s="82" customFormat="1" x14ac:dyDescent="0.2">
      <c r="B245" s="349"/>
      <c r="C245" s="352"/>
      <c r="D245" s="206"/>
      <c r="E245" s="207" t="s">
        <v>881</v>
      </c>
      <c r="F245" s="144" t="s">
        <v>684</v>
      </c>
      <c r="G245" s="145" t="s">
        <v>850</v>
      </c>
      <c r="H245" s="208" t="s">
        <v>347</v>
      </c>
      <c r="I245" s="146" t="s">
        <v>13</v>
      </c>
      <c r="J245" s="209" t="s">
        <v>51</v>
      </c>
      <c r="K245" s="210" t="s">
        <v>112</v>
      </c>
      <c r="L245" s="146"/>
      <c r="M245" s="146"/>
      <c r="N245" s="146"/>
      <c r="O245" s="146"/>
      <c r="P245" s="207"/>
      <c r="Q245" s="147" t="s">
        <v>962</v>
      </c>
      <c r="R245" s="142">
        <v>230</v>
      </c>
      <c r="S245" s="113" t="s">
        <v>592</v>
      </c>
      <c r="T245" s="148" t="s">
        <v>879</v>
      </c>
      <c r="U245" s="101"/>
      <c r="V245" s="102"/>
      <c r="Y245" s="359" t="str">
        <f t="shared" si="45"/>
        <v>mission_output_features</v>
      </c>
      <c r="Z245" s="360" t="str">
        <f t="shared" si="46"/>
        <v>double</v>
      </c>
      <c r="AA245" s="360" t="str">
        <f t="shared" si="47"/>
        <v>scalaire</v>
      </c>
      <c r="AB245" s="360" t="str">
        <f t="shared" si="48"/>
        <v>Niveau de détail des sorties du module mission</v>
      </c>
      <c r="AC245" s="360" t="str">
        <f t="shared" si="49"/>
        <v>(-)</v>
      </c>
      <c r="AD245" s="361" t="str">
        <f t="shared" si="50"/>
        <v>variable: mission_output_features double input description= "Niveau de détail des sorties du module mission" units= "(-)"</v>
      </c>
      <c r="AE245" s="359" t="str">
        <f t="shared" si="39"/>
        <v>X4.mission.inputs</v>
      </c>
      <c r="AF245" s="360" t="str">
        <f t="shared" si="40"/>
        <v/>
      </c>
      <c r="AG245" s="360" t="str">
        <f t="shared" si="41"/>
        <v/>
      </c>
      <c r="AH245" s="360" t="str">
        <f t="shared" si="42"/>
        <v/>
      </c>
      <c r="AI245" s="360" t="str">
        <f t="shared" si="43"/>
        <v/>
      </c>
      <c r="AJ245" s="361" t="str">
        <f t="shared" si="44"/>
        <v/>
      </c>
    </row>
    <row r="246" spans="2:36" s="82" customFormat="1" x14ac:dyDescent="0.2">
      <c r="B246" s="349"/>
      <c r="C246" s="352"/>
      <c r="D246" s="206"/>
      <c r="E246" s="207" t="s">
        <v>910</v>
      </c>
      <c r="F246" s="144" t="s">
        <v>684</v>
      </c>
      <c r="G246" s="145" t="s">
        <v>850</v>
      </c>
      <c r="H246" s="208" t="s">
        <v>347</v>
      </c>
      <c r="I246" s="146" t="s">
        <v>13</v>
      </c>
      <c r="J246" s="209" t="s">
        <v>42</v>
      </c>
      <c r="K246" s="210" t="s">
        <v>112</v>
      </c>
      <c r="L246" s="146"/>
      <c r="M246" s="146"/>
      <c r="N246" s="146"/>
      <c r="O246" s="146"/>
      <c r="P246" s="207"/>
      <c r="Q246" s="147" t="s">
        <v>919</v>
      </c>
      <c r="R246" s="142">
        <v>231</v>
      </c>
      <c r="S246" s="113" t="s">
        <v>592</v>
      </c>
      <c r="T246" s="148" t="s">
        <v>884</v>
      </c>
      <c r="U246" s="101"/>
      <c r="V246" s="102"/>
      <c r="Y246" s="359" t="str">
        <f t="shared" si="45"/>
        <v xml:space="preserve">climb_gradient </v>
      </c>
      <c r="Z246" s="360" t="str">
        <f t="shared" si="46"/>
        <v>double</v>
      </c>
      <c r="AA246" s="360" t="str">
        <f t="shared" si="47"/>
        <v>scalaire</v>
      </c>
      <c r="AB246" s="360" t="str">
        <f t="shared" si="48"/>
        <v>Pente de l’appareil lors des phases de montée</v>
      </c>
      <c r="AC246" s="360" t="str">
        <f t="shared" si="49"/>
        <v>degré</v>
      </c>
      <c r="AD246" s="361" t="str">
        <f t="shared" si="50"/>
        <v>variable: climb_gradient  double input description= "Pente de l’appareil lors des phases de montée" units= "degré"</v>
      </c>
      <c r="AE246" s="359" t="str">
        <f t="shared" si="39"/>
        <v>X4.mission.inputs</v>
      </c>
      <c r="AF246" s="360" t="str">
        <f t="shared" si="40"/>
        <v/>
      </c>
      <c r="AG246" s="360" t="str">
        <f t="shared" si="41"/>
        <v/>
      </c>
      <c r="AH246" s="360" t="str">
        <f t="shared" si="42"/>
        <v/>
      </c>
      <c r="AI246" s="360" t="str">
        <f t="shared" si="43"/>
        <v/>
      </c>
      <c r="AJ246" s="361" t="str">
        <f t="shared" si="44"/>
        <v/>
      </c>
    </row>
    <row r="247" spans="2:36" s="82" customFormat="1" x14ac:dyDescent="0.2">
      <c r="B247" s="349"/>
      <c r="C247" s="352"/>
      <c r="D247" s="206"/>
      <c r="E247" s="207" t="s">
        <v>911</v>
      </c>
      <c r="F247" s="144" t="s">
        <v>684</v>
      </c>
      <c r="G247" s="145" t="s">
        <v>850</v>
      </c>
      <c r="H247" s="208" t="s">
        <v>347</v>
      </c>
      <c r="I247" s="146" t="s">
        <v>13</v>
      </c>
      <c r="J247" s="209" t="s">
        <v>42</v>
      </c>
      <c r="K247" s="210" t="s">
        <v>112</v>
      </c>
      <c r="L247" s="146"/>
      <c r="M247" s="146"/>
      <c r="N247" s="146"/>
      <c r="O247" s="146"/>
      <c r="P247" s="207"/>
      <c r="Q247" s="147" t="s">
        <v>920</v>
      </c>
      <c r="R247" s="142">
        <v>232</v>
      </c>
      <c r="S247" s="113" t="s">
        <v>592</v>
      </c>
      <c r="T247" s="148" t="s">
        <v>885</v>
      </c>
      <c r="U247" s="101"/>
      <c r="V247" s="102"/>
      <c r="Y247" s="359" t="str">
        <f t="shared" si="45"/>
        <v xml:space="preserve">descent_gradient </v>
      </c>
      <c r="Z247" s="360" t="str">
        <f t="shared" si="46"/>
        <v>double</v>
      </c>
      <c r="AA247" s="360" t="str">
        <f t="shared" si="47"/>
        <v>scalaire</v>
      </c>
      <c r="AB247" s="360" t="str">
        <f t="shared" si="48"/>
        <v>Pente de l’appareil lors des phases de descente</v>
      </c>
      <c r="AC247" s="360" t="str">
        <f t="shared" si="49"/>
        <v>degré</v>
      </c>
      <c r="AD247" s="361" t="str">
        <f t="shared" si="50"/>
        <v>variable: descent_gradient  double input description= "Pente de l’appareil lors des phases de descente" units= "degré"</v>
      </c>
      <c r="AE247" s="359" t="str">
        <f t="shared" si="39"/>
        <v>X4.mission.inputs</v>
      </c>
      <c r="AF247" s="360" t="str">
        <f t="shared" si="40"/>
        <v/>
      </c>
      <c r="AG247" s="360" t="str">
        <f t="shared" si="41"/>
        <v/>
      </c>
      <c r="AH247" s="360" t="str">
        <f t="shared" si="42"/>
        <v/>
      </c>
      <c r="AI247" s="360" t="str">
        <f t="shared" si="43"/>
        <v/>
      </c>
      <c r="AJ247" s="361" t="str">
        <f t="shared" si="44"/>
        <v/>
      </c>
    </row>
    <row r="248" spans="2:36" s="82" customFormat="1" x14ac:dyDescent="0.2">
      <c r="B248" s="349"/>
      <c r="C248" s="352"/>
      <c r="D248" s="206"/>
      <c r="E248" s="207" t="s">
        <v>912</v>
      </c>
      <c r="F248" s="144" t="s">
        <v>684</v>
      </c>
      <c r="G248" s="145" t="s">
        <v>850</v>
      </c>
      <c r="H248" s="208" t="s">
        <v>347</v>
      </c>
      <c r="I248" s="146" t="s">
        <v>13</v>
      </c>
      <c r="J248" s="209" t="s">
        <v>96</v>
      </c>
      <c r="K248" s="210" t="s">
        <v>112</v>
      </c>
      <c r="L248" s="146"/>
      <c r="M248" s="146"/>
      <c r="N248" s="146"/>
      <c r="O248" s="146"/>
      <c r="P248" s="207"/>
      <c r="Q248" s="147" t="s">
        <v>921</v>
      </c>
      <c r="R248" s="142">
        <v>233</v>
      </c>
      <c r="S248" s="113" t="s">
        <v>592</v>
      </c>
      <c r="T248" s="148" t="s">
        <v>886</v>
      </c>
      <c r="U248" s="101"/>
      <c r="V248" s="102"/>
      <c r="Y248" s="359" t="str">
        <f t="shared" si="45"/>
        <v>climb_calibrated_airspeed</v>
      </c>
      <c r="Z248" s="360" t="str">
        <f t="shared" si="46"/>
        <v>double</v>
      </c>
      <c r="AA248" s="360" t="str">
        <f t="shared" si="47"/>
        <v>scalaire</v>
      </c>
      <c r="AB248" s="360" t="str">
        <f t="shared" si="48"/>
        <v>Vitesse conventionnelle lors des phases de montée</v>
      </c>
      <c r="AC248" s="360" t="str">
        <f t="shared" si="49"/>
        <v>m/s</v>
      </c>
      <c r="AD248" s="361" t="str">
        <f t="shared" si="50"/>
        <v>variable: climb_calibrated_airspeed double input description= "Vitesse conventionnelle lors des phases de montée" units= "m/s"</v>
      </c>
      <c r="AE248" s="359" t="str">
        <f t="shared" si="39"/>
        <v>X4.mission.inputs</v>
      </c>
      <c r="AF248" s="360" t="str">
        <f t="shared" si="40"/>
        <v/>
      </c>
      <c r="AG248" s="360" t="str">
        <f t="shared" si="41"/>
        <v/>
      </c>
      <c r="AH248" s="360" t="str">
        <f t="shared" si="42"/>
        <v/>
      </c>
      <c r="AI248" s="360" t="str">
        <f t="shared" si="43"/>
        <v/>
      </c>
      <c r="AJ248" s="361" t="str">
        <f t="shared" si="44"/>
        <v/>
      </c>
    </row>
    <row r="249" spans="2:36" s="82" customFormat="1" x14ac:dyDescent="0.2">
      <c r="B249" s="349"/>
      <c r="C249" s="352"/>
      <c r="D249" s="206"/>
      <c r="E249" s="207" t="s">
        <v>913</v>
      </c>
      <c r="F249" s="144" t="s">
        <v>684</v>
      </c>
      <c r="G249" s="145" t="s">
        <v>850</v>
      </c>
      <c r="H249" s="208" t="s">
        <v>347</v>
      </c>
      <c r="I249" s="146" t="s">
        <v>13</v>
      </c>
      <c r="J249" s="209" t="s">
        <v>12</v>
      </c>
      <c r="K249" s="210" t="s">
        <v>112</v>
      </c>
      <c r="L249" s="146"/>
      <c r="M249" s="146"/>
      <c r="N249" s="146"/>
      <c r="O249" s="146"/>
      <c r="P249" s="207"/>
      <c r="Q249" s="147" t="s">
        <v>923</v>
      </c>
      <c r="R249" s="142">
        <v>234</v>
      </c>
      <c r="S249" s="113" t="s">
        <v>592</v>
      </c>
      <c r="T249" s="148" t="s">
        <v>887</v>
      </c>
      <c r="U249" s="101"/>
      <c r="V249" s="102"/>
      <c r="Y249" s="359" t="str">
        <f t="shared" si="45"/>
        <v>holding_altitude</v>
      </c>
      <c r="Z249" s="360" t="str">
        <f t="shared" si="46"/>
        <v>double</v>
      </c>
      <c r="AA249" s="360" t="str">
        <f t="shared" si="47"/>
        <v>scalaire</v>
      </c>
      <c r="AB249" s="360" t="str">
        <f t="shared" si="48"/>
        <v>Altitude d’attente</v>
      </c>
      <c r="AC249" s="360" t="str">
        <f t="shared" si="49"/>
        <v>m</v>
      </c>
      <c r="AD249" s="361" t="str">
        <f t="shared" si="50"/>
        <v>variable: holding_altitude double input description= "Altitude d’attente" units= "m"</v>
      </c>
      <c r="AE249" s="359" t="str">
        <f t="shared" si="39"/>
        <v>X4.mission.inputs</v>
      </c>
      <c r="AF249" s="360" t="str">
        <f t="shared" si="40"/>
        <v/>
      </c>
      <c r="AG249" s="360" t="str">
        <f t="shared" si="41"/>
        <v/>
      </c>
      <c r="AH249" s="360" t="str">
        <f t="shared" si="42"/>
        <v/>
      </c>
      <c r="AI249" s="360" t="str">
        <f t="shared" si="43"/>
        <v/>
      </c>
      <c r="AJ249" s="361" t="str">
        <f t="shared" si="44"/>
        <v/>
      </c>
    </row>
    <row r="250" spans="2:36" s="82" customFormat="1" x14ac:dyDescent="0.2">
      <c r="B250" s="349"/>
      <c r="C250" s="352"/>
      <c r="D250" s="206"/>
      <c r="E250" s="207" t="s">
        <v>936</v>
      </c>
      <c r="F250" s="144" t="s">
        <v>684</v>
      </c>
      <c r="G250" s="145" t="s">
        <v>850</v>
      </c>
      <c r="H250" s="208" t="s">
        <v>347</v>
      </c>
      <c r="I250" s="146" t="s">
        <v>13</v>
      </c>
      <c r="J250" s="209" t="s">
        <v>12</v>
      </c>
      <c r="K250" s="210" t="s">
        <v>112</v>
      </c>
      <c r="L250" s="146"/>
      <c r="M250" s="146"/>
      <c r="N250" s="146"/>
      <c r="O250" s="146"/>
      <c r="P250" s="207"/>
      <c r="Q250" s="147" t="s">
        <v>922</v>
      </c>
      <c r="R250" s="142">
        <v>235</v>
      </c>
      <c r="S250" s="113" t="s">
        <v>592</v>
      </c>
      <c r="T250" s="148" t="s">
        <v>888</v>
      </c>
      <c r="U250" s="101"/>
      <c r="V250" s="102"/>
      <c r="Y250" s="359" t="str">
        <f t="shared" si="45"/>
        <v>take_off_altitude</v>
      </c>
      <c r="Z250" s="360" t="str">
        <f t="shared" si="46"/>
        <v>double</v>
      </c>
      <c r="AA250" s="360" t="str">
        <f t="shared" si="47"/>
        <v>scalaire</v>
      </c>
      <c r="AB250" s="360" t="str">
        <f t="shared" si="48"/>
        <v>Altitude au décollage</v>
      </c>
      <c r="AC250" s="360" t="str">
        <f t="shared" si="49"/>
        <v>m</v>
      </c>
      <c r="AD250" s="361" t="str">
        <f t="shared" si="50"/>
        <v>variable: take_off_altitude double input description= "Altitude au décollage" units= "m"</v>
      </c>
      <c r="AE250" s="359" t="str">
        <f t="shared" si="39"/>
        <v>X4.mission.inputs</v>
      </c>
      <c r="AF250" s="360" t="str">
        <f t="shared" si="40"/>
        <v/>
      </c>
      <c r="AG250" s="360" t="str">
        <f t="shared" si="41"/>
        <v/>
      </c>
      <c r="AH250" s="360" t="str">
        <f t="shared" si="42"/>
        <v/>
      </c>
      <c r="AI250" s="360" t="str">
        <f t="shared" si="43"/>
        <v/>
      </c>
      <c r="AJ250" s="361" t="str">
        <f t="shared" si="44"/>
        <v/>
      </c>
    </row>
    <row r="251" spans="2:36" s="82" customFormat="1" x14ac:dyDescent="0.2">
      <c r="B251" s="349"/>
      <c r="C251" s="352"/>
      <c r="D251" s="206"/>
      <c r="E251" s="207" t="s">
        <v>914</v>
      </c>
      <c r="F251" s="144" t="s">
        <v>684</v>
      </c>
      <c r="G251" s="145" t="s">
        <v>850</v>
      </c>
      <c r="H251" s="208" t="s">
        <v>347</v>
      </c>
      <c r="I251" s="146" t="s">
        <v>13</v>
      </c>
      <c r="J251" s="209" t="s">
        <v>916</v>
      </c>
      <c r="K251" s="210" t="s">
        <v>112</v>
      </c>
      <c r="L251" s="146"/>
      <c r="M251" s="146"/>
      <c r="N251" s="146"/>
      <c r="O251" s="146"/>
      <c r="P251" s="207"/>
      <c r="Q251" s="147" t="s">
        <v>924</v>
      </c>
      <c r="R251" s="142">
        <v>236</v>
      </c>
      <c r="S251" s="113" t="s">
        <v>592</v>
      </c>
      <c r="T251" s="148" t="s">
        <v>889</v>
      </c>
      <c r="U251" s="101"/>
      <c r="V251" s="102"/>
      <c r="Y251" s="359" t="str">
        <f t="shared" si="45"/>
        <v>take_off_static_temperature</v>
      </c>
      <c r="Z251" s="360" t="str">
        <f t="shared" si="46"/>
        <v>double</v>
      </c>
      <c r="AA251" s="360" t="str">
        <f t="shared" si="47"/>
        <v>scalaire</v>
      </c>
      <c r="AB251" s="360" t="str">
        <f t="shared" si="48"/>
        <v>Temperature statique au décollage</v>
      </c>
      <c r="AC251" s="360" t="str">
        <f t="shared" si="49"/>
        <v>°C</v>
      </c>
      <c r="AD251" s="361" t="str">
        <f t="shared" si="50"/>
        <v>variable: take_off_static_temperature double input description= "Temperature statique au décollage" units= "°C"</v>
      </c>
      <c r="AE251" s="359" t="str">
        <f t="shared" si="39"/>
        <v>X4.mission.inputs</v>
      </c>
      <c r="AF251" s="360" t="str">
        <f t="shared" si="40"/>
        <v/>
      </c>
      <c r="AG251" s="360" t="str">
        <f t="shared" si="41"/>
        <v/>
      </c>
      <c r="AH251" s="360" t="str">
        <f t="shared" si="42"/>
        <v/>
      </c>
      <c r="AI251" s="360" t="str">
        <f t="shared" si="43"/>
        <v/>
      </c>
      <c r="AJ251" s="361" t="str">
        <f t="shared" si="44"/>
        <v/>
      </c>
    </row>
    <row r="252" spans="2:36" s="82" customFormat="1" x14ac:dyDescent="0.2">
      <c r="B252" s="349"/>
      <c r="C252" s="352"/>
      <c r="D252" s="206"/>
      <c r="E252" s="207" t="s">
        <v>915</v>
      </c>
      <c r="F252" s="144" t="s">
        <v>684</v>
      </c>
      <c r="G252" s="145" t="s">
        <v>850</v>
      </c>
      <c r="H252" s="208" t="s">
        <v>347</v>
      </c>
      <c r="I252" s="146" t="s">
        <v>13</v>
      </c>
      <c r="J252" s="209" t="s">
        <v>917</v>
      </c>
      <c r="K252" s="210" t="s">
        <v>112</v>
      </c>
      <c r="L252" s="146"/>
      <c r="M252" s="146"/>
      <c r="N252" s="146"/>
      <c r="O252" s="146"/>
      <c r="P252" s="207"/>
      <c r="Q252" s="147" t="s">
        <v>925</v>
      </c>
      <c r="R252" s="142">
        <v>237</v>
      </c>
      <c r="S252" s="113" t="s">
        <v>592</v>
      </c>
      <c r="T252" s="148" t="s">
        <v>890</v>
      </c>
      <c r="U252" s="101"/>
      <c r="V252" s="102"/>
      <c r="Y252" s="359" t="str">
        <f t="shared" si="45"/>
        <v>take_off_load_factor</v>
      </c>
      <c r="Z252" s="360" t="str">
        <f t="shared" si="46"/>
        <v>double</v>
      </c>
      <c r="AA252" s="360" t="str">
        <f t="shared" si="47"/>
        <v>scalaire</v>
      </c>
      <c r="AB252" s="360" t="str">
        <f t="shared" si="48"/>
        <v>Facteur de charge au décollage</v>
      </c>
      <c r="AC252" s="360" t="str">
        <f t="shared" si="49"/>
        <v>g</v>
      </c>
      <c r="AD252" s="361" t="str">
        <f t="shared" si="50"/>
        <v>variable: take_off_load_factor double input description= "Facteur de charge au décollage" units= "g"</v>
      </c>
      <c r="AE252" s="359" t="str">
        <f t="shared" si="39"/>
        <v>X4.mission.inputs</v>
      </c>
      <c r="AF252" s="360" t="str">
        <f t="shared" si="40"/>
        <v/>
      </c>
      <c r="AG252" s="360" t="str">
        <f t="shared" si="41"/>
        <v/>
      </c>
      <c r="AH252" s="360" t="str">
        <f t="shared" si="42"/>
        <v/>
      </c>
      <c r="AI252" s="360" t="str">
        <f t="shared" si="43"/>
        <v/>
      </c>
      <c r="AJ252" s="361" t="str">
        <f t="shared" si="44"/>
        <v/>
      </c>
    </row>
    <row r="253" spans="2:36" s="82" customFormat="1" x14ac:dyDescent="0.2">
      <c r="B253" s="349"/>
      <c r="C253" s="352"/>
      <c r="D253" s="206"/>
      <c r="E253" s="207" t="s">
        <v>935</v>
      </c>
      <c r="F253" s="144" t="s">
        <v>684</v>
      </c>
      <c r="G253" s="145" t="s">
        <v>850</v>
      </c>
      <c r="H253" s="208" t="s">
        <v>347</v>
      </c>
      <c r="I253" s="146" t="s">
        <v>13</v>
      </c>
      <c r="J253" s="209" t="s">
        <v>96</v>
      </c>
      <c r="K253" s="210" t="s">
        <v>112</v>
      </c>
      <c r="L253" s="146"/>
      <c r="M253" s="146"/>
      <c r="N253" s="146"/>
      <c r="O253" s="146"/>
      <c r="P253" s="207"/>
      <c r="Q253" s="147" t="s">
        <v>926</v>
      </c>
      <c r="R253" s="142">
        <v>238</v>
      </c>
      <c r="S253" s="113" t="s">
        <v>592</v>
      </c>
      <c r="T253" s="148" t="s">
        <v>891</v>
      </c>
      <c r="U253" s="101"/>
      <c r="V253" s="102"/>
      <c r="Y253" s="359" t="str">
        <f t="shared" si="45"/>
        <v>take_off_safety_speed</v>
      </c>
      <c r="Z253" s="360" t="str">
        <f t="shared" si="46"/>
        <v>double</v>
      </c>
      <c r="AA253" s="360" t="str">
        <f t="shared" si="47"/>
        <v>scalaire</v>
      </c>
      <c r="AB253" s="360" t="str">
        <f t="shared" si="48"/>
        <v>Vitesse de sécurité au décollage</v>
      </c>
      <c r="AC253" s="360" t="str">
        <f t="shared" si="49"/>
        <v>m/s</v>
      </c>
      <c r="AD253" s="361" t="str">
        <f t="shared" si="50"/>
        <v>variable: take_off_safety_speed double input description= "Vitesse de sécurité au décollage" units= "m/s"</v>
      </c>
      <c r="AE253" s="359" t="str">
        <f t="shared" si="39"/>
        <v>X4.mission.inputs</v>
      </c>
      <c r="AF253" s="360" t="str">
        <f t="shared" si="40"/>
        <v/>
      </c>
      <c r="AG253" s="360" t="str">
        <f t="shared" si="41"/>
        <v/>
      </c>
      <c r="AH253" s="360" t="str">
        <f t="shared" si="42"/>
        <v/>
      </c>
      <c r="AI253" s="360" t="str">
        <f t="shared" si="43"/>
        <v/>
      </c>
      <c r="AJ253" s="361" t="str">
        <f t="shared" si="44"/>
        <v/>
      </c>
    </row>
    <row r="254" spans="2:36" s="82" customFormat="1" x14ac:dyDescent="0.2">
      <c r="B254" s="349"/>
      <c r="C254" s="352"/>
      <c r="D254" s="206"/>
      <c r="E254" s="207" t="s">
        <v>937</v>
      </c>
      <c r="F254" s="144" t="s">
        <v>684</v>
      </c>
      <c r="G254" s="145" t="s">
        <v>850</v>
      </c>
      <c r="H254" s="208" t="s">
        <v>347</v>
      </c>
      <c r="I254" s="146" t="s">
        <v>13</v>
      </c>
      <c r="J254" s="209" t="s">
        <v>918</v>
      </c>
      <c r="K254" s="210" t="s">
        <v>112</v>
      </c>
      <c r="L254" s="146"/>
      <c r="M254" s="146"/>
      <c r="N254" s="146"/>
      <c r="O254" s="146"/>
      <c r="P254" s="207"/>
      <c r="Q254" s="147" t="s">
        <v>927</v>
      </c>
      <c r="R254" s="142">
        <v>239</v>
      </c>
      <c r="S254" s="113" t="s">
        <v>592</v>
      </c>
      <c r="T254" s="148" t="s">
        <v>892</v>
      </c>
      <c r="U254" s="101"/>
      <c r="V254" s="102"/>
      <c r="Y254" s="359" t="str">
        <f t="shared" si="45"/>
        <v>range</v>
      </c>
      <c r="Z254" s="360" t="str">
        <f t="shared" si="46"/>
        <v>double</v>
      </c>
      <c r="AA254" s="360" t="str">
        <f t="shared" si="47"/>
        <v>scalaire</v>
      </c>
      <c r="AB254" s="360" t="str">
        <f t="shared" si="48"/>
        <v>Distance franchissable de la mission</v>
      </c>
      <c r="AC254" s="360" t="str">
        <f t="shared" si="49"/>
        <v>km</v>
      </c>
      <c r="AD254" s="361" t="str">
        <f t="shared" si="50"/>
        <v>variable: range double input description= "Distance franchissable de la mission" units= "km"</v>
      </c>
      <c r="AE254" s="359" t="str">
        <f t="shared" si="39"/>
        <v>X4.mission.inputs</v>
      </c>
      <c r="AF254" s="360" t="str">
        <f t="shared" si="40"/>
        <v/>
      </c>
      <c r="AG254" s="360" t="str">
        <f t="shared" si="41"/>
        <v/>
      </c>
      <c r="AH254" s="360" t="str">
        <f t="shared" si="42"/>
        <v/>
      </c>
      <c r="AI254" s="360" t="str">
        <f t="shared" si="43"/>
        <v/>
      </c>
      <c r="AJ254" s="361" t="str">
        <f t="shared" si="44"/>
        <v/>
      </c>
    </row>
    <row r="255" spans="2:36" s="82" customFormat="1" x14ac:dyDescent="0.2">
      <c r="B255" s="349"/>
      <c r="C255" s="352"/>
      <c r="D255" s="206"/>
      <c r="E255" s="207" t="s">
        <v>933</v>
      </c>
      <c r="F255" s="144" t="s">
        <v>684</v>
      </c>
      <c r="G255" s="145" t="s">
        <v>850</v>
      </c>
      <c r="H255" s="208" t="s">
        <v>347</v>
      </c>
      <c r="I255" s="146" t="s">
        <v>13</v>
      </c>
      <c r="J255" s="209" t="s">
        <v>12</v>
      </c>
      <c r="K255" s="210" t="s">
        <v>112</v>
      </c>
      <c r="L255" s="146"/>
      <c r="M255" s="146"/>
      <c r="N255" s="146"/>
      <c r="O255" s="146"/>
      <c r="P255" s="207"/>
      <c r="Q255" s="147" t="s">
        <v>928</v>
      </c>
      <c r="R255" s="142">
        <v>240</v>
      </c>
      <c r="S255" s="113" t="s">
        <v>592</v>
      </c>
      <c r="T255" s="148" t="s">
        <v>893</v>
      </c>
      <c r="U255" s="101"/>
      <c r="V255" s="102"/>
      <c r="Y255" s="359" t="str">
        <f t="shared" si="45"/>
        <v>deviation_altitude</v>
      </c>
      <c r="Z255" s="360" t="str">
        <f t="shared" si="46"/>
        <v>double</v>
      </c>
      <c r="AA255" s="360" t="str">
        <f t="shared" si="47"/>
        <v>scalaire</v>
      </c>
      <c r="AB255" s="360" t="str">
        <f t="shared" si="48"/>
        <v>Altitude de croisiere du deroutement</v>
      </c>
      <c r="AC255" s="360" t="str">
        <f t="shared" si="49"/>
        <v>m</v>
      </c>
      <c r="AD255" s="361" t="str">
        <f t="shared" si="50"/>
        <v>variable: deviation_altitude double input description= "Altitude de croisiere du deroutement" units= "m"</v>
      </c>
      <c r="AE255" s="359" t="str">
        <f t="shared" si="39"/>
        <v>X4.mission.inputs</v>
      </c>
      <c r="AF255" s="360" t="str">
        <f t="shared" si="40"/>
        <v/>
      </c>
      <c r="AG255" s="360" t="str">
        <f t="shared" si="41"/>
        <v/>
      </c>
      <c r="AH255" s="360" t="str">
        <f t="shared" si="42"/>
        <v/>
      </c>
      <c r="AI255" s="360" t="str">
        <f t="shared" si="43"/>
        <v/>
      </c>
      <c r="AJ255" s="361" t="str">
        <f t="shared" si="44"/>
        <v/>
      </c>
    </row>
    <row r="256" spans="2:36" s="82" customFormat="1" x14ac:dyDescent="0.2">
      <c r="B256" s="349"/>
      <c r="C256" s="352"/>
      <c r="D256" s="206"/>
      <c r="E256" s="207" t="s">
        <v>934</v>
      </c>
      <c r="F256" s="144" t="s">
        <v>684</v>
      </c>
      <c r="G256" s="145" t="s">
        <v>850</v>
      </c>
      <c r="H256" s="208" t="s">
        <v>347</v>
      </c>
      <c r="I256" s="146" t="s">
        <v>13</v>
      </c>
      <c r="J256" s="209" t="s">
        <v>51</v>
      </c>
      <c r="K256" s="210" t="s">
        <v>112</v>
      </c>
      <c r="L256" s="146"/>
      <c r="M256" s="146"/>
      <c r="N256" s="146"/>
      <c r="O256" s="146"/>
      <c r="P256" s="207"/>
      <c r="Q256" s="147" t="s">
        <v>929</v>
      </c>
      <c r="R256" s="142">
        <v>241</v>
      </c>
      <c r="S256" s="113" t="s">
        <v>592</v>
      </c>
      <c r="T256" s="148" t="s">
        <v>897</v>
      </c>
      <c r="U256" s="101"/>
      <c r="V256" s="102"/>
      <c r="Y256" s="359" t="str">
        <f t="shared" si="45"/>
        <v>deviation_mach_number</v>
      </c>
      <c r="Z256" s="360" t="str">
        <f t="shared" si="46"/>
        <v>double</v>
      </c>
      <c r="AA256" s="360" t="str">
        <f t="shared" si="47"/>
        <v>scalaire</v>
      </c>
      <c r="AB256" s="360" t="str">
        <f t="shared" si="48"/>
        <v>Mach de croisiere du deroutement</v>
      </c>
      <c r="AC256" s="360" t="str">
        <f t="shared" si="49"/>
        <v>(-)</v>
      </c>
      <c r="AD256" s="361" t="str">
        <f t="shared" si="50"/>
        <v>variable: deviation_mach_number double input description= "Mach de croisiere du deroutement" units= "(-)"</v>
      </c>
      <c r="AE256" s="359" t="str">
        <f t="shared" si="39"/>
        <v>X4.mission.inputs</v>
      </c>
      <c r="AF256" s="360" t="str">
        <f t="shared" si="40"/>
        <v/>
      </c>
      <c r="AG256" s="360" t="str">
        <f t="shared" si="41"/>
        <v/>
      </c>
      <c r="AH256" s="360" t="str">
        <f t="shared" si="42"/>
        <v/>
      </c>
      <c r="AI256" s="360" t="str">
        <f t="shared" si="43"/>
        <v/>
      </c>
      <c r="AJ256" s="361" t="str">
        <f t="shared" si="44"/>
        <v/>
      </c>
    </row>
    <row r="257" spans="2:36" s="82" customFormat="1" x14ac:dyDescent="0.2">
      <c r="B257" s="349"/>
      <c r="C257" s="352"/>
      <c r="D257" s="206"/>
      <c r="E257" s="207" t="s">
        <v>938</v>
      </c>
      <c r="F257" s="144" t="s">
        <v>684</v>
      </c>
      <c r="G257" s="145" t="s">
        <v>850</v>
      </c>
      <c r="H257" s="208" t="s">
        <v>347</v>
      </c>
      <c r="I257" s="146" t="s">
        <v>13</v>
      </c>
      <c r="J257" s="209" t="s">
        <v>918</v>
      </c>
      <c r="K257" s="210" t="s">
        <v>112</v>
      </c>
      <c r="L257" s="146"/>
      <c r="M257" s="146"/>
      <c r="N257" s="146"/>
      <c r="O257" s="146"/>
      <c r="P257" s="207"/>
      <c r="Q257" s="147" t="s">
        <v>930</v>
      </c>
      <c r="R257" s="142">
        <v>242</v>
      </c>
      <c r="S257" s="113" t="s">
        <v>592</v>
      </c>
      <c r="T257" s="148" t="s">
        <v>898</v>
      </c>
      <c r="U257" s="101"/>
      <c r="V257" s="102"/>
      <c r="Y257" s="359" t="str">
        <f t="shared" si="45"/>
        <v>deviation_range</v>
      </c>
      <c r="Z257" s="360" t="str">
        <f t="shared" si="46"/>
        <v>double</v>
      </c>
      <c r="AA257" s="360" t="str">
        <f t="shared" si="47"/>
        <v>scalaire</v>
      </c>
      <c r="AB257" s="360" t="str">
        <f t="shared" si="48"/>
        <v>Distance franchissable du déroutement</v>
      </c>
      <c r="AC257" s="360" t="str">
        <f t="shared" si="49"/>
        <v>km</v>
      </c>
      <c r="AD257" s="361" t="str">
        <f t="shared" si="50"/>
        <v>variable: deviation_range double input description= "Distance franchissable du déroutement" units= "km"</v>
      </c>
      <c r="AE257" s="359" t="str">
        <f t="shared" si="39"/>
        <v>X4.mission.inputs</v>
      </c>
      <c r="AF257" s="360" t="str">
        <f t="shared" si="40"/>
        <v/>
      </c>
      <c r="AG257" s="360" t="str">
        <f t="shared" si="41"/>
        <v/>
      </c>
      <c r="AH257" s="360" t="str">
        <f t="shared" si="42"/>
        <v/>
      </c>
      <c r="AI257" s="360" t="str">
        <f t="shared" si="43"/>
        <v/>
      </c>
      <c r="AJ257" s="361" t="str">
        <f t="shared" si="44"/>
        <v/>
      </c>
    </row>
    <row r="258" spans="2:36" s="82" customFormat="1" x14ac:dyDescent="0.2">
      <c r="B258" s="349"/>
      <c r="C258" s="352"/>
      <c r="D258" s="206"/>
      <c r="E258" s="207" t="s">
        <v>932</v>
      </c>
      <c r="F258" s="144" t="s">
        <v>684</v>
      </c>
      <c r="G258" s="145" t="s">
        <v>850</v>
      </c>
      <c r="H258" s="208" t="s">
        <v>347</v>
      </c>
      <c r="I258" s="146" t="s">
        <v>13</v>
      </c>
      <c r="J258" s="209" t="s">
        <v>917</v>
      </c>
      <c r="K258" s="210" t="s">
        <v>112</v>
      </c>
      <c r="L258" s="146"/>
      <c r="M258" s="146"/>
      <c r="N258" s="146"/>
      <c r="O258" s="146"/>
      <c r="P258" s="207"/>
      <c r="Q258" s="147" t="s">
        <v>943</v>
      </c>
      <c r="R258" s="142">
        <v>243</v>
      </c>
      <c r="S258" s="113" t="s">
        <v>592</v>
      </c>
      <c r="T258" s="148" t="s">
        <v>931</v>
      </c>
      <c r="U258" s="101"/>
      <c r="V258" s="102"/>
      <c r="Y258" s="359" t="str">
        <f t="shared" si="45"/>
        <v>ultimate_load_factor</v>
      </c>
      <c r="Z258" s="360" t="str">
        <f t="shared" si="46"/>
        <v>double</v>
      </c>
      <c r="AA258" s="360" t="str">
        <f t="shared" si="47"/>
        <v>scalaire</v>
      </c>
      <c r="AB258" s="360" t="str">
        <f t="shared" si="48"/>
        <v>Facteur de charge extrême</v>
      </c>
      <c r="AC258" s="360" t="str">
        <f t="shared" si="49"/>
        <v>g</v>
      </c>
      <c r="AD258" s="361" t="str">
        <f t="shared" si="50"/>
        <v>variable: ultimate_load_factor double input description= "Facteur de charge extrême" units= "g"</v>
      </c>
      <c r="AE258" s="359" t="str">
        <f t="shared" si="39"/>
        <v>X4.mission.inputs</v>
      </c>
      <c r="AF258" s="360" t="str">
        <f t="shared" si="40"/>
        <v/>
      </c>
      <c r="AG258" s="360" t="str">
        <f t="shared" si="41"/>
        <v/>
      </c>
      <c r="AH258" s="360" t="str">
        <f t="shared" si="42"/>
        <v/>
      </c>
      <c r="AI258" s="360" t="str">
        <f t="shared" si="43"/>
        <v/>
      </c>
      <c r="AJ258" s="361" t="str">
        <f t="shared" si="44"/>
        <v/>
      </c>
    </row>
    <row r="259" spans="2:36" s="82" customFormat="1" x14ac:dyDescent="0.2">
      <c r="B259" s="349"/>
      <c r="C259" s="352"/>
      <c r="D259" s="206"/>
      <c r="E259" s="207" t="s">
        <v>939</v>
      </c>
      <c r="F259" s="144" t="s">
        <v>684</v>
      </c>
      <c r="G259" s="145" t="s">
        <v>850</v>
      </c>
      <c r="H259" s="208" t="s">
        <v>347</v>
      </c>
      <c r="I259" s="146" t="s">
        <v>13</v>
      </c>
      <c r="J259" s="209" t="s">
        <v>942</v>
      </c>
      <c r="K259" s="210" t="s">
        <v>112</v>
      </c>
      <c r="L259" s="146"/>
      <c r="M259" s="146"/>
      <c r="N259" s="146"/>
      <c r="O259" s="146"/>
      <c r="P259" s="207"/>
      <c r="Q259" s="147" t="s">
        <v>944</v>
      </c>
      <c r="R259" s="142">
        <v>244</v>
      </c>
      <c r="S259" s="113" t="s">
        <v>592</v>
      </c>
      <c r="T259" s="148" t="s">
        <v>899</v>
      </c>
      <c r="U259" s="101"/>
      <c r="V259" s="102"/>
      <c r="Y259" s="359" t="str">
        <f t="shared" si="45"/>
        <v>departure_rolling_duration</v>
      </c>
      <c r="Z259" s="360" t="str">
        <f t="shared" si="46"/>
        <v>double</v>
      </c>
      <c r="AA259" s="360" t="str">
        <f t="shared" si="47"/>
        <v>scalaire</v>
      </c>
      <c r="AB259" s="360" t="str">
        <f t="shared" si="48"/>
        <v>Temps de roulage au départ</v>
      </c>
      <c r="AC259" s="360" t="str">
        <f t="shared" si="49"/>
        <v>s</v>
      </c>
      <c r="AD259" s="361" t="str">
        <f t="shared" si="50"/>
        <v>variable: departure_rolling_duration double input description= "Temps de roulage au départ" units= "s"</v>
      </c>
      <c r="AE259" s="359" t="str">
        <f t="shared" si="39"/>
        <v>X4.mission.inputs</v>
      </c>
      <c r="AF259" s="360" t="str">
        <f t="shared" si="40"/>
        <v/>
      </c>
      <c r="AG259" s="360" t="str">
        <f t="shared" si="41"/>
        <v/>
      </c>
      <c r="AH259" s="360" t="str">
        <f t="shared" si="42"/>
        <v/>
      </c>
      <c r="AI259" s="360" t="str">
        <f t="shared" si="43"/>
        <v/>
      </c>
      <c r="AJ259" s="361" t="str">
        <f t="shared" si="44"/>
        <v/>
      </c>
    </row>
    <row r="260" spans="2:36" s="82" customFormat="1" x14ac:dyDescent="0.2">
      <c r="B260" s="349"/>
      <c r="C260" s="352"/>
      <c r="D260" s="206"/>
      <c r="E260" s="207" t="s">
        <v>940</v>
      </c>
      <c r="F260" s="144" t="s">
        <v>684</v>
      </c>
      <c r="G260" s="145" t="s">
        <v>850</v>
      </c>
      <c r="H260" s="208" t="s">
        <v>347</v>
      </c>
      <c r="I260" s="146" t="s">
        <v>13</v>
      </c>
      <c r="J260" s="209" t="s">
        <v>942</v>
      </c>
      <c r="K260" s="210" t="s">
        <v>112</v>
      </c>
      <c r="L260" s="146"/>
      <c r="M260" s="146"/>
      <c r="N260" s="146"/>
      <c r="O260" s="146"/>
      <c r="P260" s="207"/>
      <c r="Q260" s="147" t="s">
        <v>945</v>
      </c>
      <c r="R260" s="142">
        <v>245</v>
      </c>
      <c r="S260" s="113" t="s">
        <v>592</v>
      </c>
      <c r="T260" s="148" t="s">
        <v>900</v>
      </c>
      <c r="U260" s="101"/>
      <c r="V260" s="102"/>
      <c r="Y260" s="359" t="str">
        <f t="shared" si="45"/>
        <v>arrival_rolling_duration</v>
      </c>
      <c r="Z260" s="360" t="str">
        <f t="shared" si="46"/>
        <v>double</v>
      </c>
      <c r="AA260" s="360" t="str">
        <f t="shared" si="47"/>
        <v>scalaire</v>
      </c>
      <c r="AB260" s="360" t="str">
        <f t="shared" si="48"/>
        <v>Temps de roulage a l'arrivée</v>
      </c>
      <c r="AC260" s="360" t="str">
        <f t="shared" si="49"/>
        <v>s</v>
      </c>
      <c r="AD260" s="361" t="str">
        <f t="shared" si="50"/>
        <v>variable: arrival_rolling_duration double input description= "Temps de roulage a l'arrivée" units= "s"</v>
      </c>
      <c r="AE260" s="359" t="str">
        <f t="shared" si="39"/>
        <v>X4.mission.inputs</v>
      </c>
      <c r="AF260" s="360" t="str">
        <f t="shared" si="40"/>
        <v/>
      </c>
      <c r="AG260" s="360" t="str">
        <f t="shared" si="41"/>
        <v/>
      </c>
      <c r="AH260" s="360" t="str">
        <f t="shared" si="42"/>
        <v/>
      </c>
      <c r="AI260" s="360" t="str">
        <f t="shared" si="43"/>
        <v/>
      </c>
      <c r="AJ260" s="361" t="str">
        <f t="shared" si="44"/>
        <v/>
      </c>
    </row>
    <row r="261" spans="2:36" s="82" customFormat="1" x14ac:dyDescent="0.2">
      <c r="B261" s="349"/>
      <c r="C261" s="352"/>
      <c r="D261" s="206"/>
      <c r="E261" s="207" t="s">
        <v>941</v>
      </c>
      <c r="F261" s="144" t="s">
        <v>684</v>
      </c>
      <c r="G261" s="145" t="s">
        <v>850</v>
      </c>
      <c r="H261" s="208" t="s">
        <v>347</v>
      </c>
      <c r="I261" s="146" t="s">
        <v>13</v>
      </c>
      <c r="J261" s="209" t="s">
        <v>942</v>
      </c>
      <c r="K261" s="210" t="s">
        <v>112</v>
      </c>
      <c r="L261" s="146"/>
      <c r="M261" s="146"/>
      <c r="N261" s="146"/>
      <c r="O261" s="146"/>
      <c r="P261" s="207"/>
      <c r="Q261" s="147" t="s">
        <v>946</v>
      </c>
      <c r="R261" s="142">
        <v>246</v>
      </c>
      <c r="S261" s="113" t="s">
        <v>592</v>
      </c>
      <c r="T261" s="148" t="s">
        <v>901</v>
      </c>
      <c r="U261" s="101"/>
      <c r="V261" s="102"/>
      <c r="Y261" s="359" t="str">
        <f t="shared" si="45"/>
        <v>approach_duration</v>
      </c>
      <c r="Z261" s="360" t="str">
        <f t="shared" si="46"/>
        <v>double</v>
      </c>
      <c r="AA261" s="360" t="str">
        <f t="shared" si="47"/>
        <v>scalaire</v>
      </c>
      <c r="AB261" s="360" t="str">
        <f t="shared" si="48"/>
        <v>Temps d'approche-atterrissage</v>
      </c>
      <c r="AC261" s="360" t="str">
        <f t="shared" si="49"/>
        <v>s</v>
      </c>
      <c r="AD261" s="361" t="str">
        <f t="shared" si="50"/>
        <v>variable: approach_duration double input description= "Temps d'approche-atterrissage" units= "s"</v>
      </c>
      <c r="AE261" s="359" t="str">
        <f t="shared" si="39"/>
        <v>X4.mission.inputs</v>
      </c>
      <c r="AF261" s="360" t="str">
        <f t="shared" si="40"/>
        <v/>
      </c>
      <c r="AG261" s="360" t="str">
        <f t="shared" si="41"/>
        <v/>
      </c>
      <c r="AH261" s="360" t="str">
        <f t="shared" si="42"/>
        <v/>
      </c>
      <c r="AI261" s="360" t="str">
        <f t="shared" si="43"/>
        <v/>
      </c>
      <c r="AJ261" s="361" t="str">
        <f t="shared" si="44"/>
        <v/>
      </c>
    </row>
    <row r="262" spans="2:36" s="82" customFormat="1" x14ac:dyDescent="0.2">
      <c r="B262" s="349"/>
      <c r="C262" s="352"/>
      <c r="D262" s="206"/>
      <c r="E262" s="207" t="s">
        <v>947</v>
      </c>
      <c r="F262" s="144" t="s">
        <v>684</v>
      </c>
      <c r="G262" s="145" t="s">
        <v>850</v>
      </c>
      <c r="H262" s="208" t="s">
        <v>347</v>
      </c>
      <c r="I262" s="146" t="s">
        <v>13</v>
      </c>
      <c r="J262" s="209" t="s">
        <v>51</v>
      </c>
      <c r="K262" s="210" t="s">
        <v>112</v>
      </c>
      <c r="L262" s="146"/>
      <c r="M262" s="146"/>
      <c r="N262" s="146"/>
      <c r="O262" s="146"/>
      <c r="P262" s="207"/>
      <c r="Q262" s="147" t="s">
        <v>953</v>
      </c>
      <c r="R262" s="142">
        <v>247</v>
      </c>
      <c r="S262" s="113" t="s">
        <v>592</v>
      </c>
      <c r="T262" s="148" t="s">
        <v>902</v>
      </c>
      <c r="U262" s="101"/>
      <c r="V262" s="102"/>
      <c r="Y262" s="359" t="str">
        <f t="shared" si="45"/>
        <v>consumption_annual_rate</v>
      </c>
      <c r="Z262" s="360" t="str">
        <f t="shared" si="46"/>
        <v>double</v>
      </c>
      <c r="AA262" s="360" t="str">
        <f t="shared" si="47"/>
        <v>scalaire</v>
      </c>
      <c r="AB262" s="360" t="str">
        <f t="shared" si="48"/>
        <v>Taux annuel de gain de cs</v>
      </c>
      <c r="AC262" s="360" t="str">
        <f t="shared" si="49"/>
        <v>(-)</v>
      </c>
      <c r="AD262" s="361" t="str">
        <f t="shared" si="50"/>
        <v>variable: consumption_annual_rate double input description= "Taux annuel de gain de cs" units= "(-)"</v>
      </c>
      <c r="AE262" s="359" t="str">
        <f t="shared" si="39"/>
        <v>X4.mission.inputs</v>
      </c>
      <c r="AF262" s="360" t="str">
        <f t="shared" si="40"/>
        <v/>
      </c>
      <c r="AG262" s="360" t="str">
        <f t="shared" si="41"/>
        <v/>
      </c>
      <c r="AH262" s="360" t="str">
        <f t="shared" si="42"/>
        <v/>
      </c>
      <c r="AI262" s="360" t="str">
        <f t="shared" si="43"/>
        <v/>
      </c>
      <c r="AJ262" s="361" t="str">
        <f t="shared" si="44"/>
        <v/>
      </c>
    </row>
    <row r="263" spans="2:36" s="82" customFormat="1" x14ac:dyDescent="0.2">
      <c r="B263" s="349"/>
      <c r="C263" s="352"/>
      <c r="D263" s="206"/>
      <c r="E263" s="207" t="s">
        <v>948</v>
      </c>
      <c r="F263" s="144" t="s">
        <v>684</v>
      </c>
      <c r="G263" s="145" t="s">
        <v>850</v>
      </c>
      <c r="H263" s="208" t="s">
        <v>347</v>
      </c>
      <c r="I263" s="146" t="s">
        <v>13</v>
      </c>
      <c r="J263" s="209" t="s">
        <v>51</v>
      </c>
      <c r="K263" s="210" t="s">
        <v>112</v>
      </c>
      <c r="L263" s="146"/>
      <c r="M263" s="146"/>
      <c r="N263" s="146"/>
      <c r="O263" s="146"/>
      <c r="P263" s="207"/>
      <c r="Q263" s="147" t="s">
        <v>954</v>
      </c>
      <c r="R263" s="142">
        <v>248</v>
      </c>
      <c r="S263" s="113" t="s">
        <v>592</v>
      </c>
      <c r="T263" s="148" t="s">
        <v>903</v>
      </c>
      <c r="U263" s="101"/>
      <c r="V263" s="102"/>
      <c r="Y263" s="359" t="str">
        <f t="shared" si="45"/>
        <v>engine_adaptation_coefficient</v>
      </c>
      <c r="Z263" s="360" t="str">
        <f t="shared" si="46"/>
        <v>double</v>
      </c>
      <c r="AA263" s="360" t="str">
        <f t="shared" si="47"/>
        <v>scalaire</v>
      </c>
      <c r="AB263" s="360" t="str">
        <f t="shared" si="48"/>
        <v>Coefficient d'adaptation moteur</v>
      </c>
      <c r="AC263" s="360" t="str">
        <f t="shared" si="49"/>
        <v>(-)</v>
      </c>
      <c r="AD263" s="361" t="str">
        <f t="shared" si="50"/>
        <v>variable: engine_adaptation_coefficient double input description= "Coefficient d'adaptation moteur" units= "(-)"</v>
      </c>
      <c r="AE263" s="359" t="str">
        <f t="shared" si="39"/>
        <v>X4.mission.inputs</v>
      </c>
      <c r="AF263" s="360" t="str">
        <f t="shared" si="40"/>
        <v/>
      </c>
      <c r="AG263" s="360" t="str">
        <f t="shared" si="41"/>
        <v/>
      </c>
      <c r="AH263" s="360" t="str">
        <f t="shared" si="42"/>
        <v/>
      </c>
      <c r="AI263" s="360" t="str">
        <f t="shared" si="43"/>
        <v/>
      </c>
      <c r="AJ263" s="361" t="str">
        <f t="shared" si="44"/>
        <v/>
      </c>
    </row>
    <row r="264" spans="2:36" s="82" customFormat="1" x14ac:dyDescent="0.2">
      <c r="B264" s="349"/>
      <c r="C264" s="352"/>
      <c r="D264" s="206"/>
      <c r="E264" s="207" t="s">
        <v>949</v>
      </c>
      <c r="F264" s="144" t="s">
        <v>684</v>
      </c>
      <c r="G264" s="145" t="s">
        <v>850</v>
      </c>
      <c r="H264" s="208" t="s">
        <v>347</v>
      </c>
      <c r="I264" s="146" t="s">
        <v>13</v>
      </c>
      <c r="J264" s="209" t="s">
        <v>51</v>
      </c>
      <c r="K264" s="210" t="s">
        <v>112</v>
      </c>
      <c r="L264" s="146"/>
      <c r="M264" s="146"/>
      <c r="N264" s="146"/>
      <c r="O264" s="146"/>
      <c r="P264" s="207"/>
      <c r="Q264" s="147" t="s">
        <v>955</v>
      </c>
      <c r="R264" s="142">
        <v>249</v>
      </c>
      <c r="S264" s="113" t="s">
        <v>592</v>
      </c>
      <c r="T264" s="148" t="s">
        <v>904</v>
      </c>
      <c r="U264" s="101"/>
      <c r="V264" s="102"/>
      <c r="Y264" s="359" t="str">
        <f t="shared" si="45"/>
        <v>consumption_adaptation_coefficient</v>
      </c>
      <c r="Z264" s="360" t="str">
        <f t="shared" si="46"/>
        <v>double</v>
      </c>
      <c r="AA264" s="360" t="str">
        <f t="shared" si="47"/>
        <v>scalaire</v>
      </c>
      <c r="AB264" s="360" t="str">
        <f t="shared" si="48"/>
        <v>Coefficient d'adaptation de la cs</v>
      </c>
      <c r="AC264" s="360" t="str">
        <f t="shared" si="49"/>
        <v>(-)</v>
      </c>
      <c r="AD264" s="361" t="str">
        <f t="shared" si="50"/>
        <v>variable: consumption_adaptation_coefficient double input description= "Coefficient d'adaptation de la cs" units= "(-)"</v>
      </c>
      <c r="AE264" s="359" t="str">
        <f t="shared" si="39"/>
        <v>X4.mission.inputs</v>
      </c>
      <c r="AF264" s="360" t="str">
        <f t="shared" si="40"/>
        <v/>
      </c>
      <c r="AG264" s="360" t="str">
        <f t="shared" si="41"/>
        <v/>
      </c>
      <c r="AH264" s="360" t="str">
        <f t="shared" si="42"/>
        <v/>
      </c>
      <c r="AI264" s="360" t="str">
        <f t="shared" si="43"/>
        <v/>
      </c>
      <c r="AJ264" s="361" t="str">
        <f t="shared" si="44"/>
        <v/>
      </c>
    </row>
    <row r="265" spans="2:36" s="82" customFormat="1" x14ac:dyDescent="0.2">
      <c r="B265" s="349"/>
      <c r="C265" s="352"/>
      <c r="D265" s="206"/>
      <c r="E265" s="207" t="s">
        <v>950</v>
      </c>
      <c r="F265" s="144" t="s">
        <v>684</v>
      </c>
      <c r="G265" s="145" t="s">
        <v>850</v>
      </c>
      <c r="H265" s="208" t="s">
        <v>347</v>
      </c>
      <c r="I265" s="146" t="s">
        <v>13</v>
      </c>
      <c r="J265" s="209" t="s">
        <v>116</v>
      </c>
      <c r="K265" s="210" t="s">
        <v>112</v>
      </c>
      <c r="L265" s="146"/>
      <c r="M265" s="146"/>
      <c r="N265" s="146"/>
      <c r="O265" s="146"/>
      <c r="P265" s="207"/>
      <c r="Q265" s="147" t="s">
        <v>956</v>
      </c>
      <c r="R265" s="142">
        <v>250</v>
      </c>
      <c r="S265" s="113" t="s">
        <v>592</v>
      </c>
      <c r="T265" s="148" t="s">
        <v>905</v>
      </c>
      <c r="U265" s="101"/>
      <c r="V265" s="102"/>
      <c r="Y265" s="359" t="str">
        <f t="shared" si="45"/>
        <v>minimal_thrust</v>
      </c>
      <c r="Z265" s="360" t="str">
        <f t="shared" si="46"/>
        <v>double</v>
      </c>
      <c r="AA265" s="360" t="str">
        <f t="shared" si="47"/>
        <v>scalaire</v>
      </c>
      <c r="AB265" s="360" t="str">
        <f t="shared" si="48"/>
        <v>Poussée minimale</v>
      </c>
      <c r="AC265" s="360" t="str">
        <f t="shared" si="49"/>
        <v>N</v>
      </c>
      <c r="AD265" s="361" t="str">
        <f t="shared" si="50"/>
        <v>variable: minimal_thrust double input description= "Poussée minimale" units= "N"</v>
      </c>
      <c r="AE265" s="359" t="str">
        <f t="shared" si="39"/>
        <v>X4.mission.inputs</v>
      </c>
      <c r="AF265" s="360" t="str">
        <f t="shared" si="40"/>
        <v/>
      </c>
      <c r="AG265" s="360" t="str">
        <f t="shared" si="41"/>
        <v/>
      </c>
      <c r="AH265" s="360" t="str">
        <f t="shared" si="42"/>
        <v/>
      </c>
      <c r="AI265" s="360" t="str">
        <f t="shared" si="43"/>
        <v/>
      </c>
      <c r="AJ265" s="361" t="str">
        <f t="shared" si="44"/>
        <v/>
      </c>
    </row>
    <row r="266" spans="2:36" s="82" customFormat="1" x14ac:dyDescent="0.2">
      <c r="B266" s="349"/>
      <c r="C266" s="352"/>
      <c r="D266" s="206"/>
      <c r="E266" s="207" t="s">
        <v>951</v>
      </c>
      <c r="F266" s="144" t="s">
        <v>684</v>
      </c>
      <c r="G266" s="145" t="s">
        <v>850</v>
      </c>
      <c r="H266" s="208" t="s">
        <v>347</v>
      </c>
      <c r="I266" s="146" t="s">
        <v>13</v>
      </c>
      <c r="J266" s="209" t="s">
        <v>51</v>
      </c>
      <c r="K266" s="210" t="s">
        <v>112</v>
      </c>
      <c r="L266" s="146"/>
      <c r="M266" s="146"/>
      <c r="N266" s="146"/>
      <c r="O266" s="146"/>
      <c r="P266" s="207"/>
      <c r="Q266" s="147" t="s">
        <v>957</v>
      </c>
      <c r="R266" s="142">
        <v>251</v>
      </c>
      <c r="S266" s="113" t="s">
        <v>592</v>
      </c>
      <c r="T266" s="148" t="s">
        <v>906</v>
      </c>
      <c r="U266" s="101"/>
      <c r="V266" s="102"/>
      <c r="Y266" s="359" t="str">
        <f t="shared" si="45"/>
        <v>engine_year</v>
      </c>
      <c r="Z266" s="360" t="str">
        <f t="shared" si="46"/>
        <v>double</v>
      </c>
      <c r="AA266" s="360" t="str">
        <f t="shared" si="47"/>
        <v>scalaire</v>
      </c>
      <c r="AB266" s="360" t="str">
        <f t="shared" si="48"/>
        <v>Année du moteur</v>
      </c>
      <c r="AC266" s="360" t="str">
        <f t="shared" si="49"/>
        <v>(-)</v>
      </c>
      <c r="AD266" s="361" t="str">
        <f t="shared" si="50"/>
        <v>variable: engine_year double input description= "Année du moteur" units= "(-)"</v>
      </c>
      <c r="AE266" s="359" t="str">
        <f t="shared" si="39"/>
        <v>X4.mission.inputs</v>
      </c>
      <c r="AF266" s="360" t="str">
        <f t="shared" si="40"/>
        <v/>
      </c>
      <c r="AG266" s="360" t="str">
        <f t="shared" si="41"/>
        <v/>
      </c>
      <c r="AH266" s="360" t="str">
        <f t="shared" si="42"/>
        <v/>
      </c>
      <c r="AI266" s="360" t="str">
        <f t="shared" si="43"/>
        <v/>
      </c>
      <c r="AJ266" s="361" t="str">
        <f t="shared" si="44"/>
        <v/>
      </c>
    </row>
    <row r="267" spans="2:36" s="82" customFormat="1" x14ac:dyDescent="0.2">
      <c r="B267" s="349"/>
      <c r="C267" s="352"/>
      <c r="D267" s="206"/>
      <c r="E267" s="207" t="s">
        <v>952</v>
      </c>
      <c r="F267" s="144" t="s">
        <v>684</v>
      </c>
      <c r="G267" s="145" t="s">
        <v>850</v>
      </c>
      <c r="H267" s="208" t="s">
        <v>347</v>
      </c>
      <c r="I267" s="146" t="s">
        <v>13</v>
      </c>
      <c r="J267" s="209" t="s">
        <v>51</v>
      </c>
      <c r="K267" s="210" t="s">
        <v>112</v>
      </c>
      <c r="L267" s="146"/>
      <c r="M267" s="146"/>
      <c r="N267" s="146"/>
      <c r="O267" s="146"/>
      <c r="P267" s="207"/>
      <c r="Q267" s="147" t="s">
        <v>958</v>
      </c>
      <c r="R267" s="142">
        <v>252</v>
      </c>
      <c r="S267" s="113" t="s">
        <v>592</v>
      </c>
      <c r="T267" s="148" t="s">
        <v>907</v>
      </c>
      <c r="U267" s="101"/>
      <c r="V267" s="102"/>
      <c r="Y267" s="359" t="str">
        <f t="shared" si="45"/>
        <v>engine_reference_year</v>
      </c>
      <c r="Z267" s="360" t="str">
        <f t="shared" si="46"/>
        <v>double</v>
      </c>
      <c r="AA267" s="360" t="str">
        <f t="shared" si="47"/>
        <v>scalaire</v>
      </c>
      <c r="AB267" s="360" t="str">
        <f t="shared" si="48"/>
        <v>Année du moteur de référence</v>
      </c>
      <c r="AC267" s="360" t="str">
        <f t="shared" si="49"/>
        <v>(-)</v>
      </c>
      <c r="AD267" s="361" t="str">
        <f t="shared" si="50"/>
        <v>variable: engine_reference_year double input description= "Année du moteur de référence" units= "(-)"</v>
      </c>
      <c r="AE267" s="359" t="str">
        <f t="shared" si="39"/>
        <v>X4.mission.inputs</v>
      </c>
      <c r="AF267" s="360" t="str">
        <f t="shared" si="40"/>
        <v/>
      </c>
      <c r="AG267" s="360" t="str">
        <f t="shared" si="41"/>
        <v/>
      </c>
      <c r="AH267" s="360" t="str">
        <f t="shared" si="42"/>
        <v/>
      </c>
      <c r="AI267" s="360" t="str">
        <f t="shared" si="43"/>
        <v/>
      </c>
      <c r="AJ267" s="361" t="str">
        <f t="shared" si="44"/>
        <v/>
      </c>
    </row>
    <row r="268" spans="2:36" s="82" customFormat="1" x14ac:dyDescent="0.2">
      <c r="B268" s="349"/>
      <c r="C268" s="352"/>
      <c r="D268" s="206"/>
      <c r="E268" s="207" t="s">
        <v>959</v>
      </c>
      <c r="F268" s="144" t="s">
        <v>684</v>
      </c>
      <c r="G268" s="145" t="s">
        <v>850</v>
      </c>
      <c r="H268" s="208" t="s">
        <v>347</v>
      </c>
      <c r="I268" s="146" t="s">
        <v>13</v>
      </c>
      <c r="J268" s="209" t="s">
        <v>942</v>
      </c>
      <c r="K268" s="210" t="s">
        <v>112</v>
      </c>
      <c r="L268" s="146"/>
      <c r="M268" s="146"/>
      <c r="N268" s="146"/>
      <c r="O268" s="146"/>
      <c r="P268" s="207"/>
      <c r="Q268" s="147" t="s">
        <v>960</v>
      </c>
      <c r="R268" s="142">
        <v>253</v>
      </c>
      <c r="S268" s="113" t="s">
        <v>592</v>
      </c>
      <c r="T268" s="148" t="s">
        <v>908</v>
      </c>
      <c r="U268" s="101"/>
      <c r="V268" s="102"/>
      <c r="Y268" s="359" t="str">
        <f t="shared" si="45"/>
        <v>time_step</v>
      </c>
      <c r="Z268" s="360" t="str">
        <f t="shared" si="46"/>
        <v>double</v>
      </c>
      <c r="AA268" s="360" t="str">
        <f t="shared" si="47"/>
        <v>scalaire</v>
      </c>
      <c r="AB268" s="360" t="str">
        <f t="shared" si="48"/>
        <v>Pas d'intégration</v>
      </c>
      <c r="AC268" s="360" t="str">
        <f t="shared" si="49"/>
        <v>s</v>
      </c>
      <c r="AD268" s="361" t="str">
        <f t="shared" si="50"/>
        <v>variable: time_step double input description= "Pas d'intégration" units= "s"</v>
      </c>
      <c r="AE268" s="359" t="str">
        <f t="shared" si="39"/>
        <v>X4.mission.inputs</v>
      </c>
      <c r="AF268" s="360" t="str">
        <f t="shared" si="40"/>
        <v/>
      </c>
      <c r="AG268" s="360" t="str">
        <f t="shared" si="41"/>
        <v/>
      </c>
      <c r="AH268" s="360" t="str">
        <f t="shared" si="42"/>
        <v/>
      </c>
      <c r="AI268" s="360" t="str">
        <f t="shared" si="43"/>
        <v/>
      </c>
      <c r="AJ268" s="361" t="str">
        <f t="shared" si="44"/>
        <v/>
      </c>
    </row>
    <row r="269" spans="2:36" ht="13.5" thickBot="1" x14ac:dyDescent="0.25">
      <c r="B269" s="350"/>
      <c r="C269" s="353"/>
      <c r="D269" s="96" t="s">
        <v>113</v>
      </c>
      <c r="E269" s="27" t="s">
        <v>205</v>
      </c>
      <c r="F269" s="144" t="s">
        <v>684</v>
      </c>
      <c r="G269" s="145"/>
      <c r="H269" s="69" t="s">
        <v>72</v>
      </c>
      <c r="I269" s="28" t="s">
        <v>587</v>
      </c>
      <c r="J269" s="50" t="s">
        <v>51</v>
      </c>
      <c r="K269" s="49" t="s">
        <v>114</v>
      </c>
      <c r="L269" s="28"/>
      <c r="M269" s="28"/>
      <c r="N269" s="28"/>
      <c r="O269" s="28"/>
      <c r="P269" s="27"/>
      <c r="Q269" s="147" t="s">
        <v>994</v>
      </c>
      <c r="R269" s="296">
        <v>254</v>
      </c>
      <c r="S269" s="115" t="s">
        <v>592</v>
      </c>
      <c r="T269" s="116"/>
      <c r="U269" s="7"/>
      <c r="V269" s="61"/>
      <c r="Y269" s="359" t="str">
        <f t="shared" si="45"/>
        <v>mission_state_vector_table</v>
      </c>
      <c r="Z269" s="360" t="str">
        <f t="shared" si="46"/>
        <v>double[]</v>
      </c>
      <c r="AA269" s="360" t="str">
        <f t="shared" si="47"/>
        <v>table</v>
      </c>
      <c r="AB269" s="360" t="str">
        <f t="shared" si="48"/>
        <v>Vecteur d'état de l'avion sur la trajectoire sur la mission opérationnelle</v>
      </c>
      <c r="AC269" s="360" t="str">
        <f t="shared" si="49"/>
        <v>(-)</v>
      </c>
      <c r="AD269" s="361" t="str">
        <f t="shared" si="50"/>
        <v>variable: mission_state_vector_table double[] input description= "Vecteur d'état de l'avion sur la trajectoire sur la mission opérationnelle" units= "(-)"</v>
      </c>
      <c r="AE269" s="359" t="str">
        <f t="shared" si="39"/>
        <v>Y4x.mission</v>
      </c>
      <c r="AF269" s="360" t="str">
        <f t="shared" si="40"/>
        <v/>
      </c>
      <c r="AG269" s="360" t="str">
        <f t="shared" si="41"/>
        <v/>
      </c>
      <c r="AH269" s="360" t="str">
        <f t="shared" si="42"/>
        <v/>
      </c>
      <c r="AI269" s="360" t="str">
        <f t="shared" si="43"/>
        <v/>
      </c>
      <c r="AJ269" s="361" t="str">
        <f t="shared" si="44"/>
        <v/>
      </c>
    </row>
    <row r="270" spans="2:36" ht="13.5" thickBot="1" x14ac:dyDescent="0.25">
      <c r="B270" s="229" t="s">
        <v>7</v>
      </c>
      <c r="C270" s="230" t="s">
        <v>107</v>
      </c>
      <c r="D270" s="231" t="s">
        <v>108</v>
      </c>
      <c r="E270" s="232" t="s">
        <v>109</v>
      </c>
      <c r="F270" s="233" t="s">
        <v>845</v>
      </c>
      <c r="G270" s="234"/>
      <c r="H270" s="235"/>
      <c r="I270" s="231"/>
      <c r="J270" s="236" t="s">
        <v>51</v>
      </c>
      <c r="K270" s="237" t="s">
        <v>17</v>
      </c>
      <c r="L270" s="238"/>
      <c r="M270" s="238"/>
      <c r="N270" s="238"/>
      <c r="O270" s="238"/>
      <c r="P270" s="232"/>
      <c r="Q270" s="239" t="s">
        <v>108</v>
      </c>
      <c r="R270" s="234">
        <v>255</v>
      </c>
      <c r="S270" s="240" t="s">
        <v>1085</v>
      </c>
      <c r="T270" s="241"/>
      <c r="U270" s="7"/>
      <c r="V270" s="61"/>
      <c r="Y270" s="359" t="str">
        <f t="shared" si="45"/>
        <v>Mesh</v>
      </c>
      <c r="Z270" s="360">
        <f t="shared" si="46"/>
        <v>0</v>
      </c>
      <c r="AA270" s="360">
        <f t="shared" si="47"/>
        <v>0</v>
      </c>
      <c r="AB270" s="360" t="str">
        <f t="shared" si="48"/>
        <v>Maillage de la structure</v>
      </c>
      <c r="AC270" s="360" t="str">
        <f t="shared" si="49"/>
        <v>(-)</v>
      </c>
      <c r="AD270" s="361" t="str">
        <f t="shared" si="50"/>
        <v>#variable: Mesh 0 input description= "Maillage de la structure" units= "(-)"</v>
      </c>
      <c r="AE270" s="359" t="str">
        <f t="shared" si="39"/>
        <v>Y3x.structure</v>
      </c>
      <c r="AF270" s="360" t="str">
        <f t="shared" si="40"/>
        <v/>
      </c>
      <c r="AG270" s="360" t="str">
        <f t="shared" si="41"/>
        <v/>
      </c>
      <c r="AH270" s="360" t="str">
        <f t="shared" si="42"/>
        <v/>
      </c>
      <c r="AI270" s="360" t="str">
        <f t="shared" si="43"/>
        <v/>
      </c>
      <c r="AJ270" s="361" t="str">
        <f t="shared" si="44"/>
        <v/>
      </c>
    </row>
    <row r="271" spans="2:36" x14ac:dyDescent="0.2">
      <c r="B271" s="335" t="s">
        <v>162</v>
      </c>
      <c r="C271" s="281" t="s">
        <v>198</v>
      </c>
      <c r="D271" s="99" t="s">
        <v>199</v>
      </c>
      <c r="E271" s="34" t="s">
        <v>198</v>
      </c>
      <c r="F271" s="171" t="s">
        <v>846</v>
      </c>
      <c r="G271" s="172" t="s">
        <v>850</v>
      </c>
      <c r="H271" s="72" t="s">
        <v>72</v>
      </c>
      <c r="I271" s="35" t="s">
        <v>587</v>
      </c>
      <c r="J271" s="54" t="s">
        <v>51</v>
      </c>
      <c r="K271" s="53" t="s">
        <v>200</v>
      </c>
      <c r="L271" s="35"/>
      <c r="M271" s="35"/>
      <c r="N271" s="35"/>
      <c r="O271" s="35"/>
      <c r="P271" s="34"/>
      <c r="Q271" s="282" t="s">
        <v>821</v>
      </c>
      <c r="R271" s="283">
        <v>256</v>
      </c>
      <c r="S271" s="121" t="s">
        <v>592</v>
      </c>
      <c r="T271" s="122"/>
      <c r="U271" s="7"/>
      <c r="V271" s="61"/>
      <c r="Y271" s="359" t="str">
        <f t="shared" si="45"/>
        <v>handling_qualities_inputs_table</v>
      </c>
      <c r="Z271" s="360" t="str">
        <f t="shared" si="46"/>
        <v>double[]</v>
      </c>
      <c r="AA271" s="360" t="str">
        <f t="shared" si="47"/>
        <v>table</v>
      </c>
      <c r="AB271" s="360" t="str">
        <f t="shared" si="48"/>
        <v>Points de vol pour l'analyse des QdV</v>
      </c>
      <c r="AC271" s="360" t="str">
        <f t="shared" si="49"/>
        <v>(-)</v>
      </c>
      <c r="AD271" s="361" t="str">
        <f t="shared" si="50"/>
        <v>variable: handling_qualities_inputs_table double[] input description= "Points de vol pour l'analyse des QdV" units= "(-)"</v>
      </c>
      <c r="AE271" s="359" t="str">
        <f t="shared" si="39"/>
        <v>X5.control.inputs</v>
      </c>
      <c r="AF271" s="360" t="str">
        <f t="shared" si="40"/>
        <v/>
      </c>
      <c r="AG271" s="360" t="str">
        <f t="shared" si="41"/>
        <v/>
      </c>
      <c r="AH271" s="360" t="str">
        <f t="shared" si="42"/>
        <v/>
      </c>
      <c r="AI271" s="360" t="str">
        <f t="shared" si="43"/>
        <v/>
      </c>
      <c r="AJ271" s="361" t="str">
        <f t="shared" si="44"/>
        <v/>
      </c>
    </row>
    <row r="272" spans="2:36" x14ac:dyDescent="0.2">
      <c r="B272" s="336"/>
      <c r="C272" s="342" t="s">
        <v>300</v>
      </c>
      <c r="D272" s="100" t="s">
        <v>327</v>
      </c>
      <c r="E272" s="36" t="s">
        <v>301</v>
      </c>
      <c r="F272" s="173" t="s">
        <v>846</v>
      </c>
      <c r="G272" s="174" t="s">
        <v>863</v>
      </c>
      <c r="H272" s="73" t="s">
        <v>347</v>
      </c>
      <c r="I272" s="37" t="s">
        <v>574</v>
      </c>
      <c r="J272" s="56" t="s">
        <v>51</v>
      </c>
      <c r="K272" s="55" t="s">
        <v>130</v>
      </c>
      <c r="L272" s="37" t="s">
        <v>558</v>
      </c>
      <c r="M272" s="37" t="s">
        <v>559</v>
      </c>
      <c r="N272" s="37"/>
      <c r="O272" s="37"/>
      <c r="P272" s="36"/>
      <c r="Q272" s="175" t="s">
        <v>832</v>
      </c>
      <c r="R272" s="174">
        <v>257</v>
      </c>
      <c r="S272" s="123" t="s">
        <v>592</v>
      </c>
      <c r="T272" s="103"/>
      <c r="U272" s="7"/>
      <c r="V272" s="61"/>
      <c r="Y272" s="359" t="str">
        <f t="shared" si="45"/>
        <v>control_surfaces_number</v>
      </c>
      <c r="Z272" s="360" t="str">
        <f t="shared" si="46"/>
        <v>integer</v>
      </c>
      <c r="AA272" s="360" t="str">
        <f t="shared" si="47"/>
        <v>scalaire</v>
      </c>
      <c r="AB272" s="360" t="str">
        <f t="shared" si="48"/>
        <v>Nombre de gouvernes</v>
      </c>
      <c r="AC272" s="360" t="str">
        <f t="shared" si="49"/>
        <v>(-)</v>
      </c>
      <c r="AD272" s="361" t="str">
        <f t="shared" si="50"/>
        <v>variable: control_surfaces_number integer input description= "Nombre de gouvernes" units= "(-)"</v>
      </c>
      <c r="AE272" s="359" t="str">
        <f t="shared" ref="AE272:AE279" si="51">CONCATENER_MODELCENTER(K272,$F272,$G272)</f>
        <v>X0.control.control_surfaces</v>
      </c>
      <c r="AF272" s="360" t="str">
        <f t="shared" ref="AF272:AF279" si="52">CONCATENER_MODELCENTER(L272,$F272,$G272)</f>
        <v>Y02.control.control_surfaces</v>
      </c>
      <c r="AG272" s="360" t="str">
        <f t="shared" ref="AG272:AG279" si="53">CONCATENER_MODELCENTER(M272,$F272,$G272)</f>
        <v>Y03.control.control_surfaces</v>
      </c>
      <c r="AH272" s="360" t="str">
        <f t="shared" ref="AH272:AH279" si="54">CONCATENER_MODELCENTER(N272,$F272,$G272)</f>
        <v/>
      </c>
      <c r="AI272" s="360" t="str">
        <f t="shared" ref="AI272:AI279" si="55">CONCATENER_MODELCENTER(O272,$F272,$G272)</f>
        <v/>
      </c>
      <c r="AJ272" s="361" t="str">
        <f t="shared" ref="AJ272:AJ279" si="56">CONCATENER_MODELCENTER(P272,$F272,$G272)</f>
        <v/>
      </c>
    </row>
    <row r="273" spans="2:36" x14ac:dyDescent="0.2">
      <c r="B273" s="336"/>
      <c r="C273" s="347"/>
      <c r="D273" s="100" t="s">
        <v>337</v>
      </c>
      <c r="E273" s="36" t="s">
        <v>302</v>
      </c>
      <c r="F273" s="173" t="s">
        <v>846</v>
      </c>
      <c r="G273" s="174" t="s">
        <v>863</v>
      </c>
      <c r="H273" s="73" t="s">
        <v>72</v>
      </c>
      <c r="I273" s="37" t="s">
        <v>587</v>
      </c>
      <c r="J273" s="56" t="s">
        <v>12</v>
      </c>
      <c r="K273" s="55" t="s">
        <v>130</v>
      </c>
      <c r="L273" s="37" t="s">
        <v>558</v>
      </c>
      <c r="M273" s="37" t="s">
        <v>559</v>
      </c>
      <c r="N273" s="37"/>
      <c r="O273" s="37"/>
      <c r="P273" s="36"/>
      <c r="Q273" s="175" t="s">
        <v>833</v>
      </c>
      <c r="R273" s="174">
        <v>258</v>
      </c>
      <c r="S273" s="123" t="s">
        <v>592</v>
      </c>
      <c r="T273" s="103"/>
      <c r="U273" s="7"/>
      <c r="V273" s="61"/>
      <c r="Y273" s="359" t="str">
        <f t="shared" ref="Y273:Y279" si="57">Q273</f>
        <v>control_surfaces_chord_table</v>
      </c>
      <c r="Z273" s="360" t="str">
        <f t="shared" ref="Z273:Z279" si="58">I273</f>
        <v>double[]</v>
      </c>
      <c r="AA273" s="360" t="str">
        <f t="shared" ref="AA273:AA279" si="59">H273</f>
        <v>table</v>
      </c>
      <c r="AB273" s="360" t="str">
        <f t="shared" ref="AB273:AB279" si="60">E273</f>
        <v>Corde des gouvernes</v>
      </c>
      <c r="AC273" s="360" t="str">
        <f t="shared" ref="AC273:AC279" si="61">J273</f>
        <v>m</v>
      </c>
      <c r="AD273" s="361" t="str">
        <f t="shared" ref="AD273:AD279" si="62">CONCATENATE(IF(S273="oui","#",""),"variable: ",Y273," ",Z273," input ","description= """,AB273,""" units= """,AC273,"""")</f>
        <v>variable: control_surfaces_chord_table double[] input description= "Corde des gouvernes" units= "m"</v>
      </c>
      <c r="AE273" s="359" t="str">
        <f t="shared" si="51"/>
        <v>X0.control.control_surfaces</v>
      </c>
      <c r="AF273" s="360" t="str">
        <f t="shared" si="52"/>
        <v>Y02.control.control_surfaces</v>
      </c>
      <c r="AG273" s="360" t="str">
        <f t="shared" si="53"/>
        <v>Y03.control.control_surfaces</v>
      </c>
      <c r="AH273" s="360" t="str">
        <f t="shared" si="54"/>
        <v/>
      </c>
      <c r="AI273" s="360" t="str">
        <f t="shared" si="55"/>
        <v/>
      </c>
      <c r="AJ273" s="361" t="str">
        <f t="shared" si="56"/>
        <v/>
      </c>
    </row>
    <row r="274" spans="2:36" x14ac:dyDescent="0.2">
      <c r="B274" s="336"/>
      <c r="C274" s="347"/>
      <c r="D274" s="100" t="s">
        <v>338</v>
      </c>
      <c r="E274" s="36" t="s">
        <v>303</v>
      </c>
      <c r="F274" s="173" t="s">
        <v>846</v>
      </c>
      <c r="G274" s="174" t="s">
        <v>863</v>
      </c>
      <c r="H274" s="73" t="s">
        <v>72</v>
      </c>
      <c r="I274" s="37" t="s">
        <v>587</v>
      </c>
      <c r="J274" s="56" t="s">
        <v>12</v>
      </c>
      <c r="K274" s="55" t="s">
        <v>419</v>
      </c>
      <c r="L274" s="37" t="s">
        <v>559</v>
      </c>
      <c r="M274" s="37"/>
      <c r="N274" s="37"/>
      <c r="O274" s="37"/>
      <c r="P274" s="36"/>
      <c r="Q274" s="175" t="s">
        <v>834</v>
      </c>
      <c r="R274" s="174">
        <v>259</v>
      </c>
      <c r="S274" s="123" t="s">
        <v>592</v>
      </c>
      <c r="T274" s="103"/>
      <c r="U274" s="7"/>
      <c r="V274" s="61"/>
      <c r="Y274" s="359" t="str">
        <f t="shared" si="57"/>
        <v>y_control_surfaces_root_table</v>
      </c>
      <c r="Z274" s="360" t="str">
        <f t="shared" si="58"/>
        <v>double[]</v>
      </c>
      <c r="AA274" s="360" t="str">
        <f t="shared" si="59"/>
        <v>table</v>
      </c>
      <c r="AB274" s="360" t="str">
        <f t="shared" si="60"/>
        <v>Position latérale de l'emplanture des gouvernes</v>
      </c>
      <c r="AC274" s="360" t="str">
        <f t="shared" si="61"/>
        <v>m</v>
      </c>
      <c r="AD274" s="361" t="str">
        <f t="shared" si="62"/>
        <v>variable: y_control_surfaces_root_table double[] input description= "Position latérale de l'emplanture des gouvernes" units= "m"</v>
      </c>
      <c r="AE274" s="359" t="str">
        <f t="shared" si="51"/>
        <v>Y02.control.control_surfaces</v>
      </c>
      <c r="AF274" s="360" t="str">
        <f t="shared" si="52"/>
        <v>Y03.control.control_surfaces</v>
      </c>
      <c r="AG274" s="360" t="str">
        <f t="shared" si="53"/>
        <v/>
      </c>
      <c r="AH274" s="360" t="str">
        <f t="shared" si="54"/>
        <v/>
      </c>
      <c r="AI274" s="360" t="str">
        <f t="shared" si="55"/>
        <v/>
      </c>
      <c r="AJ274" s="361" t="str">
        <f t="shared" si="56"/>
        <v/>
      </c>
    </row>
    <row r="275" spans="2:36" x14ac:dyDescent="0.2">
      <c r="B275" s="336"/>
      <c r="C275" s="347"/>
      <c r="D275" s="100" t="s">
        <v>339</v>
      </c>
      <c r="E275" s="36" t="s">
        <v>304</v>
      </c>
      <c r="F275" s="173" t="s">
        <v>846</v>
      </c>
      <c r="G275" s="174" t="s">
        <v>863</v>
      </c>
      <c r="H275" s="73" t="s">
        <v>72</v>
      </c>
      <c r="I275" s="37" t="s">
        <v>587</v>
      </c>
      <c r="J275" s="56" t="s">
        <v>12</v>
      </c>
      <c r="K275" s="55" t="s">
        <v>419</v>
      </c>
      <c r="L275" s="37" t="s">
        <v>559</v>
      </c>
      <c r="M275" s="37"/>
      <c r="N275" s="37"/>
      <c r="O275" s="37"/>
      <c r="P275" s="36"/>
      <c r="Q275" s="175" t="s">
        <v>835</v>
      </c>
      <c r="R275" s="174">
        <v>260</v>
      </c>
      <c r="S275" s="123" t="s">
        <v>592</v>
      </c>
      <c r="T275" s="103"/>
      <c r="U275" s="7"/>
      <c r="V275" s="61"/>
      <c r="Y275" s="359" t="str">
        <f t="shared" si="57"/>
        <v>y_control_surfaces_tip_table</v>
      </c>
      <c r="Z275" s="360" t="str">
        <f t="shared" si="58"/>
        <v>double[]</v>
      </c>
      <c r="AA275" s="360" t="str">
        <f t="shared" si="59"/>
        <v>table</v>
      </c>
      <c r="AB275" s="360" t="str">
        <f t="shared" si="60"/>
        <v>Position latérale du saumon des gouvernes</v>
      </c>
      <c r="AC275" s="360" t="str">
        <f t="shared" si="61"/>
        <v>m</v>
      </c>
      <c r="AD275" s="361" t="str">
        <f t="shared" si="62"/>
        <v>variable: y_control_surfaces_tip_table double[] input description= "Position latérale du saumon des gouvernes" units= "m"</v>
      </c>
      <c r="AE275" s="359" t="str">
        <f t="shared" si="51"/>
        <v>Y02.control.control_surfaces</v>
      </c>
      <c r="AF275" s="360" t="str">
        <f t="shared" si="52"/>
        <v>Y03.control.control_surfaces</v>
      </c>
      <c r="AG275" s="360" t="str">
        <f t="shared" si="53"/>
        <v/>
      </c>
      <c r="AH275" s="360" t="str">
        <f t="shared" si="54"/>
        <v/>
      </c>
      <c r="AI275" s="360" t="str">
        <f t="shared" si="55"/>
        <v/>
      </c>
      <c r="AJ275" s="361" t="str">
        <f t="shared" si="56"/>
        <v/>
      </c>
    </row>
    <row r="276" spans="2:36" x14ac:dyDescent="0.2">
      <c r="B276" s="336"/>
      <c r="C276" s="343"/>
      <c r="D276" s="100" t="s">
        <v>340</v>
      </c>
      <c r="E276" s="36" t="s">
        <v>305</v>
      </c>
      <c r="F276" s="173" t="s">
        <v>846</v>
      </c>
      <c r="G276" s="174" t="s">
        <v>863</v>
      </c>
      <c r="H276" s="284"/>
      <c r="I276" s="100"/>
      <c r="J276" s="56" t="s">
        <v>51</v>
      </c>
      <c r="K276" s="55" t="s">
        <v>200</v>
      </c>
      <c r="L276" s="37"/>
      <c r="M276" s="37"/>
      <c r="N276" s="37"/>
      <c r="O276" s="37"/>
      <c r="P276" s="36"/>
      <c r="Q276" s="175" t="s">
        <v>969</v>
      </c>
      <c r="R276" s="174">
        <v>261</v>
      </c>
      <c r="S276" s="123" t="s">
        <v>1085</v>
      </c>
      <c r="T276" s="103"/>
      <c r="U276" s="7"/>
      <c r="V276" s="61"/>
      <c r="Y276" s="359" t="str">
        <f t="shared" si="57"/>
        <v>control_surfaces_allocation</v>
      </c>
      <c r="Z276" s="360">
        <f t="shared" si="58"/>
        <v>0</v>
      </c>
      <c r="AA276" s="360">
        <f t="shared" si="59"/>
        <v>0</v>
      </c>
      <c r="AB276" s="360" t="str">
        <f t="shared" si="60"/>
        <v>Affectation du rôle des gouvernes</v>
      </c>
      <c r="AC276" s="360" t="str">
        <f t="shared" si="61"/>
        <v>(-)</v>
      </c>
      <c r="AD276" s="361" t="str">
        <f t="shared" si="62"/>
        <v>#variable: control_surfaces_allocation 0 input description= "Affectation du rôle des gouvernes" units= "(-)"</v>
      </c>
      <c r="AE276" s="359" t="str">
        <f t="shared" si="51"/>
        <v>X5.control.control_surfaces</v>
      </c>
      <c r="AF276" s="360" t="str">
        <f t="shared" si="52"/>
        <v/>
      </c>
      <c r="AG276" s="360" t="str">
        <f t="shared" si="53"/>
        <v/>
      </c>
      <c r="AH276" s="360" t="str">
        <f t="shared" si="54"/>
        <v/>
      </c>
      <c r="AI276" s="360" t="str">
        <f t="shared" si="55"/>
        <v/>
      </c>
      <c r="AJ276" s="361" t="str">
        <f t="shared" si="56"/>
        <v/>
      </c>
    </row>
    <row r="277" spans="2:36" x14ac:dyDescent="0.2">
      <c r="B277" s="336"/>
      <c r="C277" s="342" t="s">
        <v>308</v>
      </c>
      <c r="D277" s="100" t="s">
        <v>306</v>
      </c>
      <c r="E277" s="36" t="s">
        <v>309</v>
      </c>
      <c r="F277" s="173" t="s">
        <v>846</v>
      </c>
      <c r="G277" s="174" t="s">
        <v>863</v>
      </c>
      <c r="H277" s="73" t="s">
        <v>347</v>
      </c>
      <c r="I277" s="37" t="s">
        <v>13</v>
      </c>
      <c r="J277" s="56" t="s">
        <v>12</v>
      </c>
      <c r="K277" s="55" t="s">
        <v>130</v>
      </c>
      <c r="L277" s="37" t="s">
        <v>558</v>
      </c>
      <c r="M277" s="37" t="s">
        <v>559</v>
      </c>
      <c r="N277" s="37"/>
      <c r="O277" s="37"/>
      <c r="P277" s="36"/>
      <c r="Q277" s="175" t="s">
        <v>836</v>
      </c>
      <c r="R277" s="174">
        <v>262</v>
      </c>
      <c r="S277" s="123" t="s">
        <v>592</v>
      </c>
      <c r="T277" s="103"/>
      <c r="U277" s="7"/>
      <c r="V277" s="61"/>
      <c r="Y277" s="359" t="str">
        <f t="shared" si="57"/>
        <v>vertical_surface_control_surface_chord</v>
      </c>
      <c r="Z277" s="360" t="str">
        <f t="shared" si="58"/>
        <v>double</v>
      </c>
      <c r="AA277" s="360" t="str">
        <f t="shared" si="59"/>
        <v>scalaire</v>
      </c>
      <c r="AB277" s="360" t="str">
        <f t="shared" si="60"/>
        <v>Corde de la gouverne de la surface verticale</v>
      </c>
      <c r="AC277" s="360" t="str">
        <f t="shared" si="61"/>
        <v>m</v>
      </c>
      <c r="AD277" s="361" t="str">
        <f t="shared" si="62"/>
        <v>variable: vertical_surface_control_surface_chord double input description= "Corde de la gouverne de la surface verticale" units= "m"</v>
      </c>
      <c r="AE277" s="359" t="str">
        <f t="shared" si="51"/>
        <v>X0.control.control_surfaces</v>
      </c>
      <c r="AF277" s="360" t="str">
        <f t="shared" si="52"/>
        <v>Y02.control.control_surfaces</v>
      </c>
      <c r="AG277" s="360" t="str">
        <f t="shared" si="53"/>
        <v>Y03.control.control_surfaces</v>
      </c>
      <c r="AH277" s="360" t="str">
        <f t="shared" si="54"/>
        <v/>
      </c>
      <c r="AI277" s="360" t="str">
        <f t="shared" si="55"/>
        <v/>
      </c>
      <c r="AJ277" s="361" t="str">
        <f t="shared" si="56"/>
        <v/>
      </c>
    </row>
    <row r="278" spans="2:36" x14ac:dyDescent="0.2">
      <c r="B278" s="336"/>
      <c r="C278" s="343"/>
      <c r="D278" s="100" t="s">
        <v>307</v>
      </c>
      <c r="E278" s="36" t="s">
        <v>310</v>
      </c>
      <c r="F278" s="173" t="s">
        <v>846</v>
      </c>
      <c r="G278" s="174" t="s">
        <v>863</v>
      </c>
      <c r="H278" s="284"/>
      <c r="I278" s="100"/>
      <c r="J278" s="56" t="s">
        <v>51</v>
      </c>
      <c r="K278" s="55" t="s">
        <v>200</v>
      </c>
      <c r="L278" s="37"/>
      <c r="M278" s="37"/>
      <c r="N278" s="37"/>
      <c r="O278" s="37"/>
      <c r="P278" s="36"/>
      <c r="Q278" s="175" t="s">
        <v>837</v>
      </c>
      <c r="R278" s="174">
        <v>263</v>
      </c>
      <c r="S278" s="123" t="s">
        <v>1085</v>
      </c>
      <c r="T278" s="103"/>
      <c r="U278" s="7"/>
      <c r="V278" s="61"/>
      <c r="Y278" s="359" t="str">
        <f t="shared" si="57"/>
        <v>vertical_surface_control_surface_allocation</v>
      </c>
      <c r="Z278" s="360">
        <f t="shared" si="58"/>
        <v>0</v>
      </c>
      <c r="AA278" s="360">
        <f t="shared" si="59"/>
        <v>0</v>
      </c>
      <c r="AB278" s="360" t="str">
        <f t="shared" si="60"/>
        <v>Affectation du rôle de la gouverne de la surface verticale</v>
      </c>
      <c r="AC278" s="360" t="str">
        <f t="shared" si="61"/>
        <v>(-)</v>
      </c>
      <c r="AD278" s="361" t="str">
        <f t="shared" si="62"/>
        <v>#variable: vertical_surface_control_surface_allocation 0 input description= "Affectation du rôle de la gouverne de la surface verticale" units= "(-)"</v>
      </c>
      <c r="AE278" s="359" t="str">
        <f t="shared" si="51"/>
        <v>X5.control.control_surfaces</v>
      </c>
      <c r="AF278" s="360" t="str">
        <f t="shared" si="52"/>
        <v/>
      </c>
      <c r="AG278" s="360" t="str">
        <f t="shared" si="53"/>
        <v/>
      </c>
      <c r="AH278" s="360" t="str">
        <f t="shared" si="54"/>
        <v/>
      </c>
      <c r="AI278" s="360" t="str">
        <f t="shared" si="55"/>
        <v/>
      </c>
      <c r="AJ278" s="361" t="str">
        <f t="shared" si="56"/>
        <v/>
      </c>
    </row>
    <row r="279" spans="2:36" ht="13.5" thickBot="1" x14ac:dyDescent="0.25">
      <c r="B279" s="337"/>
      <c r="C279" s="38" t="s">
        <v>232</v>
      </c>
      <c r="D279" s="285" t="s">
        <v>233</v>
      </c>
      <c r="E279" s="286" t="s">
        <v>230</v>
      </c>
      <c r="F279" s="287" t="s">
        <v>846</v>
      </c>
      <c r="G279" s="288"/>
      <c r="H279" s="289" t="s">
        <v>72</v>
      </c>
      <c r="I279" s="40" t="s">
        <v>587</v>
      </c>
      <c r="J279" s="58" t="s">
        <v>51</v>
      </c>
      <c r="K279" s="57" t="s">
        <v>231</v>
      </c>
      <c r="L279" s="40"/>
      <c r="M279" s="40"/>
      <c r="N279" s="40"/>
      <c r="O279" s="40"/>
      <c r="P279" s="39"/>
      <c r="Q279" s="290" t="s">
        <v>838</v>
      </c>
      <c r="R279" s="288">
        <v>264</v>
      </c>
      <c r="S279" s="124" t="s">
        <v>592</v>
      </c>
      <c r="T279" s="125"/>
      <c r="U279" s="7"/>
      <c r="V279" s="61"/>
      <c r="Y279" s="371" t="str">
        <f t="shared" si="57"/>
        <v>eigen_values_table</v>
      </c>
      <c r="Z279" s="372" t="str">
        <f t="shared" si="58"/>
        <v>double[]</v>
      </c>
      <c r="AA279" s="372" t="str">
        <f t="shared" si="59"/>
        <v>table</v>
      </c>
      <c r="AB279" s="372" t="str">
        <f t="shared" si="60"/>
        <v>Valeurs propres des modes avion</v>
      </c>
      <c r="AC279" s="372" t="str">
        <f t="shared" si="61"/>
        <v>(-)</v>
      </c>
      <c r="AD279" s="373" t="str">
        <f t="shared" si="62"/>
        <v>variable: eigen_values_table double[] input description= "Valeurs propres des modes avion" units= "(-)"</v>
      </c>
      <c r="AE279" s="359" t="str">
        <f t="shared" si="51"/>
        <v>Y5x.control</v>
      </c>
      <c r="AF279" s="360" t="str">
        <f t="shared" si="52"/>
        <v/>
      </c>
      <c r="AG279" s="360" t="str">
        <f t="shared" si="53"/>
        <v/>
      </c>
      <c r="AH279" s="360" t="str">
        <f t="shared" si="54"/>
        <v/>
      </c>
      <c r="AI279" s="360" t="str">
        <f t="shared" si="55"/>
        <v/>
      </c>
      <c r="AJ279" s="361" t="str">
        <f t="shared" si="56"/>
        <v/>
      </c>
    </row>
    <row r="280" spans="2:36" x14ac:dyDescent="0.2">
      <c r="AE280" s="362" t="str">
        <f t="shared" ref="AE280:AE336" si="63">CONCATENER_MODELCENTER(K280,$F280,$G280)</f>
        <v/>
      </c>
      <c r="AF280" s="7" t="str">
        <f t="shared" ref="AF280:AF336" si="64">CONCATENER_MODELCENTER(L280,$F280,$G280)</f>
        <v/>
      </c>
      <c r="AG280" s="7" t="str">
        <f t="shared" ref="AG280:AG336" si="65">CONCATENER_MODELCENTER(M280,$F280,$G280)</f>
        <v/>
      </c>
      <c r="AH280" s="7" t="str">
        <f t="shared" ref="AH280:AH336" si="66">CONCATENER_MODELCENTER(N280,$F280,$G280)</f>
        <v/>
      </c>
      <c r="AI280" s="7" t="str">
        <f t="shared" ref="AI280:AI336" si="67">CONCATENER_MODELCENTER(O280,$F280,$G280)</f>
        <v/>
      </c>
      <c r="AJ280" s="363" t="str">
        <f t="shared" ref="AJ280:AJ336" si="68">CONCATENER_MODELCENTER(P280,$F280,$G280)</f>
        <v/>
      </c>
    </row>
    <row r="281" spans="2:36" x14ac:dyDescent="0.2">
      <c r="AE281" s="362" t="str">
        <f t="shared" si="63"/>
        <v/>
      </c>
      <c r="AF281" s="7" t="str">
        <f t="shared" si="64"/>
        <v/>
      </c>
      <c r="AG281" s="7" t="str">
        <f t="shared" si="65"/>
        <v/>
      </c>
      <c r="AH281" s="7" t="str">
        <f t="shared" si="66"/>
        <v/>
      </c>
      <c r="AI281" s="7" t="str">
        <f t="shared" si="67"/>
        <v/>
      </c>
      <c r="AJ281" s="363" t="str">
        <f t="shared" si="68"/>
        <v/>
      </c>
    </row>
    <row r="282" spans="2:36" x14ac:dyDescent="0.2">
      <c r="AE282" s="362" t="str">
        <f t="shared" si="63"/>
        <v/>
      </c>
      <c r="AF282" s="7" t="str">
        <f t="shared" si="64"/>
        <v/>
      </c>
      <c r="AG282" s="7" t="str">
        <f t="shared" si="65"/>
        <v/>
      </c>
      <c r="AH282" s="7" t="str">
        <f t="shared" si="66"/>
        <v/>
      </c>
      <c r="AI282" s="7" t="str">
        <f t="shared" si="67"/>
        <v/>
      </c>
      <c r="AJ282" s="363" t="str">
        <f t="shared" si="68"/>
        <v/>
      </c>
    </row>
    <row r="283" spans="2:36" x14ac:dyDescent="0.2">
      <c r="AE283" s="362" t="str">
        <f t="shared" si="63"/>
        <v/>
      </c>
      <c r="AF283" s="7" t="str">
        <f t="shared" si="64"/>
        <v/>
      </c>
      <c r="AG283" s="7" t="str">
        <f t="shared" si="65"/>
        <v/>
      </c>
      <c r="AH283" s="7" t="str">
        <f t="shared" si="66"/>
        <v/>
      </c>
      <c r="AI283" s="7" t="str">
        <f t="shared" si="67"/>
        <v/>
      </c>
      <c r="AJ283" s="363" t="str">
        <f t="shared" si="68"/>
        <v/>
      </c>
    </row>
    <row r="284" spans="2:36" x14ac:dyDescent="0.2">
      <c r="AE284" s="362" t="str">
        <f t="shared" si="63"/>
        <v/>
      </c>
      <c r="AF284" s="7" t="str">
        <f t="shared" si="64"/>
        <v/>
      </c>
      <c r="AG284" s="7" t="str">
        <f t="shared" si="65"/>
        <v/>
      </c>
      <c r="AH284" s="7" t="str">
        <f t="shared" si="66"/>
        <v/>
      </c>
      <c r="AI284" s="7" t="str">
        <f t="shared" si="67"/>
        <v/>
      </c>
      <c r="AJ284" s="363" t="str">
        <f t="shared" si="68"/>
        <v/>
      </c>
    </row>
    <row r="285" spans="2:36" x14ac:dyDescent="0.2">
      <c r="AE285" s="362" t="str">
        <f t="shared" si="63"/>
        <v/>
      </c>
      <c r="AF285" s="7" t="str">
        <f t="shared" si="64"/>
        <v/>
      </c>
      <c r="AG285" s="7" t="str">
        <f t="shared" si="65"/>
        <v/>
      </c>
      <c r="AH285" s="7" t="str">
        <f t="shared" si="66"/>
        <v/>
      </c>
      <c r="AI285" s="7" t="str">
        <f t="shared" si="67"/>
        <v/>
      </c>
      <c r="AJ285" s="363" t="str">
        <f t="shared" si="68"/>
        <v/>
      </c>
    </row>
    <row r="286" spans="2:36" x14ac:dyDescent="0.2">
      <c r="AE286" s="362" t="str">
        <f t="shared" si="63"/>
        <v/>
      </c>
      <c r="AF286" s="7" t="str">
        <f t="shared" si="64"/>
        <v/>
      </c>
      <c r="AG286" s="7" t="str">
        <f t="shared" si="65"/>
        <v/>
      </c>
      <c r="AH286" s="7" t="str">
        <f t="shared" si="66"/>
        <v/>
      </c>
      <c r="AI286" s="7" t="str">
        <f t="shared" si="67"/>
        <v/>
      </c>
      <c r="AJ286" s="363" t="str">
        <f t="shared" si="68"/>
        <v/>
      </c>
    </row>
    <row r="287" spans="2:36" x14ac:dyDescent="0.2">
      <c r="AE287" s="362" t="str">
        <f t="shared" si="63"/>
        <v/>
      </c>
      <c r="AF287" s="7" t="str">
        <f t="shared" si="64"/>
        <v/>
      </c>
      <c r="AG287" s="7" t="str">
        <f t="shared" si="65"/>
        <v/>
      </c>
      <c r="AH287" s="7" t="str">
        <f t="shared" si="66"/>
        <v/>
      </c>
      <c r="AI287" s="7" t="str">
        <f t="shared" si="67"/>
        <v/>
      </c>
      <c r="AJ287" s="363" t="str">
        <f t="shared" si="68"/>
        <v/>
      </c>
    </row>
    <row r="288" spans="2:36" x14ac:dyDescent="0.2">
      <c r="AE288" s="362" t="str">
        <f t="shared" si="63"/>
        <v/>
      </c>
      <c r="AF288" s="7" t="str">
        <f t="shared" si="64"/>
        <v/>
      </c>
      <c r="AG288" s="7" t="str">
        <f t="shared" si="65"/>
        <v/>
      </c>
      <c r="AH288" s="7" t="str">
        <f t="shared" si="66"/>
        <v/>
      </c>
      <c r="AI288" s="7" t="str">
        <f t="shared" si="67"/>
        <v/>
      </c>
      <c r="AJ288" s="363" t="str">
        <f t="shared" si="68"/>
        <v/>
      </c>
    </row>
    <row r="289" spans="31:36" x14ac:dyDescent="0.2">
      <c r="AE289" s="362" t="str">
        <f t="shared" si="63"/>
        <v/>
      </c>
      <c r="AF289" s="7" t="str">
        <f t="shared" si="64"/>
        <v/>
      </c>
      <c r="AG289" s="7" t="str">
        <f t="shared" si="65"/>
        <v/>
      </c>
      <c r="AH289" s="7" t="str">
        <f t="shared" si="66"/>
        <v/>
      </c>
      <c r="AI289" s="7" t="str">
        <f t="shared" si="67"/>
        <v/>
      </c>
      <c r="AJ289" s="363" t="str">
        <f t="shared" si="68"/>
        <v/>
      </c>
    </row>
    <row r="290" spans="31:36" x14ac:dyDescent="0.2">
      <c r="AE290" s="362" t="str">
        <f t="shared" si="63"/>
        <v/>
      </c>
      <c r="AF290" s="7" t="str">
        <f t="shared" si="64"/>
        <v/>
      </c>
      <c r="AG290" s="7" t="str">
        <f t="shared" si="65"/>
        <v/>
      </c>
      <c r="AH290" s="7" t="str">
        <f t="shared" si="66"/>
        <v/>
      </c>
      <c r="AI290" s="7" t="str">
        <f t="shared" si="67"/>
        <v/>
      </c>
      <c r="AJ290" s="363" t="str">
        <f t="shared" si="68"/>
        <v/>
      </c>
    </row>
    <row r="291" spans="31:36" x14ac:dyDescent="0.2">
      <c r="AE291" s="362" t="str">
        <f t="shared" si="63"/>
        <v/>
      </c>
      <c r="AF291" s="7" t="str">
        <f t="shared" si="64"/>
        <v/>
      </c>
      <c r="AG291" s="7" t="str">
        <f t="shared" si="65"/>
        <v/>
      </c>
      <c r="AH291" s="7" t="str">
        <f t="shared" si="66"/>
        <v/>
      </c>
      <c r="AI291" s="7" t="str">
        <f t="shared" si="67"/>
        <v/>
      </c>
      <c r="AJ291" s="363" t="str">
        <f t="shared" si="68"/>
        <v/>
      </c>
    </row>
    <row r="292" spans="31:36" x14ac:dyDescent="0.2">
      <c r="AE292" s="362" t="str">
        <f t="shared" si="63"/>
        <v/>
      </c>
      <c r="AF292" s="7" t="str">
        <f t="shared" si="64"/>
        <v/>
      </c>
      <c r="AG292" s="7" t="str">
        <f t="shared" si="65"/>
        <v/>
      </c>
      <c r="AH292" s="7" t="str">
        <f t="shared" si="66"/>
        <v/>
      </c>
      <c r="AI292" s="7" t="str">
        <f t="shared" si="67"/>
        <v/>
      </c>
      <c r="AJ292" s="363" t="str">
        <f t="shared" si="68"/>
        <v/>
      </c>
    </row>
    <row r="293" spans="31:36" x14ac:dyDescent="0.2">
      <c r="AE293" s="362" t="str">
        <f t="shared" si="63"/>
        <v/>
      </c>
      <c r="AF293" s="7" t="str">
        <f t="shared" si="64"/>
        <v/>
      </c>
      <c r="AG293" s="7" t="str">
        <f t="shared" si="65"/>
        <v/>
      </c>
      <c r="AH293" s="7" t="str">
        <f t="shared" si="66"/>
        <v/>
      </c>
      <c r="AI293" s="7" t="str">
        <f t="shared" si="67"/>
        <v/>
      </c>
      <c r="AJ293" s="363" t="str">
        <f t="shared" si="68"/>
        <v/>
      </c>
    </row>
    <row r="294" spans="31:36" x14ac:dyDescent="0.2">
      <c r="AE294" s="362" t="str">
        <f t="shared" si="63"/>
        <v/>
      </c>
      <c r="AF294" s="7" t="str">
        <f t="shared" si="64"/>
        <v/>
      </c>
      <c r="AG294" s="7" t="str">
        <f t="shared" si="65"/>
        <v/>
      </c>
      <c r="AH294" s="7" t="str">
        <f t="shared" si="66"/>
        <v/>
      </c>
      <c r="AI294" s="7" t="str">
        <f t="shared" si="67"/>
        <v/>
      </c>
      <c r="AJ294" s="363" t="str">
        <f t="shared" si="68"/>
        <v/>
      </c>
    </row>
    <row r="295" spans="31:36" x14ac:dyDescent="0.2">
      <c r="AE295" s="362" t="str">
        <f t="shared" si="63"/>
        <v/>
      </c>
      <c r="AF295" s="7" t="str">
        <f t="shared" si="64"/>
        <v/>
      </c>
      <c r="AG295" s="7" t="str">
        <f t="shared" si="65"/>
        <v/>
      </c>
      <c r="AH295" s="7" t="str">
        <f t="shared" si="66"/>
        <v/>
      </c>
      <c r="AI295" s="7" t="str">
        <f t="shared" si="67"/>
        <v/>
      </c>
      <c r="AJ295" s="363" t="str">
        <f t="shared" si="68"/>
        <v/>
      </c>
    </row>
    <row r="296" spans="31:36" x14ac:dyDescent="0.2">
      <c r="AE296" s="362" t="str">
        <f t="shared" si="63"/>
        <v/>
      </c>
      <c r="AF296" s="7" t="str">
        <f t="shared" si="64"/>
        <v/>
      </c>
      <c r="AG296" s="7" t="str">
        <f t="shared" si="65"/>
        <v/>
      </c>
      <c r="AH296" s="7" t="str">
        <f t="shared" si="66"/>
        <v/>
      </c>
      <c r="AI296" s="7" t="str">
        <f t="shared" si="67"/>
        <v/>
      </c>
      <c r="AJ296" s="363" t="str">
        <f t="shared" si="68"/>
        <v/>
      </c>
    </row>
    <row r="297" spans="31:36" x14ac:dyDescent="0.2">
      <c r="AE297" s="362" t="str">
        <f t="shared" si="63"/>
        <v/>
      </c>
      <c r="AF297" s="7" t="str">
        <f t="shared" si="64"/>
        <v/>
      </c>
      <c r="AG297" s="7" t="str">
        <f t="shared" si="65"/>
        <v/>
      </c>
      <c r="AH297" s="7" t="str">
        <f t="shared" si="66"/>
        <v/>
      </c>
      <c r="AI297" s="7" t="str">
        <f t="shared" si="67"/>
        <v/>
      </c>
      <c r="AJ297" s="363" t="str">
        <f t="shared" si="68"/>
        <v/>
      </c>
    </row>
    <row r="298" spans="31:36" x14ac:dyDescent="0.2">
      <c r="AE298" s="362" t="str">
        <f t="shared" si="63"/>
        <v/>
      </c>
      <c r="AF298" s="7" t="str">
        <f t="shared" si="64"/>
        <v/>
      </c>
      <c r="AG298" s="7" t="str">
        <f t="shared" si="65"/>
        <v/>
      </c>
      <c r="AH298" s="7" t="str">
        <f t="shared" si="66"/>
        <v/>
      </c>
      <c r="AI298" s="7" t="str">
        <f t="shared" si="67"/>
        <v/>
      </c>
      <c r="AJ298" s="363" t="str">
        <f t="shared" si="68"/>
        <v/>
      </c>
    </row>
    <row r="299" spans="31:36" x14ac:dyDescent="0.2">
      <c r="AE299" s="362" t="str">
        <f t="shared" si="63"/>
        <v/>
      </c>
      <c r="AF299" s="7" t="str">
        <f t="shared" si="64"/>
        <v/>
      </c>
      <c r="AG299" s="7" t="str">
        <f t="shared" si="65"/>
        <v/>
      </c>
      <c r="AH299" s="7" t="str">
        <f t="shared" si="66"/>
        <v/>
      </c>
      <c r="AI299" s="7" t="str">
        <f t="shared" si="67"/>
        <v/>
      </c>
      <c r="AJ299" s="363" t="str">
        <f t="shared" si="68"/>
        <v/>
      </c>
    </row>
    <row r="300" spans="31:36" x14ac:dyDescent="0.2">
      <c r="AE300" s="362" t="str">
        <f t="shared" si="63"/>
        <v/>
      </c>
      <c r="AF300" s="7" t="str">
        <f t="shared" si="64"/>
        <v/>
      </c>
      <c r="AG300" s="7" t="str">
        <f t="shared" si="65"/>
        <v/>
      </c>
      <c r="AH300" s="7" t="str">
        <f t="shared" si="66"/>
        <v/>
      </c>
      <c r="AI300" s="7" t="str">
        <f t="shared" si="67"/>
        <v/>
      </c>
      <c r="AJ300" s="363" t="str">
        <f t="shared" si="68"/>
        <v/>
      </c>
    </row>
    <row r="301" spans="31:36" x14ac:dyDescent="0.2">
      <c r="AE301" s="362" t="str">
        <f t="shared" si="63"/>
        <v/>
      </c>
      <c r="AF301" s="7" t="str">
        <f t="shared" si="64"/>
        <v/>
      </c>
      <c r="AG301" s="7" t="str">
        <f t="shared" si="65"/>
        <v/>
      </c>
      <c r="AH301" s="7" t="str">
        <f t="shared" si="66"/>
        <v/>
      </c>
      <c r="AI301" s="7" t="str">
        <f t="shared" si="67"/>
        <v/>
      </c>
      <c r="AJ301" s="363" t="str">
        <f t="shared" si="68"/>
        <v/>
      </c>
    </row>
    <row r="302" spans="31:36" x14ac:dyDescent="0.2">
      <c r="AE302" s="362" t="str">
        <f t="shared" si="63"/>
        <v/>
      </c>
      <c r="AF302" s="7" t="str">
        <f t="shared" si="64"/>
        <v/>
      </c>
      <c r="AG302" s="7" t="str">
        <f t="shared" si="65"/>
        <v/>
      </c>
      <c r="AH302" s="7" t="str">
        <f t="shared" si="66"/>
        <v/>
      </c>
      <c r="AI302" s="7" t="str">
        <f t="shared" si="67"/>
        <v/>
      </c>
      <c r="AJ302" s="363" t="str">
        <f t="shared" si="68"/>
        <v/>
      </c>
    </row>
    <row r="303" spans="31:36" x14ac:dyDescent="0.2">
      <c r="AE303" s="362" t="str">
        <f t="shared" si="63"/>
        <v/>
      </c>
      <c r="AF303" s="7" t="str">
        <f t="shared" si="64"/>
        <v/>
      </c>
      <c r="AG303" s="7" t="str">
        <f t="shared" si="65"/>
        <v/>
      </c>
      <c r="AH303" s="7" t="str">
        <f t="shared" si="66"/>
        <v/>
      </c>
      <c r="AI303" s="7" t="str">
        <f t="shared" si="67"/>
        <v/>
      </c>
      <c r="AJ303" s="363" t="str">
        <f t="shared" si="68"/>
        <v/>
      </c>
    </row>
    <row r="304" spans="31:36" x14ac:dyDescent="0.2">
      <c r="AE304" s="362" t="str">
        <f t="shared" si="63"/>
        <v/>
      </c>
      <c r="AF304" s="7" t="str">
        <f t="shared" si="64"/>
        <v/>
      </c>
      <c r="AG304" s="7" t="str">
        <f t="shared" si="65"/>
        <v/>
      </c>
      <c r="AH304" s="7" t="str">
        <f t="shared" si="66"/>
        <v/>
      </c>
      <c r="AI304" s="7" t="str">
        <f t="shared" si="67"/>
        <v/>
      </c>
      <c r="AJ304" s="363" t="str">
        <f t="shared" si="68"/>
        <v/>
      </c>
    </row>
    <row r="305" spans="31:36" x14ac:dyDescent="0.2">
      <c r="AE305" s="362" t="str">
        <f t="shared" si="63"/>
        <v/>
      </c>
      <c r="AF305" s="7" t="str">
        <f t="shared" si="64"/>
        <v/>
      </c>
      <c r="AG305" s="7" t="str">
        <f t="shared" si="65"/>
        <v/>
      </c>
      <c r="AH305" s="7" t="str">
        <f t="shared" si="66"/>
        <v/>
      </c>
      <c r="AI305" s="7" t="str">
        <f t="shared" si="67"/>
        <v/>
      </c>
      <c r="AJ305" s="363" t="str">
        <f t="shared" si="68"/>
        <v/>
      </c>
    </row>
    <row r="306" spans="31:36" x14ac:dyDescent="0.2">
      <c r="AE306" s="362" t="str">
        <f t="shared" si="63"/>
        <v/>
      </c>
      <c r="AF306" s="7" t="str">
        <f t="shared" si="64"/>
        <v/>
      </c>
      <c r="AG306" s="7" t="str">
        <f t="shared" si="65"/>
        <v/>
      </c>
      <c r="AH306" s="7" t="str">
        <f t="shared" si="66"/>
        <v/>
      </c>
      <c r="AI306" s="7" t="str">
        <f t="shared" si="67"/>
        <v/>
      </c>
      <c r="AJ306" s="363" t="str">
        <f t="shared" si="68"/>
        <v/>
      </c>
    </row>
    <row r="307" spans="31:36" x14ac:dyDescent="0.2">
      <c r="AE307" s="362" t="str">
        <f t="shared" si="63"/>
        <v/>
      </c>
      <c r="AF307" s="7" t="str">
        <f t="shared" si="64"/>
        <v/>
      </c>
      <c r="AG307" s="7" t="str">
        <f t="shared" si="65"/>
        <v/>
      </c>
      <c r="AH307" s="7" t="str">
        <f t="shared" si="66"/>
        <v/>
      </c>
      <c r="AI307" s="7" t="str">
        <f t="shared" si="67"/>
        <v/>
      </c>
      <c r="AJ307" s="363" t="str">
        <f t="shared" si="68"/>
        <v/>
      </c>
    </row>
    <row r="308" spans="31:36" x14ac:dyDescent="0.2">
      <c r="AE308" s="362" t="str">
        <f t="shared" si="63"/>
        <v/>
      </c>
      <c r="AF308" s="7" t="str">
        <f t="shared" si="64"/>
        <v/>
      </c>
      <c r="AG308" s="7" t="str">
        <f t="shared" si="65"/>
        <v/>
      </c>
      <c r="AH308" s="7" t="str">
        <f t="shared" si="66"/>
        <v/>
      </c>
      <c r="AI308" s="7" t="str">
        <f t="shared" si="67"/>
        <v/>
      </c>
      <c r="AJ308" s="363" t="str">
        <f t="shared" si="68"/>
        <v/>
      </c>
    </row>
    <row r="309" spans="31:36" x14ac:dyDescent="0.2">
      <c r="AE309" s="362" t="str">
        <f t="shared" si="63"/>
        <v/>
      </c>
      <c r="AF309" s="7" t="str">
        <f t="shared" si="64"/>
        <v/>
      </c>
      <c r="AG309" s="7" t="str">
        <f t="shared" si="65"/>
        <v/>
      </c>
      <c r="AH309" s="7" t="str">
        <f t="shared" si="66"/>
        <v/>
      </c>
      <c r="AI309" s="7" t="str">
        <f t="shared" si="67"/>
        <v/>
      </c>
      <c r="AJ309" s="363" t="str">
        <f t="shared" si="68"/>
        <v/>
      </c>
    </row>
    <row r="310" spans="31:36" x14ac:dyDescent="0.2">
      <c r="AE310" s="362" t="str">
        <f t="shared" si="63"/>
        <v/>
      </c>
      <c r="AF310" s="7" t="str">
        <f t="shared" si="64"/>
        <v/>
      </c>
      <c r="AG310" s="7" t="str">
        <f t="shared" si="65"/>
        <v/>
      </c>
      <c r="AH310" s="7" t="str">
        <f t="shared" si="66"/>
        <v/>
      </c>
      <c r="AI310" s="7" t="str">
        <f t="shared" si="67"/>
        <v/>
      </c>
      <c r="AJ310" s="363" t="str">
        <f t="shared" si="68"/>
        <v/>
      </c>
    </row>
    <row r="311" spans="31:36" x14ac:dyDescent="0.2">
      <c r="AE311" s="362" t="str">
        <f t="shared" si="63"/>
        <v/>
      </c>
      <c r="AF311" s="7" t="str">
        <f t="shared" si="64"/>
        <v/>
      </c>
      <c r="AG311" s="7" t="str">
        <f t="shared" si="65"/>
        <v/>
      </c>
      <c r="AH311" s="7" t="str">
        <f t="shared" si="66"/>
        <v/>
      </c>
      <c r="AI311" s="7" t="str">
        <f t="shared" si="67"/>
        <v/>
      </c>
      <c r="AJ311" s="363" t="str">
        <f t="shared" si="68"/>
        <v/>
      </c>
    </row>
    <row r="312" spans="31:36" x14ac:dyDescent="0.2">
      <c r="AE312" s="362" t="str">
        <f t="shared" si="63"/>
        <v/>
      </c>
      <c r="AF312" s="7" t="str">
        <f t="shared" si="64"/>
        <v/>
      </c>
      <c r="AG312" s="7" t="str">
        <f t="shared" si="65"/>
        <v/>
      </c>
      <c r="AH312" s="7" t="str">
        <f t="shared" si="66"/>
        <v/>
      </c>
      <c r="AI312" s="7" t="str">
        <f t="shared" si="67"/>
        <v/>
      </c>
      <c r="AJ312" s="363" t="str">
        <f t="shared" si="68"/>
        <v/>
      </c>
    </row>
    <row r="313" spans="31:36" x14ac:dyDescent="0.2">
      <c r="AE313" s="362" t="str">
        <f t="shared" si="63"/>
        <v/>
      </c>
      <c r="AF313" s="7" t="str">
        <f t="shared" si="64"/>
        <v/>
      </c>
      <c r="AG313" s="7" t="str">
        <f t="shared" si="65"/>
        <v/>
      </c>
      <c r="AH313" s="7" t="str">
        <f t="shared" si="66"/>
        <v/>
      </c>
      <c r="AI313" s="7" t="str">
        <f t="shared" si="67"/>
        <v/>
      </c>
      <c r="AJ313" s="363" t="str">
        <f t="shared" si="68"/>
        <v/>
      </c>
    </row>
    <row r="314" spans="31:36" x14ac:dyDescent="0.2">
      <c r="AE314" s="362" t="str">
        <f t="shared" si="63"/>
        <v/>
      </c>
      <c r="AF314" s="7" t="str">
        <f t="shared" si="64"/>
        <v/>
      </c>
      <c r="AG314" s="7" t="str">
        <f t="shared" si="65"/>
        <v/>
      </c>
      <c r="AH314" s="7" t="str">
        <f t="shared" si="66"/>
        <v/>
      </c>
      <c r="AI314" s="7" t="str">
        <f t="shared" si="67"/>
        <v/>
      </c>
      <c r="AJ314" s="363" t="str">
        <f t="shared" si="68"/>
        <v/>
      </c>
    </row>
    <row r="315" spans="31:36" x14ac:dyDescent="0.2">
      <c r="AE315" s="362" t="str">
        <f t="shared" si="63"/>
        <v/>
      </c>
      <c r="AF315" s="7" t="str">
        <f t="shared" si="64"/>
        <v/>
      </c>
      <c r="AG315" s="7" t="str">
        <f t="shared" si="65"/>
        <v/>
      </c>
      <c r="AH315" s="7" t="str">
        <f t="shared" si="66"/>
        <v/>
      </c>
      <c r="AI315" s="7" t="str">
        <f t="shared" si="67"/>
        <v/>
      </c>
      <c r="AJ315" s="363" t="str">
        <f t="shared" si="68"/>
        <v/>
      </c>
    </row>
    <row r="316" spans="31:36" x14ac:dyDescent="0.2">
      <c r="AE316" s="362" t="str">
        <f t="shared" si="63"/>
        <v/>
      </c>
      <c r="AF316" s="7" t="str">
        <f t="shared" si="64"/>
        <v/>
      </c>
      <c r="AG316" s="7" t="str">
        <f t="shared" si="65"/>
        <v/>
      </c>
      <c r="AH316" s="7" t="str">
        <f t="shared" si="66"/>
        <v/>
      </c>
      <c r="AI316" s="7" t="str">
        <f t="shared" si="67"/>
        <v/>
      </c>
      <c r="AJ316" s="363" t="str">
        <f t="shared" si="68"/>
        <v/>
      </c>
    </row>
    <row r="317" spans="31:36" x14ac:dyDescent="0.2">
      <c r="AE317" s="362" t="str">
        <f t="shared" si="63"/>
        <v/>
      </c>
      <c r="AF317" s="7" t="str">
        <f t="shared" si="64"/>
        <v/>
      </c>
      <c r="AG317" s="7" t="str">
        <f t="shared" si="65"/>
        <v/>
      </c>
      <c r="AH317" s="7" t="str">
        <f t="shared" si="66"/>
        <v/>
      </c>
      <c r="AI317" s="7" t="str">
        <f t="shared" si="67"/>
        <v/>
      </c>
      <c r="AJ317" s="363" t="str">
        <f t="shared" si="68"/>
        <v/>
      </c>
    </row>
    <row r="318" spans="31:36" x14ac:dyDescent="0.2">
      <c r="AE318" s="362" t="str">
        <f t="shared" si="63"/>
        <v/>
      </c>
      <c r="AF318" s="7" t="str">
        <f t="shared" si="64"/>
        <v/>
      </c>
      <c r="AG318" s="7" t="str">
        <f t="shared" si="65"/>
        <v/>
      </c>
      <c r="AH318" s="7" t="str">
        <f t="shared" si="66"/>
        <v/>
      </c>
      <c r="AI318" s="7" t="str">
        <f t="shared" si="67"/>
        <v/>
      </c>
      <c r="AJ318" s="363" t="str">
        <f t="shared" si="68"/>
        <v/>
      </c>
    </row>
    <row r="319" spans="31:36" x14ac:dyDescent="0.2">
      <c r="AE319" s="362" t="str">
        <f t="shared" si="63"/>
        <v/>
      </c>
      <c r="AF319" s="7" t="str">
        <f t="shared" si="64"/>
        <v/>
      </c>
      <c r="AG319" s="7" t="str">
        <f t="shared" si="65"/>
        <v/>
      </c>
      <c r="AH319" s="7" t="str">
        <f t="shared" si="66"/>
        <v/>
      </c>
      <c r="AI319" s="7" t="str">
        <f t="shared" si="67"/>
        <v/>
      </c>
      <c r="AJ319" s="363" t="str">
        <f t="shared" si="68"/>
        <v/>
      </c>
    </row>
    <row r="320" spans="31:36" x14ac:dyDescent="0.2">
      <c r="AE320" s="362" t="str">
        <f t="shared" si="63"/>
        <v/>
      </c>
      <c r="AF320" s="7" t="str">
        <f t="shared" si="64"/>
        <v/>
      </c>
      <c r="AG320" s="7" t="str">
        <f t="shared" si="65"/>
        <v/>
      </c>
      <c r="AH320" s="7" t="str">
        <f t="shared" si="66"/>
        <v/>
      </c>
      <c r="AI320" s="7" t="str">
        <f t="shared" si="67"/>
        <v/>
      </c>
      <c r="AJ320" s="363" t="str">
        <f t="shared" si="68"/>
        <v/>
      </c>
    </row>
    <row r="321" spans="31:36" x14ac:dyDescent="0.2">
      <c r="AE321" s="362" t="str">
        <f t="shared" si="63"/>
        <v/>
      </c>
      <c r="AF321" s="7" t="str">
        <f t="shared" si="64"/>
        <v/>
      </c>
      <c r="AG321" s="7" t="str">
        <f t="shared" si="65"/>
        <v/>
      </c>
      <c r="AH321" s="7" t="str">
        <f t="shared" si="66"/>
        <v/>
      </c>
      <c r="AI321" s="7" t="str">
        <f t="shared" si="67"/>
        <v/>
      </c>
      <c r="AJ321" s="363" t="str">
        <f t="shared" si="68"/>
        <v/>
      </c>
    </row>
    <row r="322" spans="31:36" x14ac:dyDescent="0.2">
      <c r="AE322" s="362" t="str">
        <f t="shared" si="63"/>
        <v/>
      </c>
      <c r="AF322" s="7" t="str">
        <f t="shared" si="64"/>
        <v/>
      </c>
      <c r="AG322" s="7" t="str">
        <f t="shared" si="65"/>
        <v/>
      </c>
      <c r="AH322" s="7" t="str">
        <f t="shared" si="66"/>
        <v/>
      </c>
      <c r="AI322" s="7" t="str">
        <f t="shared" si="67"/>
        <v/>
      </c>
      <c r="AJ322" s="363" t="str">
        <f t="shared" si="68"/>
        <v/>
      </c>
    </row>
    <row r="323" spans="31:36" x14ac:dyDescent="0.2">
      <c r="AE323" s="362" t="str">
        <f t="shared" si="63"/>
        <v/>
      </c>
      <c r="AF323" s="7" t="str">
        <f t="shared" si="64"/>
        <v/>
      </c>
      <c r="AG323" s="7" t="str">
        <f t="shared" si="65"/>
        <v/>
      </c>
      <c r="AH323" s="7" t="str">
        <f t="shared" si="66"/>
        <v/>
      </c>
      <c r="AI323" s="7" t="str">
        <f t="shared" si="67"/>
        <v/>
      </c>
      <c r="AJ323" s="363" t="str">
        <f t="shared" si="68"/>
        <v/>
      </c>
    </row>
    <row r="324" spans="31:36" x14ac:dyDescent="0.2">
      <c r="AE324" s="362" t="str">
        <f t="shared" si="63"/>
        <v/>
      </c>
      <c r="AF324" s="7" t="str">
        <f t="shared" si="64"/>
        <v/>
      </c>
      <c r="AG324" s="7" t="str">
        <f t="shared" si="65"/>
        <v/>
      </c>
      <c r="AH324" s="7" t="str">
        <f t="shared" si="66"/>
        <v/>
      </c>
      <c r="AI324" s="7" t="str">
        <f t="shared" si="67"/>
        <v/>
      </c>
      <c r="AJ324" s="363" t="str">
        <f t="shared" si="68"/>
        <v/>
      </c>
    </row>
    <row r="325" spans="31:36" x14ac:dyDescent="0.2">
      <c r="AE325" s="362" t="str">
        <f t="shared" si="63"/>
        <v/>
      </c>
      <c r="AF325" s="7" t="str">
        <f t="shared" si="64"/>
        <v/>
      </c>
      <c r="AG325" s="7" t="str">
        <f t="shared" si="65"/>
        <v/>
      </c>
      <c r="AH325" s="7" t="str">
        <f t="shared" si="66"/>
        <v/>
      </c>
      <c r="AI325" s="7" t="str">
        <f t="shared" si="67"/>
        <v/>
      </c>
      <c r="AJ325" s="363" t="str">
        <f t="shared" si="68"/>
        <v/>
      </c>
    </row>
    <row r="326" spans="31:36" x14ac:dyDescent="0.2">
      <c r="AE326" s="362" t="str">
        <f t="shared" si="63"/>
        <v/>
      </c>
      <c r="AF326" s="7" t="str">
        <f t="shared" si="64"/>
        <v/>
      </c>
      <c r="AG326" s="7" t="str">
        <f t="shared" si="65"/>
        <v/>
      </c>
      <c r="AH326" s="7" t="str">
        <f t="shared" si="66"/>
        <v/>
      </c>
      <c r="AI326" s="7" t="str">
        <f t="shared" si="67"/>
        <v/>
      </c>
      <c r="AJ326" s="363" t="str">
        <f t="shared" si="68"/>
        <v/>
      </c>
    </row>
    <row r="327" spans="31:36" x14ac:dyDescent="0.2">
      <c r="AE327" s="362" t="str">
        <f t="shared" si="63"/>
        <v/>
      </c>
      <c r="AF327" s="7" t="str">
        <f t="shared" si="64"/>
        <v/>
      </c>
      <c r="AG327" s="7" t="str">
        <f t="shared" si="65"/>
        <v/>
      </c>
      <c r="AH327" s="7" t="str">
        <f t="shared" si="66"/>
        <v/>
      </c>
      <c r="AI327" s="7" t="str">
        <f t="shared" si="67"/>
        <v/>
      </c>
      <c r="AJ327" s="363" t="str">
        <f t="shared" si="68"/>
        <v/>
      </c>
    </row>
    <row r="328" spans="31:36" x14ac:dyDescent="0.2">
      <c r="AE328" s="362" t="str">
        <f t="shared" si="63"/>
        <v/>
      </c>
      <c r="AF328" s="7" t="str">
        <f t="shared" si="64"/>
        <v/>
      </c>
      <c r="AG328" s="7" t="str">
        <f t="shared" si="65"/>
        <v/>
      </c>
      <c r="AH328" s="7" t="str">
        <f t="shared" si="66"/>
        <v/>
      </c>
      <c r="AI328" s="7" t="str">
        <f t="shared" si="67"/>
        <v/>
      </c>
      <c r="AJ328" s="363" t="str">
        <f t="shared" si="68"/>
        <v/>
      </c>
    </row>
    <row r="329" spans="31:36" x14ac:dyDescent="0.2">
      <c r="AE329" s="362" t="str">
        <f t="shared" si="63"/>
        <v/>
      </c>
      <c r="AF329" s="7" t="str">
        <f t="shared" si="64"/>
        <v/>
      </c>
      <c r="AG329" s="7" t="str">
        <f t="shared" si="65"/>
        <v/>
      </c>
      <c r="AH329" s="7" t="str">
        <f t="shared" si="66"/>
        <v/>
      </c>
      <c r="AI329" s="7" t="str">
        <f t="shared" si="67"/>
        <v/>
      </c>
      <c r="AJ329" s="363" t="str">
        <f t="shared" si="68"/>
        <v/>
      </c>
    </row>
    <row r="330" spans="31:36" x14ac:dyDescent="0.2">
      <c r="AE330" s="362" t="str">
        <f t="shared" si="63"/>
        <v/>
      </c>
      <c r="AF330" s="7" t="str">
        <f t="shared" si="64"/>
        <v/>
      </c>
      <c r="AG330" s="7" t="str">
        <f t="shared" si="65"/>
        <v/>
      </c>
      <c r="AH330" s="7" t="str">
        <f t="shared" si="66"/>
        <v/>
      </c>
      <c r="AI330" s="7" t="str">
        <f t="shared" si="67"/>
        <v/>
      </c>
      <c r="AJ330" s="363" t="str">
        <f t="shared" si="68"/>
        <v/>
      </c>
    </row>
    <row r="331" spans="31:36" x14ac:dyDescent="0.2">
      <c r="AE331" s="362" t="str">
        <f t="shared" si="63"/>
        <v/>
      </c>
      <c r="AF331" s="7" t="str">
        <f t="shared" si="64"/>
        <v/>
      </c>
      <c r="AG331" s="7" t="str">
        <f t="shared" si="65"/>
        <v/>
      </c>
      <c r="AH331" s="7" t="str">
        <f t="shared" si="66"/>
        <v/>
      </c>
      <c r="AI331" s="7" t="str">
        <f t="shared" si="67"/>
        <v/>
      </c>
      <c r="AJ331" s="363" t="str">
        <f t="shared" si="68"/>
        <v/>
      </c>
    </row>
    <row r="332" spans="31:36" x14ac:dyDescent="0.2">
      <c r="AE332" s="362" t="str">
        <f t="shared" si="63"/>
        <v/>
      </c>
      <c r="AF332" s="7" t="str">
        <f t="shared" si="64"/>
        <v/>
      </c>
      <c r="AG332" s="7" t="str">
        <f t="shared" si="65"/>
        <v/>
      </c>
      <c r="AH332" s="7" t="str">
        <f t="shared" si="66"/>
        <v/>
      </c>
      <c r="AI332" s="7" t="str">
        <f t="shared" si="67"/>
        <v/>
      </c>
      <c r="AJ332" s="363" t="str">
        <f t="shared" si="68"/>
        <v/>
      </c>
    </row>
    <row r="333" spans="31:36" x14ac:dyDescent="0.2">
      <c r="AE333" s="362" t="str">
        <f t="shared" si="63"/>
        <v/>
      </c>
      <c r="AF333" s="7" t="str">
        <f t="shared" si="64"/>
        <v/>
      </c>
      <c r="AG333" s="7" t="str">
        <f t="shared" si="65"/>
        <v/>
      </c>
      <c r="AH333" s="7" t="str">
        <f t="shared" si="66"/>
        <v/>
      </c>
      <c r="AI333" s="7" t="str">
        <f t="shared" si="67"/>
        <v/>
      </c>
      <c r="AJ333" s="363" t="str">
        <f t="shared" si="68"/>
        <v/>
      </c>
    </row>
    <row r="334" spans="31:36" x14ac:dyDescent="0.2">
      <c r="AE334" s="362" t="str">
        <f t="shared" si="63"/>
        <v/>
      </c>
      <c r="AF334" s="7" t="str">
        <f t="shared" si="64"/>
        <v/>
      </c>
      <c r="AG334" s="7" t="str">
        <f t="shared" si="65"/>
        <v/>
      </c>
      <c r="AH334" s="7" t="str">
        <f t="shared" si="66"/>
        <v/>
      </c>
      <c r="AI334" s="7" t="str">
        <f t="shared" si="67"/>
        <v/>
      </c>
      <c r="AJ334" s="363" t="str">
        <f t="shared" si="68"/>
        <v/>
      </c>
    </row>
    <row r="335" spans="31:36" x14ac:dyDescent="0.2">
      <c r="AE335" s="362" t="str">
        <f t="shared" si="63"/>
        <v/>
      </c>
      <c r="AF335" s="7" t="str">
        <f t="shared" si="64"/>
        <v/>
      </c>
      <c r="AG335" s="7" t="str">
        <f t="shared" si="65"/>
        <v/>
      </c>
      <c r="AH335" s="7" t="str">
        <f t="shared" si="66"/>
        <v/>
      </c>
      <c r="AI335" s="7" t="str">
        <f t="shared" si="67"/>
        <v/>
      </c>
      <c r="AJ335" s="363" t="str">
        <f t="shared" si="68"/>
        <v/>
      </c>
    </row>
    <row r="336" spans="31:36" x14ac:dyDescent="0.2">
      <c r="AE336" s="362" t="str">
        <f t="shared" si="63"/>
        <v/>
      </c>
      <c r="AF336" s="7" t="str">
        <f t="shared" si="64"/>
        <v/>
      </c>
      <c r="AG336" s="7" t="str">
        <f t="shared" si="65"/>
        <v/>
      </c>
      <c r="AH336" s="7" t="str">
        <f t="shared" si="66"/>
        <v/>
      </c>
      <c r="AI336" s="7" t="str">
        <f t="shared" si="67"/>
        <v/>
      </c>
      <c r="AJ336" s="363" t="str">
        <f t="shared" si="68"/>
        <v/>
      </c>
    </row>
    <row r="337" spans="31:36" x14ac:dyDescent="0.2">
      <c r="AE337" s="362" t="str">
        <f t="shared" ref="AE337:AE339" si="69">CONCATENER_MODELCENTER(K337,$F337,$G337)</f>
        <v/>
      </c>
      <c r="AF337" s="7" t="str">
        <f t="shared" ref="AF337:AF339" si="70">CONCATENER_MODELCENTER(L337,$F337,$G337)</f>
        <v/>
      </c>
      <c r="AG337" s="7" t="str">
        <f t="shared" ref="AG337:AG339" si="71">CONCATENER_MODELCENTER(M337,$F337,$G337)</f>
        <v/>
      </c>
      <c r="AH337" s="7" t="str">
        <f t="shared" ref="AH337:AH339" si="72">CONCATENER_MODELCENTER(N337,$F337,$G337)</f>
        <v/>
      </c>
      <c r="AI337" s="7" t="str">
        <f t="shared" ref="AI337:AI339" si="73">CONCATENER_MODELCENTER(O337,$F337,$G337)</f>
        <v/>
      </c>
      <c r="AJ337" s="363" t="str">
        <f t="shared" ref="AJ337:AJ339" si="74">CONCATENER_MODELCENTER(P337,$F337,$G337)</f>
        <v/>
      </c>
    </row>
    <row r="338" spans="31:36" x14ac:dyDescent="0.2">
      <c r="AE338" s="362" t="str">
        <f t="shared" si="69"/>
        <v/>
      </c>
      <c r="AF338" s="7" t="str">
        <f t="shared" si="70"/>
        <v/>
      </c>
      <c r="AG338" s="7" t="str">
        <f t="shared" si="71"/>
        <v/>
      </c>
      <c r="AH338" s="7" t="str">
        <f t="shared" si="72"/>
        <v/>
      </c>
      <c r="AI338" s="7" t="str">
        <f t="shared" si="73"/>
        <v/>
      </c>
      <c r="AJ338" s="363" t="str">
        <f t="shared" si="74"/>
        <v/>
      </c>
    </row>
    <row r="339" spans="31:36" ht="13.5" thickBot="1" x14ac:dyDescent="0.25">
      <c r="AE339" s="364" t="str">
        <f t="shared" si="69"/>
        <v/>
      </c>
      <c r="AF339" s="365" t="str">
        <f t="shared" si="70"/>
        <v/>
      </c>
      <c r="AG339" s="365" t="str">
        <f t="shared" si="71"/>
        <v/>
      </c>
      <c r="AH339" s="365" t="str">
        <f t="shared" si="72"/>
        <v/>
      </c>
      <c r="AI339" s="365" t="str">
        <f t="shared" si="73"/>
        <v/>
      </c>
      <c r="AJ339" s="366" t="str">
        <f t="shared" si="74"/>
        <v/>
      </c>
    </row>
  </sheetData>
  <autoFilter ref="B15:S279"/>
  <dataConsolidate/>
  <mergeCells count="39">
    <mergeCell ref="B271:B279"/>
    <mergeCell ref="C233:C236"/>
    <mergeCell ref="C213:C214"/>
    <mergeCell ref="C277:C278"/>
    <mergeCell ref="C163:C182"/>
    <mergeCell ref="C221:C232"/>
    <mergeCell ref="C204:C207"/>
    <mergeCell ref="C272:C276"/>
    <mergeCell ref="C237:C241"/>
    <mergeCell ref="C218:C220"/>
    <mergeCell ref="C208:C209"/>
    <mergeCell ref="C211:C212"/>
    <mergeCell ref="B221:B269"/>
    <mergeCell ref="C242:C269"/>
    <mergeCell ref="C195:C197"/>
    <mergeCell ref="B199:B220"/>
    <mergeCell ref="V3:V32"/>
    <mergeCell ref="B163:B198"/>
    <mergeCell ref="C183:C189"/>
    <mergeCell ref="B16:B123"/>
    <mergeCell ref="C112:C117"/>
    <mergeCell ref="C118:C123"/>
    <mergeCell ref="C72:C86"/>
    <mergeCell ref="C87:C89"/>
    <mergeCell ref="I6:P6"/>
    <mergeCell ref="B2:T2"/>
    <mergeCell ref="B3:T3"/>
    <mergeCell ref="E8:E12"/>
    <mergeCell ref="E6:E7"/>
    <mergeCell ref="B124:B162"/>
    <mergeCell ref="B6:C7"/>
    <mergeCell ref="C90:C102"/>
    <mergeCell ref="C103:C111"/>
    <mergeCell ref="C16:C71"/>
    <mergeCell ref="C138:C142"/>
    <mergeCell ref="C133:C137"/>
    <mergeCell ref="C129:C132"/>
    <mergeCell ref="C143:C145"/>
    <mergeCell ref="C146:C162"/>
  </mergeCells>
  <phoneticPr fontId="0" type="noConversion"/>
  <dataValidations disablePrompts="1" count="1">
    <dataValidation type="list" allowBlank="1" showInputMessage="1" showErrorMessage="1" sqref="G16:G279">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5</xdr:col>
                    <xdr:colOff>1257300</xdr:colOff>
                    <xdr:row>5</xdr:row>
                    <xdr:rowOff>171450</xdr:rowOff>
                  </from>
                  <to>
                    <xdr:col>7</xdr:col>
                    <xdr:colOff>0</xdr:colOff>
                    <xdr:row>7</xdr:row>
                    <xdr:rowOff>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5</xdr:col>
                    <xdr:colOff>1209675</xdr:colOff>
                    <xdr:row>8</xdr:row>
                    <xdr:rowOff>0</xdr:rowOff>
                  </from>
                  <to>
                    <xdr:col>7</xdr:col>
                    <xdr:colOff>200025</xdr:colOff>
                    <xdr:row>9</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'Listes MC'!$B$2:$B$8</xm:f>
          </x14:formula1>
          <xm:sqref>F16:F279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E144"/>
  <sheetViews>
    <sheetView workbookViewId="0">
      <selection activeCell="A4" sqref="A4:D4"/>
    </sheetView>
  </sheetViews>
  <sheetFormatPr baseColWidth="10" defaultRowHeight="12.75" x14ac:dyDescent="0.2"/>
  <cols>
    <col min="1" max="1" width="48" bestFit="1" customWidth="1"/>
    <col min="2" max="2" width="7.5703125" bestFit="1" customWidth="1"/>
    <col min="3" max="3" width="10.85546875" bestFit="1" customWidth="1"/>
    <col min="4" max="4" width="76.7109375" bestFit="1" customWidth="1"/>
  </cols>
  <sheetData>
    <row r="1" spans="1:5" ht="19.5" customHeight="1" x14ac:dyDescent="0.2">
      <c r="A1" s="354" t="s">
        <v>608</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1001</v>
      </c>
      <c r="B10" s="81"/>
      <c r="C10" s="81"/>
      <c r="D10" s="81"/>
      <c r="E10" s="81"/>
    </row>
    <row r="11" spans="1:5" ht="13.5" thickTop="1" x14ac:dyDescent="0.2">
      <c r="A11" t="s">
        <v>693</v>
      </c>
      <c r="B11" t="s">
        <v>13</v>
      </c>
      <c r="C11" t="s">
        <v>347</v>
      </c>
      <c r="D11" t="s">
        <v>161</v>
      </c>
      <c r="E11" t="s">
        <v>12</v>
      </c>
    </row>
    <row r="12" spans="1:5" x14ac:dyDescent="0.2">
      <c r="A12" t="s">
        <v>696</v>
      </c>
      <c r="B12" t="s">
        <v>13</v>
      </c>
      <c r="C12" t="s">
        <v>347</v>
      </c>
      <c r="D12" t="s">
        <v>132</v>
      </c>
      <c r="E12" t="s">
        <v>51</v>
      </c>
    </row>
    <row r="13" spans="1:5" x14ac:dyDescent="0.2">
      <c r="A13" t="s">
        <v>695</v>
      </c>
      <c r="B13" t="s">
        <v>13</v>
      </c>
      <c r="C13" t="s">
        <v>347</v>
      </c>
      <c r="D13" t="s">
        <v>134</v>
      </c>
      <c r="E13" t="s">
        <v>51</v>
      </c>
    </row>
    <row r="14" spans="1:5" x14ac:dyDescent="0.2">
      <c r="A14" t="s">
        <v>629</v>
      </c>
      <c r="B14" t="s">
        <v>13</v>
      </c>
      <c r="C14" t="s">
        <v>347</v>
      </c>
      <c r="D14" t="s">
        <v>136</v>
      </c>
      <c r="E14" t="s">
        <v>42</v>
      </c>
    </row>
    <row r="15" spans="1:5" x14ac:dyDescent="0.2">
      <c r="A15" t="s">
        <v>630</v>
      </c>
      <c r="B15" t="s">
        <v>13</v>
      </c>
      <c r="C15" t="s">
        <v>347</v>
      </c>
      <c r="D15" t="s">
        <v>540</v>
      </c>
      <c r="E15" t="s">
        <v>42</v>
      </c>
    </row>
    <row r="16" spans="1:5" x14ac:dyDescent="0.2">
      <c r="A16" t="s">
        <v>631</v>
      </c>
      <c r="B16" t="s">
        <v>13</v>
      </c>
      <c r="C16" t="s">
        <v>347</v>
      </c>
      <c r="D16" t="s">
        <v>138</v>
      </c>
      <c r="E16" t="s">
        <v>42</v>
      </c>
    </row>
    <row r="17" spans="1:5" x14ac:dyDescent="0.2">
      <c r="A17" t="s">
        <v>632</v>
      </c>
      <c r="B17" t="s">
        <v>13</v>
      </c>
      <c r="C17" t="s">
        <v>347</v>
      </c>
      <c r="D17" t="s">
        <v>140</v>
      </c>
      <c r="E17" t="s">
        <v>42</v>
      </c>
    </row>
    <row r="18" spans="1:5" x14ac:dyDescent="0.2">
      <c r="A18" t="s">
        <v>633</v>
      </c>
      <c r="B18" t="s">
        <v>13</v>
      </c>
      <c r="C18" t="s">
        <v>347</v>
      </c>
      <c r="D18" t="s">
        <v>541</v>
      </c>
      <c r="E18" t="s">
        <v>42</v>
      </c>
    </row>
    <row r="19" spans="1:5" x14ac:dyDescent="0.2">
      <c r="A19" t="s">
        <v>645</v>
      </c>
      <c r="B19" t="s">
        <v>13</v>
      </c>
      <c r="C19" t="s">
        <v>347</v>
      </c>
      <c r="D19" t="s">
        <v>78</v>
      </c>
      <c r="E19" t="s">
        <v>51</v>
      </c>
    </row>
    <row r="20" spans="1:5" x14ac:dyDescent="0.2">
      <c r="A20" t="s">
        <v>646</v>
      </c>
      <c r="B20" t="s">
        <v>13</v>
      </c>
      <c r="C20" t="s">
        <v>347</v>
      </c>
      <c r="D20" t="s">
        <v>544</v>
      </c>
      <c r="E20" t="s">
        <v>51</v>
      </c>
    </row>
    <row r="21" spans="1:5" x14ac:dyDescent="0.2">
      <c r="A21" t="s">
        <v>647</v>
      </c>
      <c r="B21" t="s">
        <v>13</v>
      </c>
      <c r="C21" t="s">
        <v>347</v>
      </c>
      <c r="D21" t="s">
        <v>79</v>
      </c>
      <c r="E21" t="s">
        <v>51</v>
      </c>
    </row>
    <row r="22" spans="1:5" x14ac:dyDescent="0.2">
      <c r="A22" t="s">
        <v>648</v>
      </c>
      <c r="B22" t="s">
        <v>13</v>
      </c>
      <c r="C22" t="s">
        <v>347</v>
      </c>
      <c r="D22" t="s">
        <v>145</v>
      </c>
      <c r="E22" t="s">
        <v>51</v>
      </c>
    </row>
    <row r="23" spans="1:5" x14ac:dyDescent="0.2">
      <c r="A23" t="s">
        <v>649</v>
      </c>
      <c r="B23" t="s">
        <v>13</v>
      </c>
      <c r="C23" t="s">
        <v>347</v>
      </c>
      <c r="D23" t="s">
        <v>545</v>
      </c>
      <c r="E23" t="s">
        <v>51</v>
      </c>
    </row>
    <row r="24" spans="1:5" x14ac:dyDescent="0.2">
      <c r="A24" t="s">
        <v>650</v>
      </c>
      <c r="B24" t="s">
        <v>13</v>
      </c>
      <c r="C24" t="s">
        <v>347</v>
      </c>
      <c r="D24" t="s">
        <v>146</v>
      </c>
      <c r="E24" t="s">
        <v>51</v>
      </c>
    </row>
    <row r="25" spans="1:5" x14ac:dyDescent="0.2">
      <c r="A25" t="s">
        <v>697</v>
      </c>
      <c r="B25" t="s">
        <v>13</v>
      </c>
      <c r="C25" t="s">
        <v>347</v>
      </c>
      <c r="D25" t="s">
        <v>355</v>
      </c>
      <c r="E25" t="s">
        <v>51</v>
      </c>
    </row>
    <row r="26" spans="1:5" x14ac:dyDescent="0.2">
      <c r="A26" t="s">
        <v>698</v>
      </c>
      <c r="B26" t="s">
        <v>13</v>
      </c>
      <c r="C26" t="s">
        <v>347</v>
      </c>
      <c r="D26" t="s">
        <v>357</v>
      </c>
      <c r="E26" t="s">
        <v>51</v>
      </c>
    </row>
    <row r="27" spans="1:5" x14ac:dyDescent="0.2">
      <c r="A27" t="s">
        <v>641</v>
      </c>
      <c r="B27" t="s">
        <v>13</v>
      </c>
      <c r="C27" t="s">
        <v>347</v>
      </c>
      <c r="D27" t="s">
        <v>368</v>
      </c>
      <c r="E27" t="s">
        <v>12</v>
      </c>
    </row>
    <row r="28" spans="1:5" x14ac:dyDescent="0.2">
      <c r="A28" t="s">
        <v>644</v>
      </c>
      <c r="B28" t="s">
        <v>13</v>
      </c>
      <c r="C28" t="s">
        <v>347</v>
      </c>
      <c r="D28" t="s">
        <v>549</v>
      </c>
      <c r="E28" t="s">
        <v>12</v>
      </c>
    </row>
    <row r="29" spans="1:5" x14ac:dyDescent="0.2">
      <c r="A29" t="s">
        <v>642</v>
      </c>
      <c r="B29" t="s">
        <v>13</v>
      </c>
      <c r="C29" t="s">
        <v>347</v>
      </c>
      <c r="D29" t="s">
        <v>410</v>
      </c>
      <c r="E29" t="s">
        <v>12</v>
      </c>
    </row>
    <row r="30" spans="1:5" x14ac:dyDescent="0.2">
      <c r="A30" t="s">
        <v>839</v>
      </c>
      <c r="B30" t="s">
        <v>13</v>
      </c>
      <c r="C30" t="s">
        <v>347</v>
      </c>
      <c r="D30" t="s">
        <v>499</v>
      </c>
      <c r="E30" t="s">
        <v>12</v>
      </c>
    </row>
    <row r="31" spans="1:5" x14ac:dyDescent="0.2">
      <c r="A31" t="s">
        <v>840</v>
      </c>
      <c r="B31" t="s">
        <v>13</v>
      </c>
      <c r="C31" t="s">
        <v>347</v>
      </c>
      <c r="D31" t="s">
        <v>498</v>
      </c>
      <c r="E31" t="s">
        <v>12</v>
      </c>
    </row>
    <row r="32" spans="1:5" x14ac:dyDescent="0.2">
      <c r="A32" t="s">
        <v>717</v>
      </c>
      <c r="B32" t="s">
        <v>13</v>
      </c>
      <c r="C32" t="s">
        <v>347</v>
      </c>
      <c r="D32" t="s">
        <v>148</v>
      </c>
      <c r="E32" t="s">
        <v>42</v>
      </c>
    </row>
    <row r="33" spans="1:5" x14ac:dyDescent="0.2">
      <c r="A33" t="s">
        <v>718</v>
      </c>
      <c r="B33" t="s">
        <v>13</v>
      </c>
      <c r="C33" t="s">
        <v>347</v>
      </c>
      <c r="D33" t="s">
        <v>150</v>
      </c>
      <c r="E33" t="s">
        <v>12</v>
      </c>
    </row>
    <row r="34" spans="1:5" x14ac:dyDescent="0.2">
      <c r="A34" t="s">
        <v>719</v>
      </c>
      <c r="B34" t="s">
        <v>13</v>
      </c>
      <c r="C34" t="s">
        <v>347</v>
      </c>
      <c r="D34" t="s">
        <v>553</v>
      </c>
      <c r="E34" t="s">
        <v>12</v>
      </c>
    </row>
    <row r="35" spans="1:5" x14ac:dyDescent="0.2">
      <c r="A35" t="s">
        <v>720</v>
      </c>
      <c r="B35" t="s">
        <v>13</v>
      </c>
      <c r="C35" t="s">
        <v>347</v>
      </c>
      <c r="D35" t="s">
        <v>152</v>
      </c>
      <c r="E35" t="s">
        <v>12</v>
      </c>
    </row>
    <row r="36" spans="1:5" x14ac:dyDescent="0.2">
      <c r="A36" t="s">
        <v>721</v>
      </c>
      <c r="B36" t="s">
        <v>13</v>
      </c>
      <c r="C36" t="s">
        <v>347</v>
      </c>
      <c r="D36" t="s">
        <v>154</v>
      </c>
      <c r="E36" t="s">
        <v>12</v>
      </c>
    </row>
    <row r="37" spans="1:5" x14ac:dyDescent="0.2">
      <c r="A37" t="s">
        <v>724</v>
      </c>
      <c r="B37" t="s">
        <v>13</v>
      </c>
      <c r="C37" t="s">
        <v>347</v>
      </c>
      <c r="D37" t="s">
        <v>82</v>
      </c>
      <c r="E37" t="s">
        <v>12</v>
      </c>
    </row>
    <row r="38" spans="1:5" ht="18" thickBot="1" x14ac:dyDescent="0.35">
      <c r="A38" s="81"/>
      <c r="B38" s="81"/>
      <c r="C38" s="81"/>
      <c r="D38" s="81"/>
      <c r="E38" s="81"/>
    </row>
    <row r="39" spans="1:5" ht="18.75" thickTop="1" thickBot="1" x14ac:dyDescent="0.35">
      <c r="A39" s="81" t="s">
        <v>1002</v>
      </c>
      <c r="B39" s="81"/>
      <c r="C39" s="81"/>
      <c r="D39" s="81"/>
      <c r="E39" s="81"/>
    </row>
    <row r="40" spans="1:5" ht="13.5" thickTop="1" x14ac:dyDescent="0.2">
      <c r="A40" t="s">
        <v>699</v>
      </c>
      <c r="B40" t="s">
        <v>13</v>
      </c>
      <c r="C40" t="s">
        <v>347</v>
      </c>
      <c r="D40" t="s">
        <v>359</v>
      </c>
      <c r="E40" t="s">
        <v>12</v>
      </c>
    </row>
    <row r="41" spans="1:5" x14ac:dyDescent="0.2">
      <c r="A41" t="s">
        <v>701</v>
      </c>
      <c r="B41" t="s">
        <v>13</v>
      </c>
      <c r="C41" t="s">
        <v>347</v>
      </c>
      <c r="D41" t="s">
        <v>361</v>
      </c>
      <c r="E41" t="s">
        <v>12</v>
      </c>
    </row>
    <row r="42" spans="1:5" x14ac:dyDescent="0.2">
      <c r="A42" t="s">
        <v>702</v>
      </c>
      <c r="B42" t="s">
        <v>13</v>
      </c>
      <c r="C42" t="s">
        <v>347</v>
      </c>
      <c r="D42" t="s">
        <v>546</v>
      </c>
      <c r="E42" t="s">
        <v>12</v>
      </c>
    </row>
    <row r="43" spans="1:5" x14ac:dyDescent="0.2">
      <c r="A43" t="s">
        <v>703</v>
      </c>
      <c r="B43" t="s">
        <v>13</v>
      </c>
      <c r="C43" t="s">
        <v>347</v>
      </c>
      <c r="D43" t="s">
        <v>547</v>
      </c>
      <c r="E43" t="s">
        <v>12</v>
      </c>
    </row>
    <row r="44" spans="1:5" x14ac:dyDescent="0.2">
      <c r="A44" t="s">
        <v>700</v>
      </c>
      <c r="B44" t="s">
        <v>13</v>
      </c>
      <c r="C44" t="s">
        <v>347</v>
      </c>
      <c r="D44" t="s">
        <v>363</v>
      </c>
      <c r="E44" t="s">
        <v>12</v>
      </c>
    </row>
    <row r="45" spans="1:5" x14ac:dyDescent="0.2">
      <c r="A45" t="s">
        <v>704</v>
      </c>
      <c r="B45" t="s">
        <v>13</v>
      </c>
      <c r="C45" t="s">
        <v>347</v>
      </c>
      <c r="D45" t="s">
        <v>365</v>
      </c>
      <c r="E45" t="s">
        <v>12</v>
      </c>
    </row>
    <row r="46" spans="1:5" x14ac:dyDescent="0.2">
      <c r="A46" t="s">
        <v>639</v>
      </c>
      <c r="B46" t="s">
        <v>13</v>
      </c>
      <c r="C46" t="s">
        <v>347</v>
      </c>
      <c r="D46" t="s">
        <v>366</v>
      </c>
      <c r="E46" t="s">
        <v>12</v>
      </c>
    </row>
    <row r="47" spans="1:5" x14ac:dyDescent="0.2">
      <c r="A47" t="s">
        <v>643</v>
      </c>
      <c r="B47" t="s">
        <v>13</v>
      </c>
      <c r="C47" t="s">
        <v>347</v>
      </c>
      <c r="D47" t="s">
        <v>548</v>
      </c>
      <c r="E47" t="s">
        <v>12</v>
      </c>
    </row>
    <row r="48" spans="1:5" x14ac:dyDescent="0.2">
      <c r="A48" t="s">
        <v>640</v>
      </c>
      <c r="B48" t="s">
        <v>13</v>
      </c>
      <c r="C48" t="s">
        <v>347</v>
      </c>
      <c r="D48" t="s">
        <v>367</v>
      </c>
      <c r="E48" t="s">
        <v>12</v>
      </c>
    </row>
    <row r="49" spans="1:5" ht="18" thickBot="1" x14ac:dyDescent="0.35">
      <c r="A49" s="81"/>
      <c r="B49" s="81"/>
      <c r="C49" s="81"/>
      <c r="D49" s="81"/>
      <c r="E49" s="81"/>
    </row>
    <row r="50" spans="1:5" ht="18.75" thickTop="1" thickBot="1" x14ac:dyDescent="0.35">
      <c r="A50" s="81" t="s">
        <v>1003</v>
      </c>
      <c r="B50" s="81"/>
      <c r="C50" s="81"/>
      <c r="D50" s="81"/>
      <c r="E50" s="81"/>
    </row>
    <row r="51" spans="1:5" ht="13.5" thickTop="1" x14ac:dyDescent="0.2">
      <c r="A51" t="s">
        <v>733</v>
      </c>
      <c r="B51" t="s">
        <v>13</v>
      </c>
      <c r="C51" t="s">
        <v>347</v>
      </c>
      <c r="D51" t="s">
        <v>86</v>
      </c>
      <c r="E51" t="s">
        <v>12</v>
      </c>
    </row>
    <row r="52" spans="1:5" x14ac:dyDescent="0.2">
      <c r="A52" t="s">
        <v>659</v>
      </c>
      <c r="B52" t="s">
        <v>13</v>
      </c>
      <c r="C52" t="s">
        <v>347</v>
      </c>
      <c r="D52" t="s">
        <v>87</v>
      </c>
      <c r="E52" t="s">
        <v>42</v>
      </c>
    </row>
    <row r="53" spans="1:5" ht="18" thickBot="1" x14ac:dyDescent="0.35">
      <c r="A53" s="81"/>
      <c r="B53" s="81"/>
      <c r="C53" s="81"/>
      <c r="D53" s="81"/>
      <c r="E53" s="81"/>
    </row>
    <row r="54" spans="1:5" ht="18.75" thickTop="1" thickBot="1" x14ac:dyDescent="0.35">
      <c r="A54" s="81" t="s">
        <v>1004</v>
      </c>
      <c r="B54" s="81"/>
      <c r="C54" s="81"/>
      <c r="D54" s="81"/>
      <c r="E54" s="81"/>
    </row>
    <row r="55" spans="1:5" ht="13.5" thickTop="1" x14ac:dyDescent="0.2">
      <c r="A55" t="s">
        <v>734</v>
      </c>
      <c r="B55" t="s">
        <v>13</v>
      </c>
      <c r="C55" t="s">
        <v>347</v>
      </c>
      <c r="D55" t="s">
        <v>207</v>
      </c>
      <c r="E55" t="s">
        <v>462</v>
      </c>
    </row>
    <row r="56" spans="1:5" x14ac:dyDescent="0.2">
      <c r="A56" t="s">
        <v>735</v>
      </c>
      <c r="B56" t="s">
        <v>13</v>
      </c>
      <c r="C56" t="s">
        <v>347</v>
      </c>
      <c r="D56" t="s">
        <v>213</v>
      </c>
      <c r="E56" t="s">
        <v>51</v>
      </c>
    </row>
    <row r="57" spans="1:5" x14ac:dyDescent="0.2">
      <c r="A57" t="s">
        <v>736</v>
      </c>
      <c r="B57" t="s">
        <v>13</v>
      </c>
      <c r="C57" t="s">
        <v>347</v>
      </c>
      <c r="D57" t="s">
        <v>210</v>
      </c>
      <c r="E57" t="s">
        <v>51</v>
      </c>
    </row>
    <row r="58" spans="1:5" x14ac:dyDescent="0.2">
      <c r="A58" t="s">
        <v>737</v>
      </c>
      <c r="B58" t="s">
        <v>13</v>
      </c>
      <c r="C58" t="s">
        <v>347</v>
      </c>
      <c r="D58" t="s">
        <v>214</v>
      </c>
      <c r="E58" t="s">
        <v>42</v>
      </c>
    </row>
    <row r="59" spans="1:5" x14ac:dyDescent="0.2">
      <c r="A59" t="s">
        <v>738</v>
      </c>
      <c r="B59" t="s">
        <v>13</v>
      </c>
      <c r="C59" t="s">
        <v>347</v>
      </c>
      <c r="D59" t="s">
        <v>215</v>
      </c>
      <c r="E59" t="s">
        <v>51</v>
      </c>
    </row>
    <row r="60" spans="1:5" x14ac:dyDescent="0.2">
      <c r="A60" t="s">
        <v>741</v>
      </c>
      <c r="B60" t="s">
        <v>13</v>
      </c>
      <c r="C60" t="s">
        <v>347</v>
      </c>
      <c r="D60" t="s">
        <v>216</v>
      </c>
      <c r="E60" t="s">
        <v>12</v>
      </c>
    </row>
    <row r="61" spans="1:5" x14ac:dyDescent="0.2">
      <c r="A61" t="s">
        <v>740</v>
      </c>
      <c r="B61" t="s">
        <v>13</v>
      </c>
      <c r="C61" t="s">
        <v>347</v>
      </c>
      <c r="D61" t="s">
        <v>217</v>
      </c>
      <c r="E61" t="s">
        <v>12</v>
      </c>
    </row>
    <row r="62" spans="1:5" x14ac:dyDescent="0.2">
      <c r="A62" t="s">
        <v>743</v>
      </c>
      <c r="B62" t="s">
        <v>13</v>
      </c>
      <c r="C62" t="s">
        <v>347</v>
      </c>
      <c r="D62" t="s">
        <v>218</v>
      </c>
      <c r="E62" t="s">
        <v>12</v>
      </c>
    </row>
    <row r="63" spans="1:5" x14ac:dyDescent="0.2">
      <c r="A63" t="s">
        <v>744</v>
      </c>
      <c r="B63" t="s">
        <v>13</v>
      </c>
      <c r="C63" t="s">
        <v>347</v>
      </c>
      <c r="D63" t="s">
        <v>224</v>
      </c>
      <c r="E63" t="s">
        <v>12</v>
      </c>
    </row>
    <row r="64" spans="1:5" x14ac:dyDescent="0.2">
      <c r="A64" t="s">
        <v>746</v>
      </c>
      <c r="B64" t="s">
        <v>13</v>
      </c>
      <c r="C64" t="s">
        <v>347</v>
      </c>
      <c r="D64" t="s">
        <v>223</v>
      </c>
      <c r="E64" t="s">
        <v>42</v>
      </c>
    </row>
    <row r="65" spans="1:5" ht="18" thickBot="1" x14ac:dyDescent="0.35">
      <c r="A65" s="81"/>
      <c r="B65" s="81"/>
      <c r="C65" s="81"/>
      <c r="D65" s="81"/>
      <c r="E65" s="81"/>
    </row>
    <row r="66" spans="1:5" ht="18.75" thickTop="1" thickBot="1" x14ac:dyDescent="0.35">
      <c r="A66" s="81" t="s">
        <v>1005</v>
      </c>
      <c r="B66" s="81"/>
      <c r="C66" s="81"/>
      <c r="D66" s="81"/>
      <c r="E66" s="81"/>
    </row>
    <row r="67" spans="1:5" ht="13.5" thickTop="1" x14ac:dyDescent="0.2">
      <c r="A67" t="s">
        <v>663</v>
      </c>
      <c r="B67" t="s">
        <v>13</v>
      </c>
      <c r="C67" t="s">
        <v>347</v>
      </c>
      <c r="D67" t="s">
        <v>369</v>
      </c>
      <c r="E67" t="s">
        <v>12</v>
      </c>
    </row>
    <row r="68" spans="1:5" x14ac:dyDescent="0.2">
      <c r="A68" t="s">
        <v>664</v>
      </c>
      <c r="B68" t="s">
        <v>13</v>
      </c>
      <c r="C68" t="s">
        <v>347</v>
      </c>
      <c r="D68" t="s">
        <v>370</v>
      </c>
      <c r="E68" t="s">
        <v>12</v>
      </c>
    </row>
    <row r="69" spans="1:5" x14ac:dyDescent="0.2">
      <c r="A69" t="s">
        <v>665</v>
      </c>
      <c r="B69" t="s">
        <v>13</v>
      </c>
      <c r="C69" t="s">
        <v>347</v>
      </c>
      <c r="D69" t="s">
        <v>372</v>
      </c>
      <c r="E69" t="s">
        <v>12</v>
      </c>
    </row>
    <row r="70" spans="1:5" x14ac:dyDescent="0.2">
      <c r="A70" t="s">
        <v>666</v>
      </c>
      <c r="B70" t="s">
        <v>13</v>
      </c>
      <c r="C70" t="s">
        <v>347</v>
      </c>
      <c r="D70" t="s">
        <v>374</v>
      </c>
      <c r="E70" t="s">
        <v>12</v>
      </c>
    </row>
    <row r="71" spans="1:5" x14ac:dyDescent="0.2">
      <c r="A71" t="s">
        <v>667</v>
      </c>
      <c r="B71" t="s">
        <v>13</v>
      </c>
      <c r="C71" t="s">
        <v>347</v>
      </c>
      <c r="D71" t="s">
        <v>376</v>
      </c>
      <c r="E71" t="s">
        <v>12</v>
      </c>
    </row>
    <row r="72" spans="1:5" x14ac:dyDescent="0.2">
      <c r="A72" t="s">
        <v>668</v>
      </c>
      <c r="B72" t="s">
        <v>13</v>
      </c>
      <c r="C72" t="s">
        <v>347</v>
      </c>
      <c r="D72" t="s">
        <v>378</v>
      </c>
      <c r="E72" t="s">
        <v>12</v>
      </c>
    </row>
    <row r="73" spans="1:5" x14ac:dyDescent="0.2">
      <c r="A73" t="s">
        <v>747</v>
      </c>
      <c r="B73" t="s">
        <v>13</v>
      </c>
      <c r="C73" t="s">
        <v>347</v>
      </c>
      <c r="D73" t="s">
        <v>380</v>
      </c>
      <c r="E73" t="s">
        <v>12</v>
      </c>
    </row>
    <row r="74" spans="1:5" x14ac:dyDescent="0.2">
      <c r="A74" t="s">
        <v>748</v>
      </c>
      <c r="B74" t="s">
        <v>13</v>
      </c>
      <c r="C74" t="s">
        <v>347</v>
      </c>
      <c r="D74" t="s">
        <v>382</v>
      </c>
      <c r="E74" t="s">
        <v>12</v>
      </c>
    </row>
    <row r="75" spans="1:5" ht="18" thickBot="1" x14ac:dyDescent="0.35">
      <c r="A75" s="81"/>
      <c r="B75" s="81"/>
      <c r="C75" s="81"/>
      <c r="D75" s="81"/>
      <c r="E75" s="81"/>
    </row>
    <row r="76" spans="1:5" ht="18.75" thickTop="1" thickBot="1" x14ac:dyDescent="0.35">
      <c r="A76" s="81" t="s">
        <v>1006</v>
      </c>
      <c r="B76" s="81"/>
      <c r="C76" s="81"/>
      <c r="D76" s="81"/>
      <c r="E76" s="81"/>
    </row>
    <row r="77" spans="1:5" ht="13.5" thickTop="1" x14ac:dyDescent="0.2">
      <c r="A77" t="s">
        <v>749</v>
      </c>
      <c r="B77" t="s">
        <v>13</v>
      </c>
      <c r="C77" t="s">
        <v>347</v>
      </c>
      <c r="D77" t="s">
        <v>247</v>
      </c>
      <c r="E77" t="s">
        <v>42</v>
      </c>
    </row>
    <row r="78" spans="1:5" ht="18" thickBot="1" x14ac:dyDescent="0.35">
      <c r="A78" s="81"/>
      <c r="B78" s="81"/>
      <c r="C78" s="81"/>
      <c r="D78" s="81"/>
      <c r="E78" s="81"/>
    </row>
    <row r="79" spans="1:5" ht="18.75" thickTop="1" thickBot="1" x14ac:dyDescent="0.35">
      <c r="A79" s="81" t="s">
        <v>1007</v>
      </c>
      <c r="B79" s="81"/>
      <c r="C79" s="81"/>
      <c r="D79" s="81"/>
      <c r="E79" s="81"/>
    </row>
    <row r="80" spans="1:5" ht="13.5" thickTop="1" x14ac:dyDescent="0.2">
      <c r="A80" t="s">
        <v>750</v>
      </c>
      <c r="B80" t="s">
        <v>13</v>
      </c>
      <c r="C80" t="s">
        <v>347</v>
      </c>
      <c r="D80" t="s">
        <v>385</v>
      </c>
      <c r="E80" t="s">
        <v>12</v>
      </c>
    </row>
    <row r="81" spans="1:5" x14ac:dyDescent="0.2">
      <c r="A81" t="s">
        <v>751</v>
      </c>
      <c r="B81" t="s">
        <v>13</v>
      </c>
      <c r="C81" t="s">
        <v>347</v>
      </c>
      <c r="D81" t="s">
        <v>387</v>
      </c>
      <c r="E81" t="s">
        <v>12</v>
      </c>
    </row>
    <row r="82" spans="1:5" x14ac:dyDescent="0.2">
      <c r="A82" t="s">
        <v>752</v>
      </c>
      <c r="B82" t="s">
        <v>13</v>
      </c>
      <c r="C82" t="s">
        <v>347</v>
      </c>
      <c r="D82" t="s">
        <v>388</v>
      </c>
      <c r="E82" t="s">
        <v>12</v>
      </c>
    </row>
    <row r="83" spans="1:5" x14ac:dyDescent="0.2">
      <c r="A83" t="s">
        <v>753</v>
      </c>
      <c r="B83" t="s">
        <v>13</v>
      </c>
      <c r="C83" t="s">
        <v>347</v>
      </c>
      <c r="D83" t="s">
        <v>393</v>
      </c>
      <c r="E83" t="s">
        <v>12</v>
      </c>
    </row>
    <row r="84" spans="1:5" x14ac:dyDescent="0.2">
      <c r="A84" t="s">
        <v>754</v>
      </c>
      <c r="B84" t="s">
        <v>13</v>
      </c>
      <c r="C84" t="s">
        <v>347</v>
      </c>
      <c r="D84" t="s">
        <v>395</v>
      </c>
      <c r="E84" t="s">
        <v>12</v>
      </c>
    </row>
    <row r="85" spans="1:5" x14ac:dyDescent="0.2">
      <c r="A85" t="s">
        <v>755</v>
      </c>
      <c r="B85" t="s">
        <v>13</v>
      </c>
      <c r="C85" t="s">
        <v>347</v>
      </c>
      <c r="D85" t="s">
        <v>396</v>
      </c>
      <c r="E85" t="s">
        <v>12</v>
      </c>
    </row>
    <row r="86" spans="1:5" ht="18" thickBot="1" x14ac:dyDescent="0.35">
      <c r="A86" s="81"/>
      <c r="B86" s="81"/>
      <c r="C86" s="81"/>
      <c r="D86" s="81"/>
      <c r="E86" s="81"/>
    </row>
    <row r="87" spans="1:5" ht="18.75" thickTop="1" thickBot="1" x14ac:dyDescent="0.35">
      <c r="A87" s="81" t="s">
        <v>1008</v>
      </c>
      <c r="B87" s="81"/>
      <c r="C87" s="81"/>
      <c r="D87" s="81"/>
      <c r="E87" s="81"/>
    </row>
    <row r="88" spans="1:5" ht="13.5" thickTop="1" x14ac:dyDescent="0.2">
      <c r="A88" t="s">
        <v>758</v>
      </c>
      <c r="B88" t="s">
        <v>13</v>
      </c>
      <c r="C88" t="s">
        <v>347</v>
      </c>
      <c r="D88" t="s">
        <v>397</v>
      </c>
      <c r="E88" t="s">
        <v>12</v>
      </c>
    </row>
    <row r="89" spans="1:5" x14ac:dyDescent="0.2">
      <c r="A89" t="s">
        <v>759</v>
      </c>
      <c r="B89" t="s">
        <v>13</v>
      </c>
      <c r="C89" t="s">
        <v>347</v>
      </c>
      <c r="D89" t="s">
        <v>399</v>
      </c>
      <c r="E89" t="s">
        <v>12</v>
      </c>
    </row>
    <row r="90" spans="1:5" x14ac:dyDescent="0.2">
      <c r="A90" t="s">
        <v>760</v>
      </c>
      <c r="B90" t="s">
        <v>13</v>
      </c>
      <c r="C90" t="s">
        <v>347</v>
      </c>
      <c r="D90" t="s">
        <v>401</v>
      </c>
      <c r="E90" t="s">
        <v>12</v>
      </c>
    </row>
    <row r="91" spans="1:5" ht="18" thickBot="1" x14ac:dyDescent="0.35">
      <c r="A91" s="81"/>
      <c r="B91" s="81"/>
      <c r="C91" s="81"/>
      <c r="D91" s="81"/>
      <c r="E91" s="81"/>
    </row>
    <row r="92" spans="1:5" ht="18.75" thickTop="1" thickBot="1" x14ac:dyDescent="0.35">
      <c r="A92" s="81" t="s">
        <v>1009</v>
      </c>
      <c r="B92" s="81"/>
      <c r="C92" s="81"/>
      <c r="D92" s="81"/>
      <c r="E92" s="81"/>
    </row>
    <row r="93" spans="1:5" ht="13.5" thickTop="1" x14ac:dyDescent="0.2">
      <c r="A93" t="s">
        <v>651</v>
      </c>
      <c r="B93" t="s">
        <v>574</v>
      </c>
      <c r="C93" t="s">
        <v>347</v>
      </c>
      <c r="D93" t="s">
        <v>50</v>
      </c>
      <c r="E93" t="s">
        <v>51</v>
      </c>
    </row>
    <row r="94" spans="1:5" ht="18" thickBot="1" x14ac:dyDescent="0.35">
      <c r="A94" s="81"/>
      <c r="B94" s="81"/>
      <c r="C94" s="81"/>
      <c r="D94" s="81"/>
      <c r="E94" s="81"/>
    </row>
    <row r="95" spans="1:5" ht="18.75" thickTop="1" thickBot="1" x14ac:dyDescent="0.35">
      <c r="A95" s="81" t="s">
        <v>1010</v>
      </c>
      <c r="B95" s="81"/>
      <c r="C95" s="81"/>
      <c r="D95" s="81"/>
      <c r="E95" s="81"/>
    </row>
    <row r="96" spans="1:5" ht="13.5" thickTop="1" x14ac:dyDescent="0.2">
      <c r="A96" t="s">
        <v>971</v>
      </c>
      <c r="B96" t="s">
        <v>587</v>
      </c>
      <c r="C96" t="s">
        <v>72</v>
      </c>
      <c r="D96" t="s">
        <v>256</v>
      </c>
      <c r="E96" t="s">
        <v>51</v>
      </c>
    </row>
    <row r="97" spans="1:5" x14ac:dyDescent="0.2">
      <c r="A97" t="s">
        <v>972</v>
      </c>
      <c r="B97" t="s">
        <v>587</v>
      </c>
      <c r="C97" t="s">
        <v>72</v>
      </c>
      <c r="D97" t="s">
        <v>267</v>
      </c>
      <c r="E97" t="s">
        <v>51</v>
      </c>
    </row>
    <row r="98" spans="1:5" x14ac:dyDescent="0.2">
      <c r="A98" t="s">
        <v>973</v>
      </c>
      <c r="B98" t="s">
        <v>587</v>
      </c>
      <c r="C98" t="s">
        <v>72</v>
      </c>
      <c r="D98" t="s">
        <v>532</v>
      </c>
      <c r="E98" t="s">
        <v>51</v>
      </c>
    </row>
    <row r="99" spans="1:5" x14ac:dyDescent="0.2">
      <c r="A99" t="s">
        <v>974</v>
      </c>
      <c r="B99" t="s">
        <v>587</v>
      </c>
      <c r="C99" t="s">
        <v>72</v>
      </c>
      <c r="D99" t="s">
        <v>533</v>
      </c>
      <c r="E99" t="s">
        <v>51</v>
      </c>
    </row>
    <row r="100" spans="1:5" x14ac:dyDescent="0.2">
      <c r="A100" t="s">
        <v>975</v>
      </c>
      <c r="B100" t="s">
        <v>587</v>
      </c>
      <c r="C100" t="s">
        <v>72</v>
      </c>
      <c r="D100" t="s">
        <v>268</v>
      </c>
      <c r="E100" t="s">
        <v>51</v>
      </c>
    </row>
    <row r="101" spans="1:5" x14ac:dyDescent="0.2">
      <c r="A101" t="s">
        <v>976</v>
      </c>
      <c r="B101" t="s">
        <v>587</v>
      </c>
      <c r="C101" t="s">
        <v>72</v>
      </c>
      <c r="D101" t="s">
        <v>269</v>
      </c>
      <c r="E101" t="s">
        <v>51</v>
      </c>
    </row>
    <row r="102" spans="1:5" x14ac:dyDescent="0.2">
      <c r="A102" t="s">
        <v>977</v>
      </c>
      <c r="B102" t="s">
        <v>587</v>
      </c>
      <c r="C102" t="s">
        <v>72</v>
      </c>
      <c r="D102" t="s">
        <v>270</v>
      </c>
      <c r="E102" t="s">
        <v>51</v>
      </c>
    </row>
    <row r="103" spans="1:5" x14ac:dyDescent="0.2">
      <c r="A103" t="s">
        <v>978</v>
      </c>
      <c r="B103" t="s">
        <v>587</v>
      </c>
      <c r="C103" t="s">
        <v>72</v>
      </c>
      <c r="D103" t="s">
        <v>271</v>
      </c>
      <c r="E103" t="s">
        <v>51</v>
      </c>
    </row>
    <row r="104" spans="1:5" x14ac:dyDescent="0.2">
      <c r="A104" t="s">
        <v>979</v>
      </c>
      <c r="B104" t="s">
        <v>587</v>
      </c>
      <c r="C104" t="s">
        <v>72</v>
      </c>
      <c r="D104" t="s">
        <v>493</v>
      </c>
      <c r="E104" t="s">
        <v>51</v>
      </c>
    </row>
    <row r="105" spans="1:5" x14ac:dyDescent="0.2">
      <c r="A105" t="s">
        <v>980</v>
      </c>
      <c r="B105" t="s">
        <v>587</v>
      </c>
      <c r="C105" t="s">
        <v>72</v>
      </c>
      <c r="D105" t="s">
        <v>494</v>
      </c>
      <c r="E105" t="s">
        <v>51</v>
      </c>
    </row>
    <row r="106" spans="1:5" x14ac:dyDescent="0.2">
      <c r="A106" t="s">
        <v>981</v>
      </c>
      <c r="B106" t="s">
        <v>587</v>
      </c>
      <c r="C106" t="s">
        <v>72</v>
      </c>
      <c r="D106" t="s">
        <v>272</v>
      </c>
      <c r="E106" t="s">
        <v>51</v>
      </c>
    </row>
    <row r="107" spans="1:5" x14ac:dyDescent="0.2">
      <c r="A107" t="s">
        <v>982</v>
      </c>
      <c r="B107" t="s">
        <v>587</v>
      </c>
      <c r="C107" t="s">
        <v>72</v>
      </c>
      <c r="D107" t="s">
        <v>273</v>
      </c>
      <c r="E107" t="s">
        <v>51</v>
      </c>
    </row>
    <row r="108" spans="1:5" x14ac:dyDescent="0.2">
      <c r="A108" t="s">
        <v>983</v>
      </c>
      <c r="B108" t="s">
        <v>587</v>
      </c>
      <c r="C108" t="s">
        <v>72</v>
      </c>
      <c r="D108" t="s">
        <v>403</v>
      </c>
      <c r="E108" t="s">
        <v>51</v>
      </c>
    </row>
    <row r="109" spans="1:5" x14ac:dyDescent="0.2">
      <c r="A109" t="s">
        <v>984</v>
      </c>
      <c r="B109" t="s">
        <v>587</v>
      </c>
      <c r="C109" t="s">
        <v>72</v>
      </c>
      <c r="D109" t="s">
        <v>405</v>
      </c>
      <c r="E109" t="s">
        <v>51</v>
      </c>
    </row>
    <row r="110" spans="1:5" x14ac:dyDescent="0.2">
      <c r="A110" t="s">
        <v>985</v>
      </c>
      <c r="B110" t="s">
        <v>587</v>
      </c>
      <c r="C110" t="s">
        <v>72</v>
      </c>
      <c r="D110" t="s">
        <v>407</v>
      </c>
      <c r="E110" t="s">
        <v>51</v>
      </c>
    </row>
    <row r="111" spans="1:5" x14ac:dyDescent="0.2">
      <c r="A111" t="s">
        <v>986</v>
      </c>
      <c r="B111" t="s">
        <v>587</v>
      </c>
      <c r="C111" t="s">
        <v>72</v>
      </c>
      <c r="D111" t="s">
        <v>409</v>
      </c>
      <c r="E111" t="s">
        <v>51</v>
      </c>
    </row>
    <row r="112" spans="1:5" x14ac:dyDescent="0.2">
      <c r="A112" t="s">
        <v>987</v>
      </c>
      <c r="B112" t="s">
        <v>587</v>
      </c>
      <c r="C112" t="s">
        <v>72</v>
      </c>
      <c r="D112" t="s">
        <v>274</v>
      </c>
      <c r="E112" t="s">
        <v>51</v>
      </c>
    </row>
    <row r="113" spans="1:5" x14ac:dyDescent="0.2">
      <c r="A113" t="s">
        <v>988</v>
      </c>
      <c r="B113" t="s">
        <v>587</v>
      </c>
      <c r="C113" t="s">
        <v>72</v>
      </c>
      <c r="D113" t="s">
        <v>275</v>
      </c>
      <c r="E113" t="s">
        <v>51</v>
      </c>
    </row>
    <row r="114" spans="1:5" ht="18" thickBot="1" x14ac:dyDescent="0.35">
      <c r="A114" s="81"/>
      <c r="B114" s="81"/>
      <c r="C114" s="81"/>
      <c r="D114" s="81"/>
      <c r="E114" s="81"/>
    </row>
    <row r="115" spans="1:5" ht="18.75" thickTop="1" thickBot="1" x14ac:dyDescent="0.35">
      <c r="A115" s="81" t="s">
        <v>1011</v>
      </c>
      <c r="B115" s="81"/>
      <c r="C115" s="81"/>
      <c r="D115" s="81"/>
      <c r="E115" s="81"/>
    </row>
    <row r="116" spans="1:5" ht="13.5" thickTop="1" x14ac:dyDescent="0.2">
      <c r="A116" t="s">
        <v>801</v>
      </c>
      <c r="B116" t="s">
        <v>13</v>
      </c>
      <c r="C116" t="s">
        <v>347</v>
      </c>
      <c r="D116" t="s">
        <v>159</v>
      </c>
      <c r="E116" t="s">
        <v>12</v>
      </c>
    </row>
    <row r="117" spans="1:5" x14ac:dyDescent="0.2">
      <c r="A117" t="s">
        <v>873</v>
      </c>
      <c r="B117" t="s">
        <v>13</v>
      </c>
      <c r="C117" t="s">
        <v>347</v>
      </c>
      <c r="D117" t="s">
        <v>996</v>
      </c>
      <c r="E117" t="s">
        <v>42</v>
      </c>
    </row>
    <row r="118" spans="1:5" x14ac:dyDescent="0.2">
      <c r="A118" t="s">
        <v>872</v>
      </c>
      <c r="B118" t="s">
        <v>13</v>
      </c>
      <c r="C118" t="s">
        <v>347</v>
      </c>
      <c r="D118" t="s">
        <v>997</v>
      </c>
      <c r="E118" t="s">
        <v>42</v>
      </c>
    </row>
    <row r="119" spans="1:5" x14ac:dyDescent="0.2">
      <c r="A119" t="s">
        <v>871</v>
      </c>
      <c r="B119" t="s">
        <v>13</v>
      </c>
      <c r="C119" t="s">
        <v>347</v>
      </c>
      <c r="D119" t="s">
        <v>995</v>
      </c>
      <c r="E119" t="s">
        <v>42</v>
      </c>
    </row>
    <row r="120" spans="1:5" x14ac:dyDescent="0.2">
      <c r="A120" t="s">
        <v>678</v>
      </c>
      <c r="B120" t="s">
        <v>13</v>
      </c>
      <c r="C120" t="s">
        <v>347</v>
      </c>
      <c r="D120" t="s">
        <v>80</v>
      </c>
      <c r="E120" t="s">
        <v>42</v>
      </c>
    </row>
    <row r="121" spans="1:5" x14ac:dyDescent="0.2">
      <c r="A121" t="s">
        <v>679</v>
      </c>
      <c r="B121" t="s">
        <v>13</v>
      </c>
      <c r="C121" t="s">
        <v>347</v>
      </c>
      <c r="D121" t="s">
        <v>556</v>
      </c>
      <c r="E121" t="s">
        <v>42</v>
      </c>
    </row>
    <row r="122" spans="1:5" x14ac:dyDescent="0.2">
      <c r="A122" t="s">
        <v>680</v>
      </c>
      <c r="B122" t="s">
        <v>13</v>
      </c>
      <c r="C122" t="s">
        <v>347</v>
      </c>
      <c r="D122" t="s">
        <v>81</v>
      </c>
      <c r="E122" t="s">
        <v>42</v>
      </c>
    </row>
    <row r="124" spans="1:5" ht="18" thickBot="1" x14ac:dyDescent="0.35">
      <c r="A124" s="81" t="s">
        <v>1012</v>
      </c>
      <c r="B124" s="81"/>
      <c r="C124" s="81"/>
      <c r="D124" s="81"/>
      <c r="E124" s="81"/>
    </row>
    <row r="125" spans="1:5" ht="13.5" thickTop="1" x14ac:dyDescent="0.2">
      <c r="A125" t="s">
        <v>787</v>
      </c>
      <c r="B125" t="s">
        <v>587</v>
      </c>
      <c r="C125" t="s">
        <v>72</v>
      </c>
      <c r="D125" t="s">
        <v>293</v>
      </c>
      <c r="E125" t="s">
        <v>12</v>
      </c>
    </row>
    <row r="126" spans="1:5" x14ac:dyDescent="0.2">
      <c r="A126" t="s">
        <v>788</v>
      </c>
      <c r="B126" t="s">
        <v>587</v>
      </c>
      <c r="C126" t="s">
        <v>72</v>
      </c>
      <c r="D126" t="s">
        <v>390</v>
      </c>
      <c r="E126" t="s">
        <v>12</v>
      </c>
    </row>
    <row r="127" spans="1:5" x14ac:dyDescent="0.2">
      <c r="A127" t="s">
        <v>789</v>
      </c>
      <c r="B127" t="s">
        <v>587</v>
      </c>
      <c r="C127" t="s">
        <v>72</v>
      </c>
      <c r="D127" t="s">
        <v>869</v>
      </c>
      <c r="E127" t="s">
        <v>12</v>
      </c>
    </row>
    <row r="129" spans="1:5" ht="18" thickBot="1" x14ac:dyDescent="0.35">
      <c r="A129" s="81" t="s">
        <v>1013</v>
      </c>
      <c r="B129" s="81"/>
      <c r="C129" s="81"/>
      <c r="D129" s="81"/>
      <c r="E129" s="81"/>
    </row>
    <row r="130" spans="1:5" ht="13.5" thickTop="1" x14ac:dyDescent="0.2">
      <c r="A130" t="s">
        <v>790</v>
      </c>
      <c r="B130" t="s">
        <v>587</v>
      </c>
      <c r="C130" t="s">
        <v>72</v>
      </c>
      <c r="D130" t="s">
        <v>351</v>
      </c>
      <c r="E130" t="s">
        <v>12</v>
      </c>
    </row>
    <row r="131" spans="1:5" x14ac:dyDescent="0.2">
      <c r="A131" t="s">
        <v>791</v>
      </c>
      <c r="B131" t="s">
        <v>587</v>
      </c>
      <c r="C131" t="s">
        <v>72</v>
      </c>
      <c r="D131" t="s">
        <v>352</v>
      </c>
      <c r="E131" t="s">
        <v>12</v>
      </c>
    </row>
    <row r="133" spans="1:5" ht="18" thickBot="1" x14ac:dyDescent="0.35">
      <c r="A133" s="81" t="s">
        <v>1014</v>
      </c>
      <c r="B133" s="81"/>
      <c r="C133" s="81"/>
      <c r="D133" s="81"/>
      <c r="E133" s="81"/>
    </row>
    <row r="134" spans="1:5" ht="13.5" thickTop="1" x14ac:dyDescent="0.2">
      <c r="A134" t="s">
        <v>822</v>
      </c>
      <c r="B134" t="s">
        <v>574</v>
      </c>
      <c r="C134" t="s">
        <v>347</v>
      </c>
      <c r="D134" t="s">
        <v>169</v>
      </c>
      <c r="E134" t="s">
        <v>51</v>
      </c>
    </row>
    <row r="135" spans="1:5" x14ac:dyDescent="0.2">
      <c r="A135" t="s">
        <v>830</v>
      </c>
      <c r="B135" t="s">
        <v>574</v>
      </c>
      <c r="C135" t="s">
        <v>347</v>
      </c>
      <c r="D135" t="s">
        <v>170</v>
      </c>
      <c r="E135" t="s">
        <v>51</v>
      </c>
    </row>
    <row r="136" spans="1:5" x14ac:dyDescent="0.2">
      <c r="A136" t="s">
        <v>681</v>
      </c>
      <c r="B136" t="s">
        <v>13</v>
      </c>
      <c r="C136" t="s">
        <v>347</v>
      </c>
      <c r="D136" t="s">
        <v>171</v>
      </c>
      <c r="E136" t="s">
        <v>463</v>
      </c>
    </row>
    <row r="137" spans="1:5" x14ac:dyDescent="0.2">
      <c r="A137" t="s">
        <v>807</v>
      </c>
      <c r="B137" t="s">
        <v>13</v>
      </c>
      <c r="C137" t="s">
        <v>347</v>
      </c>
      <c r="D137" t="s">
        <v>173</v>
      </c>
      <c r="E137" t="s">
        <v>463</v>
      </c>
    </row>
    <row r="138" spans="1:5" x14ac:dyDescent="0.2">
      <c r="A138" t="s">
        <v>825</v>
      </c>
      <c r="B138" t="s">
        <v>574</v>
      </c>
      <c r="C138" t="s">
        <v>347</v>
      </c>
      <c r="D138" t="s">
        <v>172</v>
      </c>
      <c r="E138" t="s">
        <v>51</v>
      </c>
    </row>
    <row r="139" spans="1:5" x14ac:dyDescent="0.2">
      <c r="A139" t="s">
        <v>831</v>
      </c>
      <c r="B139" t="s">
        <v>574</v>
      </c>
      <c r="C139" t="s">
        <v>347</v>
      </c>
      <c r="D139" t="s">
        <v>1084</v>
      </c>
      <c r="E139" t="s">
        <v>51</v>
      </c>
    </row>
    <row r="141" spans="1:5" ht="18" thickBot="1" x14ac:dyDescent="0.35">
      <c r="A141" s="81" t="s">
        <v>1015</v>
      </c>
      <c r="B141" s="81"/>
      <c r="C141" s="81"/>
      <c r="D141" s="81"/>
      <c r="E141" s="81"/>
    </row>
    <row r="142" spans="1:5" ht="13.5" thickTop="1" x14ac:dyDescent="0.2">
      <c r="A142" t="s">
        <v>832</v>
      </c>
      <c r="B142" t="s">
        <v>574</v>
      </c>
      <c r="C142" t="s">
        <v>347</v>
      </c>
      <c r="D142" t="s">
        <v>301</v>
      </c>
      <c r="E142" t="s">
        <v>51</v>
      </c>
    </row>
    <row r="143" spans="1:5" x14ac:dyDescent="0.2">
      <c r="A143" t="s">
        <v>833</v>
      </c>
      <c r="B143" t="s">
        <v>587</v>
      </c>
      <c r="C143" t="s">
        <v>72</v>
      </c>
      <c r="D143" t="s">
        <v>302</v>
      </c>
      <c r="E143" t="s">
        <v>12</v>
      </c>
    </row>
    <row r="144" spans="1:5" x14ac:dyDescent="0.2">
      <c r="A144" t="s">
        <v>836</v>
      </c>
      <c r="B144" t="s">
        <v>13</v>
      </c>
      <c r="C144" t="s">
        <v>347</v>
      </c>
      <c r="D144" t="s">
        <v>309</v>
      </c>
      <c r="E144" t="s">
        <v>12</v>
      </c>
    </row>
  </sheetData>
  <mergeCells count="1">
    <mergeCell ref="A1:E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E195"/>
  <sheetViews>
    <sheetView workbookViewId="0">
      <selection activeCell="A4" sqref="A4:D4"/>
    </sheetView>
  </sheetViews>
  <sheetFormatPr baseColWidth="10" defaultRowHeight="12.75" x14ac:dyDescent="0.2"/>
  <cols>
    <col min="1" max="1" width="48" bestFit="1" customWidth="1"/>
    <col min="2" max="2" width="7.5703125" bestFit="1" customWidth="1"/>
    <col min="3" max="3" width="10.85546875" bestFit="1" customWidth="1"/>
    <col min="4" max="4" width="72.85546875" bestFit="1" customWidth="1"/>
  </cols>
  <sheetData>
    <row r="1" spans="1:5" ht="19.5" customHeight="1" x14ac:dyDescent="0.2">
      <c r="A1" s="354" t="s">
        <v>614</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1022</v>
      </c>
      <c r="B10" s="81"/>
      <c r="C10" s="81"/>
      <c r="D10" s="81"/>
      <c r="E10" s="81"/>
    </row>
    <row r="11" spans="1:5" ht="13.5" thickTop="1" x14ac:dyDescent="0.2">
      <c r="A11" t="s">
        <v>629</v>
      </c>
      <c r="B11" t="s">
        <v>13</v>
      </c>
      <c r="C11" t="s">
        <v>347</v>
      </c>
      <c r="D11" t="s">
        <v>136</v>
      </c>
      <c r="E11" t="s">
        <v>42</v>
      </c>
    </row>
    <row r="12" spans="1:5" x14ac:dyDescent="0.2">
      <c r="A12" t="s">
        <v>630</v>
      </c>
      <c r="B12" t="s">
        <v>13</v>
      </c>
      <c r="C12" t="s">
        <v>347</v>
      </c>
      <c r="D12" t="s">
        <v>540</v>
      </c>
      <c r="E12" t="s">
        <v>42</v>
      </c>
    </row>
    <row r="13" spans="1:5" x14ac:dyDescent="0.2">
      <c r="A13" t="s">
        <v>631</v>
      </c>
      <c r="B13" t="s">
        <v>13</v>
      </c>
      <c r="C13" t="s">
        <v>347</v>
      </c>
      <c r="D13" t="s">
        <v>138</v>
      </c>
      <c r="E13" t="s">
        <v>42</v>
      </c>
    </row>
    <row r="14" spans="1:5" x14ac:dyDescent="0.2">
      <c r="A14" t="s">
        <v>632</v>
      </c>
      <c r="B14" t="s">
        <v>13</v>
      </c>
      <c r="C14" t="s">
        <v>347</v>
      </c>
      <c r="D14" t="s">
        <v>140</v>
      </c>
      <c r="E14" t="s">
        <v>42</v>
      </c>
    </row>
    <row r="15" spans="1:5" x14ac:dyDescent="0.2">
      <c r="A15" t="s">
        <v>633</v>
      </c>
      <c r="B15" t="s">
        <v>13</v>
      </c>
      <c r="C15" t="s">
        <v>347</v>
      </c>
      <c r="D15" t="s">
        <v>541</v>
      </c>
      <c r="E15" t="s">
        <v>42</v>
      </c>
    </row>
    <row r="16" spans="1:5" x14ac:dyDescent="0.2">
      <c r="A16" t="s">
        <v>645</v>
      </c>
      <c r="B16" t="s">
        <v>13</v>
      </c>
      <c r="C16" t="s">
        <v>347</v>
      </c>
      <c r="D16" t="s">
        <v>78</v>
      </c>
      <c r="E16" t="s">
        <v>51</v>
      </c>
    </row>
    <row r="17" spans="1:5" x14ac:dyDescent="0.2">
      <c r="A17" t="s">
        <v>646</v>
      </c>
      <c r="B17" t="s">
        <v>13</v>
      </c>
      <c r="C17" t="s">
        <v>347</v>
      </c>
      <c r="D17" t="s">
        <v>544</v>
      </c>
      <c r="E17" t="s">
        <v>51</v>
      </c>
    </row>
    <row r="18" spans="1:5" x14ac:dyDescent="0.2">
      <c r="A18" t="s">
        <v>647</v>
      </c>
      <c r="B18" t="s">
        <v>13</v>
      </c>
      <c r="C18" t="s">
        <v>347</v>
      </c>
      <c r="D18" t="s">
        <v>79</v>
      </c>
      <c r="E18" t="s">
        <v>51</v>
      </c>
    </row>
    <row r="19" spans="1:5" x14ac:dyDescent="0.2">
      <c r="A19" t="s">
        <v>648</v>
      </c>
      <c r="B19" t="s">
        <v>13</v>
      </c>
      <c r="C19" t="s">
        <v>347</v>
      </c>
      <c r="D19" t="s">
        <v>145</v>
      </c>
      <c r="E19" t="s">
        <v>51</v>
      </c>
    </row>
    <row r="20" spans="1:5" x14ac:dyDescent="0.2">
      <c r="A20" t="s">
        <v>649</v>
      </c>
      <c r="B20" t="s">
        <v>13</v>
      </c>
      <c r="C20" t="s">
        <v>347</v>
      </c>
      <c r="D20" t="s">
        <v>545</v>
      </c>
      <c r="E20" t="s">
        <v>51</v>
      </c>
    </row>
    <row r="21" spans="1:5" x14ac:dyDescent="0.2">
      <c r="A21" t="s">
        <v>650</v>
      </c>
      <c r="B21" t="s">
        <v>13</v>
      </c>
      <c r="C21" t="s">
        <v>347</v>
      </c>
      <c r="D21" t="s">
        <v>146</v>
      </c>
      <c r="E21" t="s">
        <v>51</v>
      </c>
    </row>
    <row r="22" spans="1:5" x14ac:dyDescent="0.2">
      <c r="A22" t="s">
        <v>697</v>
      </c>
      <c r="B22" t="s">
        <v>13</v>
      </c>
      <c r="C22" t="s">
        <v>347</v>
      </c>
      <c r="D22" t="s">
        <v>355</v>
      </c>
      <c r="E22" t="s">
        <v>51</v>
      </c>
    </row>
    <row r="23" spans="1:5" x14ac:dyDescent="0.2">
      <c r="A23" t="s">
        <v>698</v>
      </c>
      <c r="B23" t="s">
        <v>13</v>
      </c>
      <c r="C23" t="s">
        <v>347</v>
      </c>
      <c r="D23" t="s">
        <v>357</v>
      </c>
      <c r="E23" t="s">
        <v>51</v>
      </c>
    </row>
    <row r="24" spans="1:5" x14ac:dyDescent="0.2">
      <c r="A24" t="s">
        <v>641</v>
      </c>
      <c r="B24" t="s">
        <v>13</v>
      </c>
      <c r="C24" t="s">
        <v>347</v>
      </c>
      <c r="D24" t="s">
        <v>368</v>
      </c>
      <c r="E24" t="s">
        <v>12</v>
      </c>
    </row>
    <row r="25" spans="1:5" x14ac:dyDescent="0.2">
      <c r="A25" t="s">
        <v>644</v>
      </c>
      <c r="B25" t="s">
        <v>13</v>
      </c>
      <c r="C25" t="s">
        <v>347</v>
      </c>
      <c r="D25" t="s">
        <v>549</v>
      </c>
      <c r="E25" t="s">
        <v>12</v>
      </c>
    </row>
    <row r="26" spans="1:5" x14ac:dyDescent="0.2">
      <c r="A26" t="s">
        <v>642</v>
      </c>
      <c r="B26" t="s">
        <v>13</v>
      </c>
      <c r="C26" t="s">
        <v>347</v>
      </c>
      <c r="D26" t="s">
        <v>410</v>
      </c>
      <c r="E26" t="s">
        <v>12</v>
      </c>
    </row>
    <row r="27" spans="1:5" x14ac:dyDescent="0.2">
      <c r="A27" t="s">
        <v>705</v>
      </c>
      <c r="B27" t="s">
        <v>13</v>
      </c>
      <c r="C27" t="s">
        <v>347</v>
      </c>
      <c r="D27" t="s">
        <v>1000</v>
      </c>
      <c r="E27" t="s">
        <v>12</v>
      </c>
    </row>
    <row r="28" spans="1:5" x14ac:dyDescent="0.2">
      <c r="A28" t="s">
        <v>706</v>
      </c>
      <c r="B28" t="s">
        <v>13</v>
      </c>
      <c r="C28" t="s">
        <v>347</v>
      </c>
      <c r="D28" t="s">
        <v>555</v>
      </c>
      <c r="E28" t="s">
        <v>12</v>
      </c>
    </row>
    <row r="29" spans="1:5" x14ac:dyDescent="0.2">
      <c r="A29" t="s">
        <v>707</v>
      </c>
      <c r="B29" t="s">
        <v>13</v>
      </c>
      <c r="C29" t="s">
        <v>347</v>
      </c>
      <c r="D29" t="s">
        <v>411</v>
      </c>
      <c r="E29" t="s">
        <v>12</v>
      </c>
    </row>
    <row r="30" spans="1:5" x14ac:dyDescent="0.2">
      <c r="A30" t="s">
        <v>708</v>
      </c>
      <c r="B30" t="s">
        <v>13</v>
      </c>
      <c r="C30" t="s">
        <v>347</v>
      </c>
      <c r="D30" t="s">
        <v>412</v>
      </c>
      <c r="E30" t="s">
        <v>12</v>
      </c>
    </row>
    <row r="31" spans="1:5" x14ac:dyDescent="0.2">
      <c r="A31" t="s">
        <v>709</v>
      </c>
      <c r="B31" t="s">
        <v>13</v>
      </c>
      <c r="C31" t="s">
        <v>347</v>
      </c>
      <c r="D31" t="s">
        <v>550</v>
      </c>
      <c r="E31" t="s">
        <v>12</v>
      </c>
    </row>
    <row r="32" spans="1:5" x14ac:dyDescent="0.2">
      <c r="A32" t="s">
        <v>710</v>
      </c>
      <c r="B32" t="s">
        <v>13</v>
      </c>
      <c r="C32" t="s">
        <v>347</v>
      </c>
      <c r="D32" t="s">
        <v>557</v>
      </c>
      <c r="E32" t="s">
        <v>12</v>
      </c>
    </row>
    <row r="33" spans="1:5" x14ac:dyDescent="0.2">
      <c r="A33" t="s">
        <v>716</v>
      </c>
      <c r="B33" t="s">
        <v>13</v>
      </c>
      <c r="C33" t="s">
        <v>347</v>
      </c>
      <c r="D33" t="s">
        <v>999</v>
      </c>
      <c r="E33" t="s">
        <v>12</v>
      </c>
    </row>
    <row r="34" spans="1:5" x14ac:dyDescent="0.2">
      <c r="A34" t="s">
        <v>711</v>
      </c>
      <c r="B34" t="s">
        <v>13</v>
      </c>
      <c r="C34" t="s">
        <v>347</v>
      </c>
      <c r="D34" t="s">
        <v>551</v>
      </c>
      <c r="E34" t="s">
        <v>12</v>
      </c>
    </row>
    <row r="35" spans="1:5" x14ac:dyDescent="0.2">
      <c r="A35" t="s">
        <v>712</v>
      </c>
      <c r="B35" t="s">
        <v>13</v>
      </c>
      <c r="C35" t="s">
        <v>347</v>
      </c>
      <c r="D35" t="s">
        <v>75</v>
      </c>
      <c r="E35" t="s">
        <v>12</v>
      </c>
    </row>
    <row r="36" spans="1:5" x14ac:dyDescent="0.2">
      <c r="A36" t="s">
        <v>713</v>
      </c>
      <c r="B36" t="s">
        <v>13</v>
      </c>
      <c r="C36" t="s">
        <v>347</v>
      </c>
      <c r="D36" t="s">
        <v>76</v>
      </c>
      <c r="E36" t="s">
        <v>12</v>
      </c>
    </row>
    <row r="37" spans="1:5" x14ac:dyDescent="0.2">
      <c r="A37" t="s">
        <v>714</v>
      </c>
      <c r="B37" t="s">
        <v>13</v>
      </c>
      <c r="C37" t="s">
        <v>347</v>
      </c>
      <c r="D37" t="s">
        <v>552</v>
      </c>
      <c r="E37" t="s">
        <v>12</v>
      </c>
    </row>
    <row r="38" spans="1:5" x14ac:dyDescent="0.2">
      <c r="A38" t="s">
        <v>715</v>
      </c>
      <c r="B38" t="s">
        <v>13</v>
      </c>
      <c r="C38" t="s">
        <v>347</v>
      </c>
      <c r="D38" t="s">
        <v>77</v>
      </c>
      <c r="E38" t="s">
        <v>12</v>
      </c>
    </row>
    <row r="39" spans="1:5" x14ac:dyDescent="0.2">
      <c r="A39" t="s">
        <v>717</v>
      </c>
      <c r="B39" t="s">
        <v>13</v>
      </c>
      <c r="C39" t="s">
        <v>347</v>
      </c>
      <c r="D39" t="s">
        <v>148</v>
      </c>
      <c r="E39" t="s">
        <v>42</v>
      </c>
    </row>
    <row r="40" spans="1:5" x14ac:dyDescent="0.2">
      <c r="A40" t="s">
        <v>718</v>
      </c>
      <c r="B40" t="s">
        <v>13</v>
      </c>
      <c r="C40" t="s">
        <v>347</v>
      </c>
      <c r="D40" t="s">
        <v>150</v>
      </c>
      <c r="E40" t="s">
        <v>12</v>
      </c>
    </row>
    <row r="41" spans="1:5" x14ac:dyDescent="0.2">
      <c r="A41" t="s">
        <v>719</v>
      </c>
      <c r="B41" t="s">
        <v>13</v>
      </c>
      <c r="C41" t="s">
        <v>347</v>
      </c>
      <c r="D41" t="s">
        <v>553</v>
      </c>
      <c r="E41" t="s">
        <v>12</v>
      </c>
    </row>
    <row r="42" spans="1:5" x14ac:dyDescent="0.2">
      <c r="A42" t="s">
        <v>720</v>
      </c>
      <c r="B42" t="s">
        <v>13</v>
      </c>
      <c r="C42" t="s">
        <v>347</v>
      </c>
      <c r="D42" t="s">
        <v>152</v>
      </c>
      <c r="E42" t="s">
        <v>12</v>
      </c>
    </row>
    <row r="43" spans="1:5" x14ac:dyDescent="0.2">
      <c r="A43" t="s">
        <v>721</v>
      </c>
      <c r="B43" t="s">
        <v>13</v>
      </c>
      <c r="C43" t="s">
        <v>347</v>
      </c>
      <c r="D43" t="s">
        <v>154</v>
      </c>
      <c r="E43" t="s">
        <v>12</v>
      </c>
    </row>
    <row r="44" spans="1:5" x14ac:dyDescent="0.2">
      <c r="A44" t="s">
        <v>723</v>
      </c>
      <c r="B44" t="s">
        <v>13</v>
      </c>
      <c r="C44" t="s">
        <v>347</v>
      </c>
      <c r="D44" t="s">
        <v>554</v>
      </c>
      <c r="E44" t="s">
        <v>12</v>
      </c>
    </row>
    <row r="45" spans="1:5" x14ac:dyDescent="0.2">
      <c r="A45" t="s">
        <v>722</v>
      </c>
      <c r="B45" t="s">
        <v>13</v>
      </c>
      <c r="C45" t="s">
        <v>347</v>
      </c>
      <c r="D45" t="s">
        <v>156</v>
      </c>
      <c r="E45" t="s">
        <v>12</v>
      </c>
    </row>
    <row r="46" spans="1:5" x14ac:dyDescent="0.2">
      <c r="A46" t="s">
        <v>724</v>
      </c>
      <c r="B46" t="s">
        <v>13</v>
      </c>
      <c r="C46" t="s">
        <v>347</v>
      </c>
      <c r="D46" t="s">
        <v>82</v>
      </c>
      <c r="E46" t="s">
        <v>12</v>
      </c>
    </row>
    <row r="48" spans="1:5" ht="18" thickBot="1" x14ac:dyDescent="0.35">
      <c r="A48" s="81" t="s">
        <v>1037</v>
      </c>
      <c r="B48" s="81"/>
      <c r="C48" s="81"/>
      <c r="D48" s="81"/>
      <c r="E48" s="81"/>
    </row>
    <row r="49" spans="1:5" ht="13.5" thickTop="1" x14ac:dyDescent="0.2">
      <c r="A49" t="s">
        <v>629</v>
      </c>
      <c r="B49" t="s">
        <v>13</v>
      </c>
      <c r="C49" t="s">
        <v>347</v>
      </c>
      <c r="D49" t="s">
        <v>136</v>
      </c>
      <c r="E49" t="s">
        <v>42</v>
      </c>
    </row>
    <row r="50" spans="1:5" x14ac:dyDescent="0.2">
      <c r="A50" t="s">
        <v>630</v>
      </c>
      <c r="B50" t="s">
        <v>13</v>
      </c>
      <c r="C50" t="s">
        <v>347</v>
      </c>
      <c r="D50" t="s">
        <v>540</v>
      </c>
      <c r="E50" t="s">
        <v>42</v>
      </c>
    </row>
    <row r="51" spans="1:5" x14ac:dyDescent="0.2">
      <c r="A51" t="s">
        <v>631</v>
      </c>
      <c r="B51" t="s">
        <v>13</v>
      </c>
      <c r="C51" t="s">
        <v>347</v>
      </c>
      <c r="D51" t="s">
        <v>138</v>
      </c>
      <c r="E51" t="s">
        <v>42</v>
      </c>
    </row>
    <row r="52" spans="1:5" x14ac:dyDescent="0.2">
      <c r="A52" t="s">
        <v>632</v>
      </c>
      <c r="B52" t="s">
        <v>13</v>
      </c>
      <c r="C52" t="s">
        <v>347</v>
      </c>
      <c r="D52" t="s">
        <v>140</v>
      </c>
      <c r="E52" t="s">
        <v>42</v>
      </c>
    </row>
    <row r="53" spans="1:5" x14ac:dyDescent="0.2">
      <c r="A53" t="s">
        <v>633</v>
      </c>
      <c r="B53" t="s">
        <v>13</v>
      </c>
      <c r="C53" t="s">
        <v>347</v>
      </c>
      <c r="D53" t="s">
        <v>541</v>
      </c>
      <c r="E53" t="s">
        <v>42</v>
      </c>
    </row>
    <row r="54" spans="1:5" x14ac:dyDescent="0.2">
      <c r="A54" t="s">
        <v>645</v>
      </c>
      <c r="B54" t="s">
        <v>13</v>
      </c>
      <c r="C54" t="s">
        <v>347</v>
      </c>
      <c r="D54" t="s">
        <v>78</v>
      </c>
      <c r="E54" t="s">
        <v>51</v>
      </c>
    </row>
    <row r="55" spans="1:5" x14ac:dyDescent="0.2">
      <c r="A55" t="s">
        <v>646</v>
      </c>
      <c r="B55" t="s">
        <v>13</v>
      </c>
      <c r="C55" t="s">
        <v>347</v>
      </c>
      <c r="D55" t="s">
        <v>544</v>
      </c>
      <c r="E55" t="s">
        <v>51</v>
      </c>
    </row>
    <row r="56" spans="1:5" x14ac:dyDescent="0.2">
      <c r="A56" t="s">
        <v>647</v>
      </c>
      <c r="B56" t="s">
        <v>13</v>
      </c>
      <c r="C56" t="s">
        <v>347</v>
      </c>
      <c r="D56" t="s">
        <v>79</v>
      </c>
      <c r="E56" t="s">
        <v>51</v>
      </c>
    </row>
    <row r="57" spans="1:5" x14ac:dyDescent="0.2">
      <c r="A57" t="s">
        <v>697</v>
      </c>
      <c r="B57" t="s">
        <v>13</v>
      </c>
      <c r="C57" t="s">
        <v>347</v>
      </c>
      <c r="D57" t="s">
        <v>355</v>
      </c>
      <c r="E57" t="s">
        <v>51</v>
      </c>
    </row>
    <row r="58" spans="1:5" x14ac:dyDescent="0.2">
      <c r="A58" t="s">
        <v>698</v>
      </c>
      <c r="B58" t="s">
        <v>13</v>
      </c>
      <c r="C58" t="s">
        <v>347</v>
      </c>
      <c r="D58" t="s">
        <v>357</v>
      </c>
      <c r="E58" t="s">
        <v>51</v>
      </c>
    </row>
    <row r="59" spans="1:5" x14ac:dyDescent="0.2">
      <c r="A59" t="s">
        <v>641</v>
      </c>
      <c r="B59" t="s">
        <v>13</v>
      </c>
      <c r="C59" t="s">
        <v>347</v>
      </c>
      <c r="D59" t="s">
        <v>368</v>
      </c>
      <c r="E59" t="s">
        <v>12</v>
      </c>
    </row>
    <row r="60" spans="1:5" x14ac:dyDescent="0.2">
      <c r="A60" t="s">
        <v>644</v>
      </c>
      <c r="B60" t="s">
        <v>13</v>
      </c>
      <c r="C60" t="s">
        <v>347</v>
      </c>
      <c r="D60" t="s">
        <v>549</v>
      </c>
      <c r="E60" t="s">
        <v>12</v>
      </c>
    </row>
    <row r="61" spans="1:5" x14ac:dyDescent="0.2">
      <c r="A61" t="s">
        <v>642</v>
      </c>
      <c r="B61" t="s">
        <v>13</v>
      </c>
      <c r="C61" t="s">
        <v>347</v>
      </c>
      <c r="D61" t="s">
        <v>410</v>
      </c>
      <c r="E61" t="s">
        <v>12</v>
      </c>
    </row>
    <row r="62" spans="1:5" x14ac:dyDescent="0.2">
      <c r="A62" t="s">
        <v>705</v>
      </c>
      <c r="B62" t="s">
        <v>13</v>
      </c>
      <c r="C62" t="s">
        <v>347</v>
      </c>
      <c r="D62" t="s">
        <v>1000</v>
      </c>
      <c r="E62" t="s">
        <v>12</v>
      </c>
    </row>
    <row r="63" spans="1:5" x14ac:dyDescent="0.2">
      <c r="A63" t="s">
        <v>706</v>
      </c>
      <c r="B63" t="s">
        <v>13</v>
      </c>
      <c r="C63" t="s">
        <v>347</v>
      </c>
      <c r="D63" t="s">
        <v>555</v>
      </c>
      <c r="E63" t="s">
        <v>12</v>
      </c>
    </row>
    <row r="64" spans="1:5" x14ac:dyDescent="0.2">
      <c r="A64" t="s">
        <v>707</v>
      </c>
      <c r="B64" t="s">
        <v>13</v>
      </c>
      <c r="C64" t="s">
        <v>347</v>
      </c>
      <c r="D64" t="s">
        <v>411</v>
      </c>
      <c r="E64" t="s">
        <v>12</v>
      </c>
    </row>
    <row r="65" spans="1:5" x14ac:dyDescent="0.2">
      <c r="A65" t="s">
        <v>708</v>
      </c>
      <c r="B65" t="s">
        <v>13</v>
      </c>
      <c r="C65" t="s">
        <v>347</v>
      </c>
      <c r="D65" t="s">
        <v>412</v>
      </c>
      <c r="E65" t="s">
        <v>12</v>
      </c>
    </row>
    <row r="66" spans="1:5" x14ac:dyDescent="0.2">
      <c r="A66" t="s">
        <v>709</v>
      </c>
      <c r="B66" t="s">
        <v>13</v>
      </c>
      <c r="C66" t="s">
        <v>347</v>
      </c>
      <c r="D66" t="s">
        <v>550</v>
      </c>
      <c r="E66" t="s">
        <v>12</v>
      </c>
    </row>
    <row r="67" spans="1:5" x14ac:dyDescent="0.2">
      <c r="A67" t="s">
        <v>710</v>
      </c>
      <c r="B67" t="s">
        <v>13</v>
      </c>
      <c r="C67" t="s">
        <v>347</v>
      </c>
      <c r="D67" t="s">
        <v>557</v>
      </c>
      <c r="E67" t="s">
        <v>12</v>
      </c>
    </row>
    <row r="68" spans="1:5" x14ac:dyDescent="0.2">
      <c r="A68" t="s">
        <v>716</v>
      </c>
      <c r="B68" t="s">
        <v>13</v>
      </c>
      <c r="C68" t="s">
        <v>347</v>
      </c>
      <c r="D68" t="s">
        <v>999</v>
      </c>
      <c r="E68" t="s">
        <v>12</v>
      </c>
    </row>
    <row r="69" spans="1:5" x14ac:dyDescent="0.2">
      <c r="A69" t="s">
        <v>711</v>
      </c>
      <c r="B69" t="s">
        <v>13</v>
      </c>
      <c r="C69" t="s">
        <v>347</v>
      </c>
      <c r="D69" t="s">
        <v>551</v>
      </c>
      <c r="E69" t="s">
        <v>12</v>
      </c>
    </row>
    <row r="70" spans="1:5" x14ac:dyDescent="0.2">
      <c r="A70" t="s">
        <v>712</v>
      </c>
      <c r="B70" t="s">
        <v>13</v>
      </c>
      <c r="C70" t="s">
        <v>347</v>
      </c>
      <c r="D70" t="s">
        <v>75</v>
      </c>
      <c r="E70" t="s">
        <v>12</v>
      </c>
    </row>
    <row r="71" spans="1:5" x14ac:dyDescent="0.2">
      <c r="A71" t="s">
        <v>713</v>
      </c>
      <c r="B71" t="s">
        <v>13</v>
      </c>
      <c r="C71" t="s">
        <v>347</v>
      </c>
      <c r="D71" t="s">
        <v>76</v>
      </c>
      <c r="E71" t="s">
        <v>12</v>
      </c>
    </row>
    <row r="72" spans="1:5" x14ac:dyDescent="0.2">
      <c r="A72" t="s">
        <v>714</v>
      </c>
      <c r="B72" t="s">
        <v>13</v>
      </c>
      <c r="C72" t="s">
        <v>347</v>
      </c>
      <c r="D72" t="s">
        <v>552</v>
      </c>
      <c r="E72" t="s">
        <v>12</v>
      </c>
    </row>
    <row r="73" spans="1:5" x14ac:dyDescent="0.2">
      <c r="A73" t="s">
        <v>715</v>
      </c>
      <c r="B73" t="s">
        <v>13</v>
      </c>
      <c r="C73" t="s">
        <v>347</v>
      </c>
      <c r="D73" t="s">
        <v>77</v>
      </c>
      <c r="E73" t="s">
        <v>12</v>
      </c>
    </row>
    <row r="74" spans="1:5" x14ac:dyDescent="0.2">
      <c r="A74" t="s">
        <v>717</v>
      </c>
      <c r="B74" t="s">
        <v>13</v>
      </c>
      <c r="C74" t="s">
        <v>347</v>
      </c>
      <c r="D74" t="s">
        <v>148</v>
      </c>
      <c r="E74" t="s">
        <v>42</v>
      </c>
    </row>
    <row r="75" spans="1:5" x14ac:dyDescent="0.2">
      <c r="A75" t="s">
        <v>718</v>
      </c>
      <c r="B75" t="s">
        <v>13</v>
      </c>
      <c r="C75" t="s">
        <v>347</v>
      </c>
      <c r="D75" t="s">
        <v>150</v>
      </c>
      <c r="E75" t="s">
        <v>12</v>
      </c>
    </row>
    <row r="76" spans="1:5" x14ac:dyDescent="0.2">
      <c r="A76" t="s">
        <v>719</v>
      </c>
      <c r="B76" t="s">
        <v>13</v>
      </c>
      <c r="C76" t="s">
        <v>347</v>
      </c>
      <c r="D76" t="s">
        <v>553</v>
      </c>
      <c r="E76" t="s">
        <v>12</v>
      </c>
    </row>
    <row r="77" spans="1:5" x14ac:dyDescent="0.2">
      <c r="A77" t="s">
        <v>720</v>
      </c>
      <c r="B77" t="s">
        <v>13</v>
      </c>
      <c r="C77" t="s">
        <v>347</v>
      </c>
      <c r="D77" t="s">
        <v>152</v>
      </c>
      <c r="E77" t="s">
        <v>12</v>
      </c>
    </row>
    <row r="78" spans="1:5" x14ac:dyDescent="0.2">
      <c r="A78" t="s">
        <v>721</v>
      </c>
      <c r="B78" t="s">
        <v>13</v>
      </c>
      <c r="C78" t="s">
        <v>347</v>
      </c>
      <c r="D78" t="s">
        <v>154</v>
      </c>
      <c r="E78" t="s">
        <v>12</v>
      </c>
    </row>
    <row r="79" spans="1:5" x14ac:dyDescent="0.2">
      <c r="A79" t="s">
        <v>723</v>
      </c>
      <c r="B79" t="s">
        <v>13</v>
      </c>
      <c r="C79" t="s">
        <v>347</v>
      </c>
      <c r="D79" t="s">
        <v>554</v>
      </c>
      <c r="E79" t="s">
        <v>12</v>
      </c>
    </row>
    <row r="80" spans="1:5" x14ac:dyDescent="0.2">
      <c r="A80" t="s">
        <v>722</v>
      </c>
      <c r="B80" t="s">
        <v>13</v>
      </c>
      <c r="C80" t="s">
        <v>347</v>
      </c>
      <c r="D80" t="s">
        <v>156</v>
      </c>
      <c r="E80" t="s">
        <v>12</v>
      </c>
    </row>
    <row r="81" spans="1:5" x14ac:dyDescent="0.2">
      <c r="A81" t="s">
        <v>724</v>
      </c>
      <c r="B81" t="s">
        <v>13</v>
      </c>
      <c r="C81" t="s">
        <v>347</v>
      </c>
      <c r="D81" t="s">
        <v>82</v>
      </c>
      <c r="E81" t="s">
        <v>12</v>
      </c>
    </row>
    <row r="83" spans="1:5" ht="18" thickBot="1" x14ac:dyDescent="0.35">
      <c r="A83" s="81" t="s">
        <v>1072</v>
      </c>
      <c r="B83" s="81"/>
      <c r="C83" s="81"/>
      <c r="D83" s="81"/>
      <c r="E83" s="81"/>
    </row>
    <row r="84" spans="1:5" ht="13.5" thickTop="1" x14ac:dyDescent="0.2">
      <c r="A84" t="s">
        <v>634</v>
      </c>
      <c r="B84" t="s">
        <v>13</v>
      </c>
      <c r="C84" t="s">
        <v>347</v>
      </c>
      <c r="D84" t="s">
        <v>495</v>
      </c>
      <c r="E84" t="s">
        <v>42</v>
      </c>
    </row>
    <row r="85" spans="1:5" x14ac:dyDescent="0.2">
      <c r="A85" t="s">
        <v>635</v>
      </c>
      <c r="B85" t="s">
        <v>13</v>
      </c>
      <c r="C85" t="s">
        <v>347</v>
      </c>
      <c r="D85" t="s">
        <v>542</v>
      </c>
      <c r="E85" t="s">
        <v>42</v>
      </c>
    </row>
    <row r="86" spans="1:5" x14ac:dyDescent="0.2">
      <c r="A86" t="s">
        <v>636</v>
      </c>
      <c r="B86" t="s">
        <v>13</v>
      </c>
      <c r="C86" t="s">
        <v>347</v>
      </c>
      <c r="D86" t="s">
        <v>496</v>
      </c>
      <c r="E86" t="s">
        <v>42</v>
      </c>
    </row>
    <row r="87" spans="1:5" x14ac:dyDescent="0.2">
      <c r="A87" t="s">
        <v>637</v>
      </c>
      <c r="B87" t="s">
        <v>13</v>
      </c>
      <c r="C87" t="s">
        <v>347</v>
      </c>
      <c r="D87" t="s">
        <v>497</v>
      </c>
      <c r="E87" t="s">
        <v>42</v>
      </c>
    </row>
    <row r="88" spans="1:5" x14ac:dyDescent="0.2">
      <c r="A88" t="s">
        <v>638</v>
      </c>
      <c r="B88" t="s">
        <v>13</v>
      </c>
      <c r="C88" t="s">
        <v>347</v>
      </c>
      <c r="D88" t="s">
        <v>543</v>
      </c>
      <c r="E88" t="s">
        <v>42</v>
      </c>
    </row>
    <row r="90" spans="1:5" ht="18" thickBot="1" x14ac:dyDescent="0.35">
      <c r="A90" s="81" t="s">
        <v>1038</v>
      </c>
      <c r="B90" s="81"/>
      <c r="C90" s="81"/>
      <c r="D90" s="81"/>
      <c r="E90" s="81"/>
    </row>
    <row r="91" spans="1:5" ht="13.5" thickTop="1" x14ac:dyDescent="0.2">
      <c r="A91" t="s">
        <v>654</v>
      </c>
      <c r="B91" t="s">
        <v>13</v>
      </c>
      <c r="C91" t="s">
        <v>347</v>
      </c>
      <c r="D91" t="s">
        <v>23</v>
      </c>
      <c r="E91" t="s">
        <v>12</v>
      </c>
    </row>
    <row r="92" spans="1:5" x14ac:dyDescent="0.2">
      <c r="A92" t="s">
        <v>726</v>
      </c>
      <c r="B92" t="s">
        <v>13</v>
      </c>
      <c r="C92" t="s">
        <v>347</v>
      </c>
      <c r="D92" t="s">
        <v>28</v>
      </c>
      <c r="E92" t="s">
        <v>12</v>
      </c>
    </row>
    <row r="93" spans="1:5" x14ac:dyDescent="0.2">
      <c r="A93" t="s">
        <v>725</v>
      </c>
      <c r="B93" t="s">
        <v>13</v>
      </c>
      <c r="C93" t="s">
        <v>347</v>
      </c>
      <c r="D93" t="s">
        <v>27</v>
      </c>
      <c r="E93" t="s">
        <v>12</v>
      </c>
    </row>
    <row r="94" spans="1:5" x14ac:dyDescent="0.2">
      <c r="A94" t="s">
        <v>727</v>
      </c>
      <c r="B94" t="s">
        <v>13</v>
      </c>
      <c r="C94" t="s">
        <v>347</v>
      </c>
      <c r="D94" t="s">
        <v>527</v>
      </c>
      <c r="E94" t="s">
        <v>12</v>
      </c>
    </row>
    <row r="95" spans="1:5" x14ac:dyDescent="0.2">
      <c r="A95" t="s">
        <v>728</v>
      </c>
      <c r="B95" t="s">
        <v>13</v>
      </c>
      <c r="C95" t="s">
        <v>347</v>
      </c>
      <c r="D95" t="s">
        <v>501</v>
      </c>
      <c r="E95" t="s">
        <v>12</v>
      </c>
    </row>
    <row r="96" spans="1:5" x14ac:dyDescent="0.2">
      <c r="A96" t="s">
        <v>729</v>
      </c>
      <c r="B96" t="s">
        <v>13</v>
      </c>
      <c r="C96" t="s">
        <v>347</v>
      </c>
      <c r="D96" t="s">
        <v>998</v>
      </c>
      <c r="E96" t="s">
        <v>12</v>
      </c>
    </row>
    <row r="97" spans="1:5" x14ac:dyDescent="0.2">
      <c r="A97" t="s">
        <v>730</v>
      </c>
      <c r="B97" t="s">
        <v>13</v>
      </c>
      <c r="C97" t="s">
        <v>347</v>
      </c>
      <c r="D97" t="s">
        <v>46</v>
      </c>
      <c r="E97" t="s">
        <v>12</v>
      </c>
    </row>
    <row r="98" spans="1:5" x14ac:dyDescent="0.2">
      <c r="A98" t="s">
        <v>655</v>
      </c>
      <c r="B98" t="s">
        <v>13</v>
      </c>
      <c r="C98" t="s">
        <v>347</v>
      </c>
      <c r="D98" t="s">
        <v>44</v>
      </c>
      <c r="E98" t="s">
        <v>12</v>
      </c>
    </row>
    <row r="99" spans="1:5" x14ac:dyDescent="0.2">
      <c r="A99" t="s">
        <v>731</v>
      </c>
      <c r="B99" t="s">
        <v>13</v>
      </c>
      <c r="C99" t="s">
        <v>347</v>
      </c>
      <c r="D99" t="s">
        <v>30</v>
      </c>
      <c r="E99" t="s">
        <v>12</v>
      </c>
    </row>
    <row r="100" spans="1:5" x14ac:dyDescent="0.2">
      <c r="A100" t="s">
        <v>732</v>
      </c>
      <c r="B100" t="s">
        <v>13</v>
      </c>
      <c r="C100" t="s">
        <v>347</v>
      </c>
      <c r="D100" t="s">
        <v>39</v>
      </c>
      <c r="E100" t="s">
        <v>12</v>
      </c>
    </row>
    <row r="101" spans="1:5" x14ac:dyDescent="0.2">
      <c r="A101" t="s">
        <v>656</v>
      </c>
      <c r="B101" t="s">
        <v>13</v>
      </c>
      <c r="C101" t="s">
        <v>347</v>
      </c>
      <c r="D101" t="s">
        <v>24</v>
      </c>
      <c r="E101" t="s">
        <v>12</v>
      </c>
    </row>
    <row r="102" spans="1:5" x14ac:dyDescent="0.2">
      <c r="A102" t="s">
        <v>657</v>
      </c>
      <c r="B102" t="s">
        <v>13</v>
      </c>
      <c r="C102" t="s">
        <v>347</v>
      </c>
      <c r="D102" t="s">
        <v>33</v>
      </c>
      <c r="E102" t="s">
        <v>12</v>
      </c>
    </row>
    <row r="103" spans="1:5" x14ac:dyDescent="0.2">
      <c r="A103" t="s">
        <v>658</v>
      </c>
      <c r="B103" t="s">
        <v>13</v>
      </c>
      <c r="C103" t="s">
        <v>347</v>
      </c>
      <c r="D103" t="s">
        <v>41</v>
      </c>
      <c r="E103" t="s">
        <v>12</v>
      </c>
    </row>
    <row r="105" spans="1:5" ht="18" thickBot="1" x14ac:dyDescent="0.35">
      <c r="A105" s="81" t="s">
        <v>1039</v>
      </c>
      <c r="B105" s="81"/>
      <c r="C105" s="81"/>
      <c r="D105" s="81"/>
      <c r="E105" s="81"/>
    </row>
    <row r="106" spans="1:5" ht="13.5" thickTop="1" x14ac:dyDescent="0.2">
      <c r="A106" t="s">
        <v>660</v>
      </c>
      <c r="B106" t="s">
        <v>13</v>
      </c>
      <c r="C106" t="s">
        <v>347</v>
      </c>
      <c r="D106" t="s">
        <v>36</v>
      </c>
      <c r="E106" t="s">
        <v>12</v>
      </c>
    </row>
    <row r="107" spans="1:5" x14ac:dyDescent="0.2">
      <c r="A107" t="s">
        <v>661</v>
      </c>
      <c r="B107" t="s">
        <v>13</v>
      </c>
      <c r="C107" t="s">
        <v>347</v>
      </c>
      <c r="D107" t="s">
        <v>525</v>
      </c>
      <c r="E107" t="s">
        <v>12</v>
      </c>
    </row>
    <row r="108" spans="1:5" x14ac:dyDescent="0.2">
      <c r="A108" t="s">
        <v>662</v>
      </c>
      <c r="B108" t="s">
        <v>13</v>
      </c>
      <c r="C108" t="s">
        <v>347</v>
      </c>
      <c r="D108" t="s">
        <v>38</v>
      </c>
      <c r="E108" t="s">
        <v>12</v>
      </c>
    </row>
    <row r="110" spans="1:5" ht="18" thickBot="1" x14ac:dyDescent="0.35">
      <c r="A110" s="81" t="s">
        <v>1024</v>
      </c>
      <c r="B110" s="81"/>
      <c r="C110" s="81"/>
      <c r="D110" s="81"/>
      <c r="E110" s="81"/>
    </row>
    <row r="111" spans="1:5" ht="13.5" thickTop="1" x14ac:dyDescent="0.2">
      <c r="A111" t="s">
        <v>736</v>
      </c>
      <c r="B111" t="s">
        <v>13</v>
      </c>
      <c r="C111" t="s">
        <v>347</v>
      </c>
      <c r="D111" t="s">
        <v>210</v>
      </c>
      <c r="E111" t="s">
        <v>51</v>
      </c>
    </row>
    <row r="112" spans="1:5" x14ac:dyDescent="0.2">
      <c r="A112" t="s">
        <v>737</v>
      </c>
      <c r="B112" t="s">
        <v>13</v>
      </c>
      <c r="C112" t="s">
        <v>347</v>
      </c>
      <c r="D112" t="s">
        <v>214</v>
      </c>
      <c r="E112" t="s">
        <v>42</v>
      </c>
    </row>
    <row r="113" spans="1:5" x14ac:dyDescent="0.2">
      <c r="A113" t="s">
        <v>738</v>
      </c>
      <c r="B113" t="s">
        <v>13</v>
      </c>
      <c r="C113" t="s">
        <v>347</v>
      </c>
      <c r="D113" t="s">
        <v>215</v>
      </c>
      <c r="E113" t="s">
        <v>51</v>
      </c>
    </row>
    <row r="114" spans="1:5" x14ac:dyDescent="0.2">
      <c r="A114" t="s">
        <v>739</v>
      </c>
      <c r="B114" t="s">
        <v>13</v>
      </c>
      <c r="C114" t="s">
        <v>347</v>
      </c>
      <c r="D114" t="s">
        <v>418</v>
      </c>
      <c r="E114" t="s">
        <v>12</v>
      </c>
    </row>
    <row r="115" spans="1:5" x14ac:dyDescent="0.2">
      <c r="A115" t="s">
        <v>741</v>
      </c>
      <c r="B115" t="s">
        <v>13</v>
      </c>
      <c r="C115" t="s">
        <v>347</v>
      </c>
      <c r="D115" t="s">
        <v>216</v>
      </c>
      <c r="E115" t="s">
        <v>12</v>
      </c>
    </row>
    <row r="116" spans="1:5" x14ac:dyDescent="0.2">
      <c r="A116" t="s">
        <v>740</v>
      </c>
      <c r="B116" t="s">
        <v>13</v>
      </c>
      <c r="C116" t="s">
        <v>347</v>
      </c>
      <c r="D116" t="s">
        <v>217</v>
      </c>
      <c r="E116" t="s">
        <v>12</v>
      </c>
    </row>
    <row r="117" spans="1:5" x14ac:dyDescent="0.2">
      <c r="A117" t="s">
        <v>742</v>
      </c>
      <c r="B117" t="s">
        <v>13</v>
      </c>
      <c r="C117" t="s">
        <v>347</v>
      </c>
      <c r="D117" t="s">
        <v>229</v>
      </c>
      <c r="E117" t="s">
        <v>12</v>
      </c>
    </row>
    <row r="118" spans="1:5" x14ac:dyDescent="0.2">
      <c r="A118" t="s">
        <v>743</v>
      </c>
      <c r="B118" t="s">
        <v>13</v>
      </c>
      <c r="C118" t="s">
        <v>347</v>
      </c>
      <c r="D118" t="s">
        <v>218</v>
      </c>
      <c r="E118" t="s">
        <v>12</v>
      </c>
    </row>
    <row r="119" spans="1:5" x14ac:dyDescent="0.2">
      <c r="A119" t="s">
        <v>744</v>
      </c>
      <c r="B119" t="s">
        <v>13</v>
      </c>
      <c r="C119" t="s">
        <v>347</v>
      </c>
      <c r="D119" t="s">
        <v>224</v>
      </c>
      <c r="E119" t="s">
        <v>12</v>
      </c>
    </row>
    <row r="120" spans="1:5" x14ac:dyDescent="0.2">
      <c r="A120" t="s">
        <v>745</v>
      </c>
      <c r="B120" t="s">
        <v>13</v>
      </c>
      <c r="C120" t="s">
        <v>347</v>
      </c>
      <c r="D120" t="s">
        <v>227</v>
      </c>
      <c r="E120" t="s">
        <v>12</v>
      </c>
    </row>
    <row r="121" spans="1:5" x14ac:dyDescent="0.2">
      <c r="A121" t="s">
        <v>746</v>
      </c>
      <c r="B121" t="s">
        <v>13</v>
      </c>
      <c r="C121" t="s">
        <v>347</v>
      </c>
      <c r="D121" t="s">
        <v>223</v>
      </c>
      <c r="E121" t="s">
        <v>42</v>
      </c>
    </row>
    <row r="123" spans="1:5" ht="18" thickBot="1" x14ac:dyDescent="0.35">
      <c r="A123" s="81" t="s">
        <v>1040</v>
      </c>
      <c r="B123" s="81"/>
      <c r="C123" s="81"/>
      <c r="D123" s="81"/>
      <c r="E123" s="81"/>
    </row>
    <row r="124" spans="1:5" ht="13.5" thickTop="1" x14ac:dyDescent="0.2">
      <c r="A124" t="s">
        <v>741</v>
      </c>
      <c r="B124" t="s">
        <v>13</v>
      </c>
      <c r="C124" t="s">
        <v>347</v>
      </c>
      <c r="D124" t="s">
        <v>216</v>
      </c>
      <c r="E124" t="s">
        <v>12</v>
      </c>
    </row>
    <row r="125" spans="1:5" x14ac:dyDescent="0.2">
      <c r="A125" t="s">
        <v>740</v>
      </c>
      <c r="B125" t="s">
        <v>13</v>
      </c>
      <c r="C125" t="s">
        <v>347</v>
      </c>
      <c r="D125" t="s">
        <v>217</v>
      </c>
      <c r="E125" t="s">
        <v>12</v>
      </c>
    </row>
    <row r="126" spans="1:5" x14ac:dyDescent="0.2">
      <c r="A126" t="s">
        <v>742</v>
      </c>
      <c r="B126" t="s">
        <v>13</v>
      </c>
      <c r="C126" t="s">
        <v>347</v>
      </c>
      <c r="D126" t="s">
        <v>229</v>
      </c>
      <c r="E126" t="s">
        <v>12</v>
      </c>
    </row>
    <row r="127" spans="1:5" x14ac:dyDescent="0.2">
      <c r="A127" t="s">
        <v>743</v>
      </c>
      <c r="B127" t="s">
        <v>13</v>
      </c>
      <c r="C127" t="s">
        <v>347</v>
      </c>
      <c r="D127" t="s">
        <v>218</v>
      </c>
      <c r="E127" t="s">
        <v>12</v>
      </c>
    </row>
    <row r="128" spans="1:5" x14ac:dyDescent="0.2">
      <c r="A128" t="s">
        <v>744</v>
      </c>
      <c r="B128" t="s">
        <v>13</v>
      </c>
      <c r="C128" t="s">
        <v>347</v>
      </c>
      <c r="D128" t="s">
        <v>224</v>
      </c>
      <c r="E128" t="s">
        <v>12</v>
      </c>
    </row>
    <row r="129" spans="1:5" x14ac:dyDescent="0.2">
      <c r="A129" t="s">
        <v>745</v>
      </c>
      <c r="B129" t="s">
        <v>13</v>
      </c>
      <c r="C129" t="s">
        <v>347</v>
      </c>
      <c r="D129" t="s">
        <v>227</v>
      </c>
      <c r="E129" t="s">
        <v>12</v>
      </c>
    </row>
    <row r="130" spans="1:5" x14ac:dyDescent="0.2">
      <c r="A130" t="s">
        <v>746</v>
      </c>
      <c r="B130" t="s">
        <v>13</v>
      </c>
      <c r="C130" t="s">
        <v>347</v>
      </c>
      <c r="D130" t="s">
        <v>223</v>
      </c>
      <c r="E130" t="s">
        <v>42</v>
      </c>
    </row>
    <row r="132" spans="1:5" ht="18" thickBot="1" x14ac:dyDescent="0.35">
      <c r="A132" s="81" t="s">
        <v>1016</v>
      </c>
      <c r="B132" s="81"/>
      <c r="C132" s="81"/>
      <c r="D132" s="81"/>
      <c r="E132" s="81"/>
    </row>
    <row r="133" spans="1:5" ht="13.5" thickTop="1" x14ac:dyDescent="0.2">
      <c r="A133" t="s">
        <v>749</v>
      </c>
      <c r="B133" t="s">
        <v>13</v>
      </c>
      <c r="C133" t="s">
        <v>347</v>
      </c>
      <c r="D133" t="s">
        <v>247</v>
      </c>
      <c r="E133" t="s">
        <v>42</v>
      </c>
    </row>
    <row r="135" spans="1:5" ht="18" thickBot="1" x14ac:dyDescent="0.35">
      <c r="A135" s="81" t="s">
        <v>1042</v>
      </c>
      <c r="B135" s="81"/>
      <c r="C135" s="81"/>
      <c r="D135" s="81"/>
      <c r="E135" s="81"/>
    </row>
    <row r="136" spans="1:5" ht="13.5" thickTop="1" x14ac:dyDescent="0.2">
      <c r="A136" t="s">
        <v>750</v>
      </c>
      <c r="B136" t="s">
        <v>13</v>
      </c>
      <c r="C136" t="s">
        <v>347</v>
      </c>
      <c r="D136" t="s">
        <v>385</v>
      </c>
      <c r="E136" t="s">
        <v>12</v>
      </c>
    </row>
    <row r="137" spans="1:5" x14ac:dyDescent="0.2">
      <c r="A137" t="s">
        <v>751</v>
      </c>
      <c r="B137" t="s">
        <v>13</v>
      </c>
      <c r="C137" t="s">
        <v>347</v>
      </c>
      <c r="D137" t="s">
        <v>387</v>
      </c>
      <c r="E137" t="s">
        <v>12</v>
      </c>
    </row>
    <row r="138" spans="1:5" x14ac:dyDescent="0.2">
      <c r="A138" t="s">
        <v>752</v>
      </c>
      <c r="B138" t="s">
        <v>13</v>
      </c>
      <c r="C138" t="s">
        <v>347</v>
      </c>
      <c r="D138" t="s">
        <v>388</v>
      </c>
      <c r="E138" t="s">
        <v>12</v>
      </c>
    </row>
    <row r="139" spans="1:5" x14ac:dyDescent="0.2">
      <c r="A139" t="s">
        <v>753</v>
      </c>
      <c r="B139" t="s">
        <v>13</v>
      </c>
      <c r="C139" t="s">
        <v>347</v>
      </c>
      <c r="D139" t="s">
        <v>393</v>
      </c>
      <c r="E139" t="s">
        <v>12</v>
      </c>
    </row>
    <row r="140" spans="1:5" x14ac:dyDescent="0.2">
      <c r="A140" t="s">
        <v>754</v>
      </c>
      <c r="B140" t="s">
        <v>13</v>
      </c>
      <c r="C140" t="s">
        <v>347</v>
      </c>
      <c r="D140" t="s">
        <v>395</v>
      </c>
      <c r="E140" t="s">
        <v>12</v>
      </c>
    </row>
    <row r="141" spans="1:5" x14ac:dyDescent="0.2">
      <c r="A141" t="s">
        <v>755</v>
      </c>
      <c r="B141" t="s">
        <v>13</v>
      </c>
      <c r="C141" t="s">
        <v>347</v>
      </c>
      <c r="D141" t="s">
        <v>396</v>
      </c>
      <c r="E141" t="s">
        <v>12</v>
      </c>
    </row>
    <row r="142" spans="1:5" ht="18" thickBot="1" x14ac:dyDescent="0.35">
      <c r="A142" s="81"/>
      <c r="B142" s="81"/>
      <c r="C142" s="81"/>
      <c r="D142" s="81"/>
      <c r="E142" s="81"/>
    </row>
    <row r="143" spans="1:5" ht="18.75" thickTop="1" thickBot="1" x14ac:dyDescent="0.35">
      <c r="A143" s="81" t="s">
        <v>1017</v>
      </c>
      <c r="B143" s="81"/>
      <c r="C143" s="81"/>
      <c r="D143" s="81"/>
      <c r="E143" s="81"/>
    </row>
    <row r="144" spans="1:5" ht="13.5" thickTop="1" x14ac:dyDescent="0.2">
      <c r="A144" t="s">
        <v>651</v>
      </c>
      <c r="B144" t="s">
        <v>574</v>
      </c>
      <c r="C144" t="s">
        <v>347</v>
      </c>
      <c r="D144" t="s">
        <v>50</v>
      </c>
      <c r="E144" t="s">
        <v>51</v>
      </c>
    </row>
    <row r="145" spans="1:5" ht="18" thickBot="1" x14ac:dyDescent="0.35">
      <c r="A145" s="81"/>
      <c r="B145" s="81"/>
      <c r="C145" s="81"/>
      <c r="D145" s="81"/>
      <c r="E145" s="81"/>
    </row>
    <row r="146" spans="1:5" ht="18.75" thickTop="1" thickBot="1" x14ac:dyDescent="0.35">
      <c r="A146" s="81" t="s">
        <v>1026</v>
      </c>
      <c r="B146" s="81"/>
      <c r="C146" s="81"/>
      <c r="D146" s="81"/>
      <c r="E146" s="81"/>
    </row>
    <row r="147" spans="1:5" ht="13.5" thickTop="1" x14ac:dyDescent="0.2">
      <c r="A147" t="s">
        <v>651</v>
      </c>
      <c r="B147" t="s">
        <v>574</v>
      </c>
      <c r="C147" t="s">
        <v>347</v>
      </c>
      <c r="D147" t="s">
        <v>50</v>
      </c>
      <c r="E147" t="s">
        <v>51</v>
      </c>
    </row>
    <row r="149" spans="1:5" ht="18" thickBot="1" x14ac:dyDescent="0.35">
      <c r="A149" s="81" t="s">
        <v>1043</v>
      </c>
      <c r="B149" s="81"/>
      <c r="C149" s="81"/>
      <c r="D149" s="81"/>
      <c r="E149" s="81"/>
    </row>
    <row r="150" spans="1:5" ht="13.5" thickTop="1" x14ac:dyDescent="0.2">
      <c r="A150" t="s">
        <v>651</v>
      </c>
      <c r="B150" t="s">
        <v>574</v>
      </c>
      <c r="C150" t="s">
        <v>347</v>
      </c>
      <c r="D150" t="s">
        <v>50</v>
      </c>
      <c r="E150" t="s">
        <v>51</v>
      </c>
    </row>
    <row r="151" spans="1:5" ht="18" thickBot="1" x14ac:dyDescent="0.35">
      <c r="A151" s="81"/>
      <c r="B151" s="81"/>
      <c r="C151" s="81"/>
      <c r="D151" s="81"/>
      <c r="E151" s="81"/>
    </row>
    <row r="152" spans="1:5" ht="18.75" thickTop="1" thickBot="1" x14ac:dyDescent="0.35">
      <c r="A152" s="81" t="s">
        <v>1055</v>
      </c>
      <c r="B152" s="81"/>
      <c r="C152" s="81"/>
      <c r="D152" s="81"/>
      <c r="E152" s="81"/>
    </row>
    <row r="153" spans="1:5" ht="13.5" thickTop="1" x14ac:dyDescent="0.2">
      <c r="A153" t="s">
        <v>651</v>
      </c>
      <c r="B153" t="s">
        <v>574</v>
      </c>
      <c r="C153" t="s">
        <v>347</v>
      </c>
      <c r="D153" t="s">
        <v>50</v>
      </c>
      <c r="E153" t="s">
        <v>51</v>
      </c>
    </row>
    <row r="155" spans="1:5" ht="18" thickBot="1" x14ac:dyDescent="0.35">
      <c r="A155" s="81" t="s">
        <v>1064</v>
      </c>
      <c r="B155" s="81"/>
      <c r="C155" s="81"/>
      <c r="D155" s="81"/>
      <c r="E155" s="81"/>
    </row>
    <row r="156" spans="1:5" ht="13.5" thickTop="1" x14ac:dyDescent="0.2">
      <c r="A156" t="s">
        <v>651</v>
      </c>
      <c r="B156" t="s">
        <v>574</v>
      </c>
      <c r="C156" t="s">
        <v>347</v>
      </c>
      <c r="D156" t="s">
        <v>50</v>
      </c>
      <c r="E156" t="s">
        <v>51</v>
      </c>
    </row>
    <row r="158" spans="1:5" ht="18" thickBot="1" x14ac:dyDescent="0.35">
      <c r="A158" s="81" t="s">
        <v>1049</v>
      </c>
      <c r="B158" s="81"/>
      <c r="C158" s="81"/>
      <c r="D158" s="81"/>
      <c r="E158" s="81"/>
    </row>
    <row r="159" spans="1:5" ht="13.5" thickTop="1" x14ac:dyDescent="0.2">
      <c r="A159" t="s">
        <v>781</v>
      </c>
      <c r="B159" t="s">
        <v>587</v>
      </c>
      <c r="C159" t="s">
        <v>72</v>
      </c>
      <c r="D159" t="s">
        <v>288</v>
      </c>
      <c r="E159" t="s">
        <v>12</v>
      </c>
    </row>
    <row r="160" spans="1:5" x14ac:dyDescent="0.2">
      <c r="A160" t="s">
        <v>782</v>
      </c>
      <c r="B160" t="s">
        <v>587</v>
      </c>
      <c r="C160" t="s">
        <v>72</v>
      </c>
      <c r="D160" t="s">
        <v>289</v>
      </c>
      <c r="E160" t="s">
        <v>12</v>
      </c>
    </row>
    <row r="161" spans="1:5" x14ac:dyDescent="0.2">
      <c r="A161" t="s">
        <v>783</v>
      </c>
      <c r="B161" t="s">
        <v>587</v>
      </c>
      <c r="C161" t="s">
        <v>72</v>
      </c>
      <c r="D161" t="s">
        <v>290</v>
      </c>
      <c r="E161" t="s">
        <v>12</v>
      </c>
    </row>
    <row r="162" spans="1:5" x14ac:dyDescent="0.2">
      <c r="A162" t="s">
        <v>784</v>
      </c>
      <c r="B162" t="s">
        <v>587</v>
      </c>
      <c r="C162" t="s">
        <v>72</v>
      </c>
      <c r="D162" t="s">
        <v>291</v>
      </c>
      <c r="E162" t="s">
        <v>12</v>
      </c>
    </row>
    <row r="163" spans="1:5" x14ac:dyDescent="0.2">
      <c r="A163" t="s">
        <v>785</v>
      </c>
      <c r="B163" t="s">
        <v>587</v>
      </c>
      <c r="C163" t="s">
        <v>72</v>
      </c>
      <c r="D163" t="s">
        <v>414</v>
      </c>
      <c r="E163" t="s">
        <v>12</v>
      </c>
    </row>
    <row r="164" spans="1:5" x14ac:dyDescent="0.2">
      <c r="A164" t="s">
        <v>786</v>
      </c>
      <c r="B164" t="s">
        <v>587</v>
      </c>
      <c r="C164" t="s">
        <v>72</v>
      </c>
      <c r="D164" t="s">
        <v>416</v>
      </c>
      <c r="E164" t="s">
        <v>12</v>
      </c>
    </row>
    <row r="165" spans="1:5" x14ac:dyDescent="0.2">
      <c r="A165" t="s">
        <v>787</v>
      </c>
      <c r="B165" t="s">
        <v>587</v>
      </c>
      <c r="C165" t="s">
        <v>72</v>
      </c>
      <c r="D165" t="s">
        <v>293</v>
      </c>
      <c r="E165" t="s">
        <v>12</v>
      </c>
    </row>
    <row r="166" spans="1:5" x14ac:dyDescent="0.2">
      <c r="A166" t="s">
        <v>788</v>
      </c>
      <c r="B166" t="s">
        <v>587</v>
      </c>
      <c r="C166" t="s">
        <v>72</v>
      </c>
      <c r="D166" t="s">
        <v>390</v>
      </c>
      <c r="E166" t="s">
        <v>12</v>
      </c>
    </row>
    <row r="167" spans="1:5" x14ac:dyDescent="0.2">
      <c r="A167" t="s">
        <v>789</v>
      </c>
      <c r="B167" t="s">
        <v>587</v>
      </c>
      <c r="C167" t="s">
        <v>72</v>
      </c>
      <c r="D167" t="s">
        <v>869</v>
      </c>
      <c r="E167" t="s">
        <v>12</v>
      </c>
    </row>
    <row r="169" spans="1:5" ht="18" thickBot="1" x14ac:dyDescent="0.35">
      <c r="A169" s="81" t="s">
        <v>1033</v>
      </c>
      <c r="B169" s="81"/>
      <c r="C169" s="81"/>
      <c r="D169" s="81"/>
      <c r="E169" s="81"/>
    </row>
    <row r="170" spans="1:5" ht="13.5" thickTop="1" x14ac:dyDescent="0.2">
      <c r="A170" t="s">
        <v>787</v>
      </c>
      <c r="B170" t="s">
        <v>587</v>
      </c>
      <c r="C170" t="s">
        <v>72</v>
      </c>
      <c r="D170" t="s">
        <v>293</v>
      </c>
      <c r="E170" t="s">
        <v>12</v>
      </c>
    </row>
    <row r="172" spans="1:5" ht="18" thickBot="1" x14ac:dyDescent="0.35">
      <c r="A172" s="81" t="s">
        <v>1050</v>
      </c>
      <c r="B172" s="81"/>
      <c r="C172" s="81"/>
      <c r="D172" s="81"/>
      <c r="E172" s="81"/>
    </row>
    <row r="173" spans="1:5" ht="13.5" thickTop="1" x14ac:dyDescent="0.2">
      <c r="A173" t="s">
        <v>823</v>
      </c>
      <c r="B173" t="s">
        <v>574</v>
      </c>
      <c r="C173" t="s">
        <v>347</v>
      </c>
      <c r="D173" t="s">
        <v>332</v>
      </c>
      <c r="E173" t="s">
        <v>51</v>
      </c>
    </row>
    <row r="174" spans="1:5" x14ac:dyDescent="0.2">
      <c r="A174" t="s">
        <v>824</v>
      </c>
      <c r="B174" t="s">
        <v>574</v>
      </c>
      <c r="C174" t="s">
        <v>347</v>
      </c>
      <c r="D174" t="s">
        <v>333</v>
      </c>
      <c r="E174" t="s">
        <v>51</v>
      </c>
    </row>
    <row r="175" spans="1:5" x14ac:dyDescent="0.2">
      <c r="A175" t="s">
        <v>830</v>
      </c>
      <c r="B175" t="s">
        <v>574</v>
      </c>
      <c r="C175" t="s">
        <v>347</v>
      </c>
      <c r="D175" t="s">
        <v>170</v>
      </c>
      <c r="E175" t="s">
        <v>51</v>
      </c>
    </row>
    <row r="176" spans="1:5" x14ac:dyDescent="0.2">
      <c r="A176" t="s">
        <v>825</v>
      </c>
      <c r="B176" t="s">
        <v>574</v>
      </c>
      <c r="C176" t="s">
        <v>347</v>
      </c>
      <c r="D176" t="s">
        <v>172</v>
      </c>
      <c r="E176" t="s">
        <v>51</v>
      </c>
    </row>
    <row r="177" spans="1:5" x14ac:dyDescent="0.2">
      <c r="A177" t="s">
        <v>831</v>
      </c>
      <c r="B177" t="s">
        <v>574</v>
      </c>
      <c r="C177" t="s">
        <v>347</v>
      </c>
      <c r="D177" t="s">
        <v>1084</v>
      </c>
      <c r="E177" t="s">
        <v>51</v>
      </c>
    </row>
    <row r="178" spans="1:5" x14ac:dyDescent="0.2">
      <c r="A178" t="s">
        <v>826</v>
      </c>
      <c r="B178" t="s">
        <v>574</v>
      </c>
      <c r="C178" t="s">
        <v>347</v>
      </c>
      <c r="D178" t="s">
        <v>283</v>
      </c>
      <c r="E178" t="s">
        <v>51</v>
      </c>
    </row>
    <row r="179" spans="1:5" x14ac:dyDescent="0.2">
      <c r="A179" t="s">
        <v>827</v>
      </c>
      <c r="B179" t="s">
        <v>574</v>
      </c>
      <c r="C179" t="s">
        <v>347</v>
      </c>
      <c r="D179" t="s">
        <v>284</v>
      </c>
      <c r="E179" t="s">
        <v>51</v>
      </c>
    </row>
    <row r="180" spans="1:5" x14ac:dyDescent="0.2">
      <c r="A180" t="s">
        <v>828</v>
      </c>
      <c r="B180" t="s">
        <v>574</v>
      </c>
      <c r="C180" t="s">
        <v>347</v>
      </c>
      <c r="D180" t="s">
        <v>285</v>
      </c>
      <c r="E180" t="s">
        <v>51</v>
      </c>
    </row>
    <row r="181" spans="1:5" x14ac:dyDescent="0.2">
      <c r="A181" t="s">
        <v>829</v>
      </c>
      <c r="B181" t="s">
        <v>574</v>
      </c>
      <c r="C181" t="s">
        <v>347</v>
      </c>
      <c r="D181" t="s">
        <v>286</v>
      </c>
      <c r="E181" t="s">
        <v>51</v>
      </c>
    </row>
    <row r="183" spans="1:5" ht="18" thickBot="1" x14ac:dyDescent="0.35">
      <c r="A183" s="81" t="s">
        <v>1036</v>
      </c>
      <c r="B183" s="81"/>
      <c r="C183" s="81"/>
      <c r="D183" s="81"/>
      <c r="E183" s="81"/>
    </row>
    <row r="184" spans="1:5" ht="13.5" thickTop="1" x14ac:dyDescent="0.2">
      <c r="A184" t="s">
        <v>832</v>
      </c>
      <c r="B184" t="s">
        <v>574</v>
      </c>
      <c r="C184" t="s">
        <v>347</v>
      </c>
      <c r="D184" t="s">
        <v>301</v>
      </c>
      <c r="E184" t="s">
        <v>51</v>
      </c>
    </row>
    <row r="185" spans="1:5" x14ac:dyDescent="0.2">
      <c r="A185" t="s">
        <v>833</v>
      </c>
      <c r="B185" t="s">
        <v>587</v>
      </c>
      <c r="C185" t="s">
        <v>72</v>
      </c>
      <c r="D185" t="s">
        <v>302</v>
      </c>
      <c r="E185" t="s">
        <v>12</v>
      </c>
    </row>
    <row r="186" spans="1:5" x14ac:dyDescent="0.2">
      <c r="A186" t="s">
        <v>834</v>
      </c>
      <c r="B186" t="s">
        <v>587</v>
      </c>
      <c r="C186" t="s">
        <v>72</v>
      </c>
      <c r="D186" t="s">
        <v>303</v>
      </c>
      <c r="E186" t="s">
        <v>12</v>
      </c>
    </row>
    <row r="187" spans="1:5" x14ac:dyDescent="0.2">
      <c r="A187" t="s">
        <v>835</v>
      </c>
      <c r="B187" t="s">
        <v>587</v>
      </c>
      <c r="C187" t="s">
        <v>72</v>
      </c>
      <c r="D187" t="s">
        <v>304</v>
      </c>
      <c r="E187" t="s">
        <v>12</v>
      </c>
    </row>
    <row r="188" spans="1:5" x14ac:dyDescent="0.2">
      <c r="A188" t="s">
        <v>836</v>
      </c>
      <c r="B188" t="s">
        <v>13</v>
      </c>
      <c r="C188" t="s">
        <v>347</v>
      </c>
      <c r="D188" t="s">
        <v>309</v>
      </c>
      <c r="E188" t="s">
        <v>12</v>
      </c>
    </row>
    <row r="190" spans="1:5" ht="18" thickBot="1" x14ac:dyDescent="0.35">
      <c r="A190" s="81" t="s">
        <v>1053</v>
      </c>
      <c r="B190" s="81"/>
      <c r="C190" s="81"/>
      <c r="D190" s="81"/>
      <c r="E190" s="81"/>
    </row>
    <row r="191" spans="1:5" ht="13.5" thickTop="1" x14ac:dyDescent="0.2">
      <c r="A191" t="s">
        <v>832</v>
      </c>
      <c r="B191" t="s">
        <v>574</v>
      </c>
      <c r="C191" t="s">
        <v>347</v>
      </c>
      <c r="D191" t="s">
        <v>301</v>
      </c>
      <c r="E191" t="s">
        <v>51</v>
      </c>
    </row>
    <row r="192" spans="1:5" x14ac:dyDescent="0.2">
      <c r="A192" t="s">
        <v>833</v>
      </c>
      <c r="B192" t="s">
        <v>587</v>
      </c>
      <c r="C192" t="s">
        <v>72</v>
      </c>
      <c r="D192" t="s">
        <v>302</v>
      </c>
      <c r="E192" t="s">
        <v>12</v>
      </c>
    </row>
    <row r="193" spans="1:5" x14ac:dyDescent="0.2">
      <c r="A193" t="s">
        <v>834</v>
      </c>
      <c r="B193" t="s">
        <v>587</v>
      </c>
      <c r="C193" t="s">
        <v>72</v>
      </c>
      <c r="D193" t="s">
        <v>303</v>
      </c>
      <c r="E193" t="s">
        <v>12</v>
      </c>
    </row>
    <row r="194" spans="1:5" x14ac:dyDescent="0.2">
      <c r="A194" t="s">
        <v>835</v>
      </c>
      <c r="B194" t="s">
        <v>587</v>
      </c>
      <c r="C194" t="s">
        <v>72</v>
      </c>
      <c r="D194" t="s">
        <v>304</v>
      </c>
      <c r="E194" t="s">
        <v>12</v>
      </c>
    </row>
    <row r="195" spans="1:5" x14ac:dyDescent="0.2">
      <c r="A195" t="s">
        <v>836</v>
      </c>
      <c r="B195" t="s">
        <v>13</v>
      </c>
      <c r="C195" t="s">
        <v>347</v>
      </c>
      <c r="D195" t="s">
        <v>309</v>
      </c>
      <c r="E195" t="s">
        <v>12</v>
      </c>
    </row>
  </sheetData>
  <mergeCells count="1">
    <mergeCell ref="A1:E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30"/>
  <sheetViews>
    <sheetView workbookViewId="0">
      <selection activeCell="A4" sqref="A4:D4"/>
    </sheetView>
  </sheetViews>
  <sheetFormatPr baseColWidth="10" defaultRowHeight="12.75" x14ac:dyDescent="0.2"/>
  <cols>
    <col min="1" max="1" width="29.140625" bestFit="1" customWidth="1"/>
    <col min="2" max="2" width="7.5703125" bestFit="1" customWidth="1"/>
    <col min="3" max="3" width="10.85546875" bestFit="1" customWidth="1"/>
    <col min="4" max="4" width="76.42578125" bestFit="1" customWidth="1"/>
  </cols>
  <sheetData>
    <row r="1" spans="1:5" ht="19.5" customHeight="1" x14ac:dyDescent="0.2">
      <c r="A1" s="354" t="s">
        <v>610</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1016</v>
      </c>
      <c r="B10" s="81"/>
      <c r="C10" s="81"/>
      <c r="D10" s="81"/>
      <c r="E10" s="81"/>
    </row>
    <row r="11" spans="1:5" ht="13.5" thickTop="1" x14ac:dyDescent="0.2">
      <c r="A11" t="s">
        <v>749</v>
      </c>
      <c r="B11" t="s">
        <v>13</v>
      </c>
      <c r="C11" t="s">
        <v>347</v>
      </c>
      <c r="D11" t="s">
        <v>247</v>
      </c>
      <c r="E11" t="s">
        <v>42</v>
      </c>
    </row>
    <row r="13" spans="1:5" ht="18" thickBot="1" x14ac:dyDescent="0.35">
      <c r="A13" s="81" t="s">
        <v>1017</v>
      </c>
      <c r="B13" s="81"/>
      <c r="C13" s="81"/>
      <c r="D13" s="81"/>
      <c r="E13" s="81"/>
    </row>
    <row r="14" spans="1:5" ht="13.5" thickTop="1" x14ac:dyDescent="0.2">
      <c r="A14" t="s">
        <v>651</v>
      </c>
      <c r="B14" t="s">
        <v>574</v>
      </c>
      <c r="C14" t="s">
        <v>347</v>
      </c>
      <c r="D14" t="s">
        <v>50</v>
      </c>
      <c r="E14" t="s">
        <v>51</v>
      </c>
    </row>
    <row r="16" spans="1:5" ht="18" thickBot="1" x14ac:dyDescent="0.35">
      <c r="A16" s="81" t="s">
        <v>1018</v>
      </c>
      <c r="B16" s="81"/>
      <c r="C16" s="81"/>
      <c r="D16" s="81"/>
      <c r="E16" s="81"/>
    </row>
    <row r="17" spans="1:5" ht="13.5" thickTop="1" x14ac:dyDescent="0.2">
      <c r="A17" t="s">
        <v>970</v>
      </c>
      <c r="B17" t="s">
        <v>587</v>
      </c>
      <c r="C17" t="s">
        <v>72</v>
      </c>
      <c r="D17" t="s">
        <v>249</v>
      </c>
      <c r="E17" t="s">
        <v>51</v>
      </c>
    </row>
    <row r="19" spans="1:5" ht="18" thickBot="1" x14ac:dyDescent="0.35">
      <c r="A19" s="81" t="s">
        <v>1019</v>
      </c>
      <c r="B19" s="81"/>
      <c r="C19" s="81"/>
      <c r="D19" s="81"/>
      <c r="E19" s="81"/>
    </row>
    <row r="20" spans="1:5" ht="13.5" thickTop="1" x14ac:dyDescent="0.2">
      <c r="A20" t="s">
        <v>817</v>
      </c>
      <c r="B20" t="s">
        <v>587</v>
      </c>
      <c r="C20" t="s">
        <v>72</v>
      </c>
      <c r="D20" t="s">
        <v>511</v>
      </c>
      <c r="E20" t="s">
        <v>51</v>
      </c>
    </row>
    <row r="21" spans="1:5" x14ac:dyDescent="0.2">
      <c r="A21" t="s">
        <v>818</v>
      </c>
      <c r="B21" t="s">
        <v>587</v>
      </c>
      <c r="C21" t="s">
        <v>72</v>
      </c>
      <c r="D21" t="s">
        <v>516</v>
      </c>
      <c r="E21" t="s">
        <v>51</v>
      </c>
    </row>
    <row r="22" spans="1:5" x14ac:dyDescent="0.2">
      <c r="A22" t="s">
        <v>819</v>
      </c>
      <c r="B22" t="s">
        <v>587</v>
      </c>
      <c r="C22" t="s">
        <v>72</v>
      </c>
      <c r="D22" t="s">
        <v>517</v>
      </c>
      <c r="E22" t="s">
        <v>51</v>
      </c>
    </row>
    <row r="23" spans="1:5" x14ac:dyDescent="0.2">
      <c r="A23" t="s">
        <v>820</v>
      </c>
      <c r="B23" t="s">
        <v>587</v>
      </c>
      <c r="C23" t="s">
        <v>72</v>
      </c>
      <c r="D23" t="s">
        <v>518</v>
      </c>
      <c r="E23" t="s">
        <v>51</v>
      </c>
    </row>
    <row r="25" spans="1:5" ht="18" thickBot="1" x14ac:dyDescent="0.35">
      <c r="A25" s="81" t="s">
        <v>1020</v>
      </c>
      <c r="B25" s="81"/>
      <c r="C25" s="81"/>
      <c r="D25" s="81"/>
      <c r="E25" s="81"/>
    </row>
    <row r="26" spans="1:5" ht="13.5" thickTop="1" x14ac:dyDescent="0.2">
      <c r="A26" t="s">
        <v>811</v>
      </c>
      <c r="B26" t="s">
        <v>13</v>
      </c>
      <c r="C26" t="s">
        <v>347</v>
      </c>
      <c r="D26" t="s">
        <v>181</v>
      </c>
      <c r="E26" t="s">
        <v>51</v>
      </c>
    </row>
    <row r="27" spans="1:5" x14ac:dyDescent="0.2">
      <c r="A27" t="s">
        <v>682</v>
      </c>
      <c r="B27" t="s">
        <v>13</v>
      </c>
      <c r="C27" t="s">
        <v>347</v>
      </c>
      <c r="D27" t="s">
        <v>182</v>
      </c>
      <c r="E27" t="s">
        <v>12</v>
      </c>
    </row>
    <row r="29" spans="1:5" ht="18" thickBot="1" x14ac:dyDescent="0.35">
      <c r="A29" s="81" t="s">
        <v>1021</v>
      </c>
      <c r="B29" s="81"/>
      <c r="C29" s="81"/>
      <c r="D29" s="81"/>
      <c r="E29" s="81"/>
    </row>
    <row r="30" spans="1:5" ht="13.5" thickTop="1" x14ac:dyDescent="0.2">
      <c r="A30" t="s">
        <v>808</v>
      </c>
      <c r="B30" t="s">
        <v>13</v>
      </c>
      <c r="C30" t="s">
        <v>347</v>
      </c>
      <c r="D30" t="s">
        <v>180</v>
      </c>
      <c r="E30" t="s">
        <v>116</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E81"/>
  <sheetViews>
    <sheetView topLeftCell="A46" workbookViewId="0">
      <selection activeCell="A4" sqref="A4:D4"/>
    </sheetView>
  </sheetViews>
  <sheetFormatPr baseColWidth="10" defaultRowHeight="12.75" x14ac:dyDescent="0.2"/>
  <cols>
    <col min="1" max="1" width="51.140625" bestFit="1" customWidth="1"/>
    <col min="2" max="2" width="7.5703125" bestFit="1" customWidth="1"/>
    <col min="3" max="3" width="10.85546875" bestFit="1" customWidth="1"/>
    <col min="4" max="4" width="66.5703125" bestFit="1" customWidth="1"/>
  </cols>
  <sheetData>
    <row r="1" spans="1:5" ht="19.5" customHeight="1" x14ac:dyDescent="0.2">
      <c r="A1" s="354" t="s">
        <v>615</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1005</v>
      </c>
      <c r="B10" s="81"/>
      <c r="C10" s="81"/>
      <c r="D10" s="81"/>
      <c r="E10" s="81"/>
    </row>
    <row r="11" spans="1:5" ht="13.5" thickTop="1" x14ac:dyDescent="0.2">
      <c r="A11" t="s">
        <v>663</v>
      </c>
      <c r="B11" t="s">
        <v>13</v>
      </c>
      <c r="C11" t="s">
        <v>347</v>
      </c>
      <c r="D11" t="s">
        <v>369</v>
      </c>
      <c r="E11" t="s">
        <v>12</v>
      </c>
    </row>
    <row r="12" spans="1:5" x14ac:dyDescent="0.2">
      <c r="A12" t="s">
        <v>664</v>
      </c>
      <c r="B12" t="s">
        <v>13</v>
      </c>
      <c r="C12" t="s">
        <v>347</v>
      </c>
      <c r="D12" t="s">
        <v>370</v>
      </c>
      <c r="E12" t="s">
        <v>12</v>
      </c>
    </row>
    <row r="13" spans="1:5" x14ac:dyDescent="0.2">
      <c r="A13" t="s">
        <v>665</v>
      </c>
      <c r="B13" t="s">
        <v>13</v>
      </c>
      <c r="C13" t="s">
        <v>347</v>
      </c>
      <c r="D13" t="s">
        <v>372</v>
      </c>
      <c r="E13" t="s">
        <v>12</v>
      </c>
    </row>
    <row r="14" spans="1:5" x14ac:dyDescent="0.2">
      <c r="A14" t="s">
        <v>666</v>
      </c>
      <c r="B14" t="s">
        <v>13</v>
      </c>
      <c r="C14" t="s">
        <v>347</v>
      </c>
      <c r="D14" t="s">
        <v>374</v>
      </c>
      <c r="E14" t="s">
        <v>12</v>
      </c>
    </row>
    <row r="15" spans="1:5" x14ac:dyDescent="0.2">
      <c r="A15" t="s">
        <v>667</v>
      </c>
      <c r="B15" t="s">
        <v>13</v>
      </c>
      <c r="C15" t="s">
        <v>347</v>
      </c>
      <c r="D15" t="s">
        <v>376</v>
      </c>
      <c r="E15" t="s">
        <v>12</v>
      </c>
    </row>
    <row r="16" spans="1:5" x14ac:dyDescent="0.2">
      <c r="A16" t="s">
        <v>668</v>
      </c>
      <c r="B16" t="s">
        <v>13</v>
      </c>
      <c r="C16" t="s">
        <v>347</v>
      </c>
      <c r="D16" t="s">
        <v>378</v>
      </c>
      <c r="E16" t="s">
        <v>12</v>
      </c>
    </row>
    <row r="17" spans="1:5" x14ac:dyDescent="0.2">
      <c r="A17" t="s">
        <v>747</v>
      </c>
      <c r="B17" t="s">
        <v>13</v>
      </c>
      <c r="C17" t="s">
        <v>347</v>
      </c>
      <c r="D17" t="s">
        <v>380</v>
      </c>
      <c r="E17" t="s">
        <v>12</v>
      </c>
    </row>
    <row r="18" spans="1:5" x14ac:dyDescent="0.2">
      <c r="A18" t="s">
        <v>748</v>
      </c>
      <c r="B18" t="s">
        <v>13</v>
      </c>
      <c r="C18" t="s">
        <v>347</v>
      </c>
      <c r="D18" t="s">
        <v>382</v>
      </c>
      <c r="E18" t="s">
        <v>12</v>
      </c>
    </row>
    <row r="20" spans="1:5" ht="18" thickBot="1" x14ac:dyDescent="0.35">
      <c r="A20" s="81" t="s">
        <v>1041</v>
      </c>
      <c r="B20" s="81"/>
      <c r="C20" s="81"/>
      <c r="D20" s="81"/>
      <c r="E20" s="81"/>
    </row>
    <row r="21" spans="1:5" ht="13.5" thickTop="1" x14ac:dyDescent="0.2">
      <c r="A21" t="s">
        <v>663</v>
      </c>
      <c r="B21" t="s">
        <v>13</v>
      </c>
      <c r="C21" t="s">
        <v>347</v>
      </c>
      <c r="D21" t="s">
        <v>369</v>
      </c>
      <c r="E21" t="s">
        <v>12</v>
      </c>
    </row>
    <row r="22" spans="1:5" x14ac:dyDescent="0.2">
      <c r="A22" t="s">
        <v>664</v>
      </c>
      <c r="B22" t="s">
        <v>13</v>
      </c>
      <c r="C22" t="s">
        <v>347</v>
      </c>
      <c r="D22" t="s">
        <v>370</v>
      </c>
      <c r="E22" t="s">
        <v>12</v>
      </c>
    </row>
    <row r="24" spans="1:5" ht="18" thickBot="1" x14ac:dyDescent="0.35">
      <c r="A24" s="81" t="s">
        <v>1025</v>
      </c>
      <c r="B24" s="81"/>
      <c r="C24" s="81"/>
      <c r="D24" s="81"/>
      <c r="E24" s="81"/>
    </row>
    <row r="25" spans="1:5" ht="13.5" thickTop="1" x14ac:dyDescent="0.2">
      <c r="A25" t="s">
        <v>665</v>
      </c>
      <c r="B25" t="s">
        <v>13</v>
      </c>
      <c r="C25" t="s">
        <v>347</v>
      </c>
      <c r="D25" t="s">
        <v>372</v>
      </c>
      <c r="E25" t="s">
        <v>12</v>
      </c>
    </row>
    <row r="26" spans="1:5" x14ac:dyDescent="0.2">
      <c r="A26" t="s">
        <v>666</v>
      </c>
      <c r="B26" t="s">
        <v>13</v>
      </c>
      <c r="C26" t="s">
        <v>347</v>
      </c>
      <c r="D26" t="s">
        <v>374</v>
      </c>
      <c r="E26" t="s">
        <v>12</v>
      </c>
    </row>
    <row r="27" spans="1:5" x14ac:dyDescent="0.2">
      <c r="A27" t="s">
        <v>667</v>
      </c>
      <c r="B27" t="s">
        <v>13</v>
      </c>
      <c r="C27" t="s">
        <v>347</v>
      </c>
      <c r="D27" t="s">
        <v>376</v>
      </c>
      <c r="E27" t="s">
        <v>12</v>
      </c>
    </row>
    <row r="28" spans="1:5" x14ac:dyDescent="0.2">
      <c r="A28" t="s">
        <v>668</v>
      </c>
      <c r="B28" t="s">
        <v>13</v>
      </c>
      <c r="C28" t="s">
        <v>347</v>
      </c>
      <c r="D28" t="s">
        <v>378</v>
      </c>
      <c r="E28" t="s">
        <v>12</v>
      </c>
    </row>
    <row r="29" spans="1:5" x14ac:dyDescent="0.2">
      <c r="A29" t="s">
        <v>747</v>
      </c>
      <c r="B29" t="s">
        <v>13</v>
      </c>
      <c r="C29" t="s">
        <v>347</v>
      </c>
      <c r="D29" t="s">
        <v>380</v>
      </c>
      <c r="E29" t="s">
        <v>12</v>
      </c>
    </row>
    <row r="30" spans="1:5" x14ac:dyDescent="0.2">
      <c r="A30" t="s">
        <v>748</v>
      </c>
      <c r="B30" t="s">
        <v>13</v>
      </c>
      <c r="C30" t="s">
        <v>347</v>
      </c>
      <c r="D30" t="s">
        <v>382</v>
      </c>
      <c r="E30" t="s">
        <v>12</v>
      </c>
    </row>
    <row r="32" spans="1:5" ht="18" thickBot="1" x14ac:dyDescent="0.35">
      <c r="A32" s="81" t="s">
        <v>1073</v>
      </c>
      <c r="B32" s="81"/>
      <c r="C32" s="81"/>
      <c r="D32" s="81"/>
      <c r="E32" s="81"/>
    </row>
    <row r="33" spans="1:5" ht="13.5" thickTop="1" x14ac:dyDescent="0.2">
      <c r="A33" t="s">
        <v>653</v>
      </c>
      <c r="B33" t="s">
        <v>13</v>
      </c>
      <c r="C33" t="s">
        <v>347</v>
      </c>
      <c r="D33" t="s">
        <v>186</v>
      </c>
      <c r="E33" t="s">
        <v>51</v>
      </c>
    </row>
    <row r="35" spans="1:5" ht="18" thickBot="1" x14ac:dyDescent="0.35">
      <c r="A35" s="81" t="s">
        <v>1044</v>
      </c>
      <c r="B35" s="81"/>
      <c r="C35" s="81"/>
      <c r="D35" s="81"/>
      <c r="E35" s="81"/>
    </row>
    <row r="36" spans="1:5" ht="13.5" thickTop="1" x14ac:dyDescent="0.2">
      <c r="A36" t="s">
        <v>652</v>
      </c>
      <c r="B36" t="s">
        <v>13</v>
      </c>
      <c r="C36" t="s">
        <v>347</v>
      </c>
      <c r="D36" t="s">
        <v>90</v>
      </c>
      <c r="E36" t="s">
        <v>63</v>
      </c>
    </row>
    <row r="38" spans="1:5" ht="18" thickBot="1" x14ac:dyDescent="0.35">
      <c r="A38" s="81" t="s">
        <v>1056</v>
      </c>
      <c r="B38" s="81"/>
      <c r="C38" s="81"/>
      <c r="D38" s="81"/>
      <c r="E38" s="81"/>
    </row>
    <row r="39" spans="1:5" ht="13.5" thickTop="1" x14ac:dyDescent="0.2">
      <c r="A39" t="s">
        <v>761</v>
      </c>
      <c r="B39" t="s">
        <v>13</v>
      </c>
      <c r="C39" t="s">
        <v>347</v>
      </c>
      <c r="D39" t="s">
        <v>506</v>
      </c>
      <c r="E39" t="s">
        <v>116</v>
      </c>
    </row>
    <row r="40" spans="1:5" x14ac:dyDescent="0.2">
      <c r="A40" t="s">
        <v>671</v>
      </c>
      <c r="B40" t="s">
        <v>587</v>
      </c>
      <c r="C40" t="s">
        <v>72</v>
      </c>
      <c r="D40" t="s">
        <v>512</v>
      </c>
      <c r="E40" t="s">
        <v>116</v>
      </c>
    </row>
    <row r="41" spans="1:5" x14ac:dyDescent="0.2">
      <c r="A41" t="s">
        <v>672</v>
      </c>
      <c r="B41" t="s">
        <v>587</v>
      </c>
      <c r="C41" t="s">
        <v>72</v>
      </c>
      <c r="D41" t="s">
        <v>513</v>
      </c>
      <c r="E41" t="s">
        <v>116</v>
      </c>
    </row>
    <row r="42" spans="1:5" x14ac:dyDescent="0.2">
      <c r="A42" t="s">
        <v>673</v>
      </c>
      <c r="B42" t="s">
        <v>587</v>
      </c>
      <c r="C42" t="s">
        <v>72</v>
      </c>
      <c r="D42" t="s">
        <v>514</v>
      </c>
      <c r="E42" t="s">
        <v>116</v>
      </c>
    </row>
    <row r="43" spans="1:5" x14ac:dyDescent="0.2">
      <c r="A43" t="s">
        <v>674</v>
      </c>
      <c r="B43" t="s">
        <v>587</v>
      </c>
      <c r="C43" t="s">
        <v>72</v>
      </c>
      <c r="D43" t="s">
        <v>515</v>
      </c>
      <c r="E43" t="s">
        <v>116</v>
      </c>
    </row>
    <row r="45" spans="1:5" ht="18" thickBot="1" x14ac:dyDescent="0.35">
      <c r="A45" s="81" t="s">
        <v>1065</v>
      </c>
      <c r="B45" s="81"/>
      <c r="C45" s="81"/>
      <c r="D45" s="81"/>
      <c r="E45" s="81"/>
    </row>
    <row r="46" spans="1:5" ht="13.5" thickTop="1" x14ac:dyDescent="0.2">
      <c r="A46" t="s">
        <v>761</v>
      </c>
      <c r="B46" t="s">
        <v>13</v>
      </c>
      <c r="C46" t="s">
        <v>347</v>
      </c>
      <c r="D46" t="s">
        <v>506</v>
      </c>
      <c r="E46" t="s">
        <v>116</v>
      </c>
    </row>
    <row r="47" spans="1:5" x14ac:dyDescent="0.2">
      <c r="A47" t="s">
        <v>671</v>
      </c>
      <c r="B47" t="s">
        <v>587</v>
      </c>
      <c r="C47" t="s">
        <v>72</v>
      </c>
      <c r="D47" t="s">
        <v>512</v>
      </c>
      <c r="E47" t="s">
        <v>116</v>
      </c>
    </row>
    <row r="48" spans="1:5" x14ac:dyDescent="0.2">
      <c r="A48" t="s">
        <v>672</v>
      </c>
      <c r="B48" t="s">
        <v>587</v>
      </c>
      <c r="C48" t="s">
        <v>72</v>
      </c>
      <c r="D48" t="s">
        <v>513</v>
      </c>
      <c r="E48" t="s">
        <v>116</v>
      </c>
    </row>
    <row r="49" spans="1:5" x14ac:dyDescent="0.2">
      <c r="A49" t="s">
        <v>673</v>
      </c>
      <c r="B49" t="s">
        <v>587</v>
      </c>
      <c r="C49" t="s">
        <v>72</v>
      </c>
      <c r="D49" t="s">
        <v>514</v>
      </c>
      <c r="E49" t="s">
        <v>116</v>
      </c>
    </row>
    <row r="50" spans="1:5" x14ac:dyDescent="0.2">
      <c r="A50" t="s">
        <v>674</v>
      </c>
      <c r="B50" t="s">
        <v>587</v>
      </c>
      <c r="C50" t="s">
        <v>72</v>
      </c>
      <c r="D50" t="s">
        <v>515</v>
      </c>
      <c r="E50" t="s">
        <v>116</v>
      </c>
    </row>
    <row r="52" spans="1:5" ht="18" thickBot="1" x14ac:dyDescent="0.35">
      <c r="A52" s="81" t="s">
        <v>1057</v>
      </c>
      <c r="B52" s="81"/>
      <c r="C52" s="81"/>
      <c r="D52" s="81"/>
      <c r="E52" s="81"/>
    </row>
    <row r="53" spans="1:5" ht="13.5" thickTop="1" x14ac:dyDescent="0.2">
      <c r="A53" t="s">
        <v>762</v>
      </c>
      <c r="B53" t="s">
        <v>13</v>
      </c>
      <c r="C53" t="s">
        <v>347</v>
      </c>
      <c r="D53" t="s">
        <v>535</v>
      </c>
      <c r="E53" t="s">
        <v>188</v>
      </c>
    </row>
    <row r="54" spans="1:5" x14ac:dyDescent="0.2">
      <c r="A54" t="s">
        <v>763</v>
      </c>
      <c r="B54" t="s">
        <v>587</v>
      </c>
      <c r="C54" t="s">
        <v>72</v>
      </c>
      <c r="D54" t="s">
        <v>536</v>
      </c>
      <c r="E54" t="s">
        <v>188</v>
      </c>
    </row>
    <row r="55" spans="1:5" x14ac:dyDescent="0.2">
      <c r="A55" t="s">
        <v>764</v>
      </c>
      <c r="B55" t="s">
        <v>587</v>
      </c>
      <c r="C55" t="s">
        <v>72</v>
      </c>
      <c r="D55" t="s">
        <v>537</v>
      </c>
      <c r="E55" t="s">
        <v>188</v>
      </c>
    </row>
    <row r="56" spans="1:5" x14ac:dyDescent="0.2">
      <c r="A56" t="s">
        <v>765</v>
      </c>
      <c r="B56" t="s">
        <v>587</v>
      </c>
      <c r="C56" t="s">
        <v>72</v>
      </c>
      <c r="D56" t="s">
        <v>538</v>
      </c>
      <c r="E56" t="s">
        <v>188</v>
      </c>
    </row>
    <row r="57" spans="1:5" x14ac:dyDescent="0.2">
      <c r="A57" t="s">
        <v>766</v>
      </c>
      <c r="B57" t="s">
        <v>587</v>
      </c>
      <c r="C57" t="s">
        <v>72</v>
      </c>
      <c r="D57" t="s">
        <v>539</v>
      </c>
      <c r="E57" t="s">
        <v>188</v>
      </c>
    </row>
    <row r="59" spans="1:5" ht="18" thickBot="1" x14ac:dyDescent="0.35">
      <c r="A59" s="81" t="s">
        <v>1028</v>
      </c>
      <c r="B59" s="81"/>
      <c r="C59" s="81"/>
      <c r="D59" s="81"/>
      <c r="E59" s="81"/>
    </row>
    <row r="60" spans="1:5" ht="13.5" thickTop="1" x14ac:dyDescent="0.2">
      <c r="A60" t="s">
        <v>767</v>
      </c>
      <c r="B60" t="s">
        <v>587</v>
      </c>
      <c r="C60" t="s">
        <v>72</v>
      </c>
      <c r="D60" t="s">
        <v>251</v>
      </c>
      <c r="E60" t="s">
        <v>188</v>
      </c>
    </row>
    <row r="61" spans="1:5" x14ac:dyDescent="0.2">
      <c r="A61" t="s">
        <v>768</v>
      </c>
      <c r="B61" t="s">
        <v>587</v>
      </c>
      <c r="C61" t="s">
        <v>72</v>
      </c>
      <c r="D61" t="s">
        <v>318</v>
      </c>
      <c r="E61" t="s">
        <v>188</v>
      </c>
    </row>
    <row r="62" spans="1:5" x14ac:dyDescent="0.2">
      <c r="A62" t="s">
        <v>769</v>
      </c>
      <c r="B62" t="s">
        <v>587</v>
      </c>
      <c r="C62" t="s">
        <v>72</v>
      </c>
      <c r="D62" t="s">
        <v>319</v>
      </c>
      <c r="E62" t="s">
        <v>188</v>
      </c>
    </row>
    <row r="64" spans="1:5" ht="18" thickBot="1" x14ac:dyDescent="0.35">
      <c r="A64" s="81" t="s">
        <v>1074</v>
      </c>
      <c r="B64" s="81"/>
      <c r="C64" s="81"/>
      <c r="D64" s="81"/>
      <c r="E64" s="81"/>
    </row>
    <row r="65" spans="1:5" ht="13.5" thickTop="1" x14ac:dyDescent="0.2">
      <c r="A65" t="s">
        <v>770</v>
      </c>
      <c r="B65" t="s">
        <v>587</v>
      </c>
      <c r="C65" t="s">
        <v>72</v>
      </c>
      <c r="D65" t="s">
        <v>421</v>
      </c>
      <c r="E65" t="s">
        <v>314</v>
      </c>
    </row>
    <row r="66" spans="1:5" x14ac:dyDescent="0.2">
      <c r="A66" t="s">
        <v>771</v>
      </c>
      <c r="B66" t="s">
        <v>587</v>
      </c>
      <c r="C66" t="s">
        <v>72</v>
      </c>
      <c r="D66" t="s">
        <v>423</v>
      </c>
      <c r="E66" t="s">
        <v>424</v>
      </c>
    </row>
    <row r="67" spans="1:5" x14ac:dyDescent="0.2">
      <c r="A67" t="s">
        <v>772</v>
      </c>
      <c r="B67" t="s">
        <v>587</v>
      </c>
      <c r="C67" t="s">
        <v>72</v>
      </c>
      <c r="D67" t="s">
        <v>426</v>
      </c>
      <c r="E67" t="s">
        <v>96</v>
      </c>
    </row>
    <row r="68" spans="1:5" x14ac:dyDescent="0.2">
      <c r="A68" t="s">
        <v>773</v>
      </c>
      <c r="B68" t="s">
        <v>587</v>
      </c>
      <c r="C68" t="s">
        <v>72</v>
      </c>
      <c r="D68" t="s">
        <v>428</v>
      </c>
      <c r="E68" t="s">
        <v>429</v>
      </c>
    </row>
    <row r="69" spans="1:5" x14ac:dyDescent="0.2">
      <c r="A69" t="s">
        <v>774</v>
      </c>
      <c r="B69" t="s">
        <v>587</v>
      </c>
      <c r="C69" t="s">
        <v>72</v>
      </c>
      <c r="D69" t="s">
        <v>313</v>
      </c>
      <c r="E69" t="s">
        <v>314</v>
      </c>
    </row>
    <row r="70" spans="1:5" x14ac:dyDescent="0.2">
      <c r="A70" t="s">
        <v>775</v>
      </c>
      <c r="B70" t="s">
        <v>587</v>
      </c>
      <c r="C70" t="s">
        <v>72</v>
      </c>
      <c r="D70" t="s">
        <v>315</v>
      </c>
      <c r="E70" t="s">
        <v>314</v>
      </c>
    </row>
    <row r="71" spans="1:5" x14ac:dyDescent="0.2">
      <c r="A71" t="s">
        <v>675</v>
      </c>
      <c r="B71" t="s">
        <v>587</v>
      </c>
      <c r="C71" t="s">
        <v>72</v>
      </c>
      <c r="D71" t="s">
        <v>328</v>
      </c>
      <c r="E71" t="s">
        <v>96</v>
      </c>
    </row>
    <row r="72" spans="1:5" x14ac:dyDescent="0.2">
      <c r="A72" t="s">
        <v>676</v>
      </c>
      <c r="B72" t="s">
        <v>587</v>
      </c>
      <c r="C72" t="s">
        <v>72</v>
      </c>
      <c r="D72" t="s">
        <v>329</v>
      </c>
      <c r="E72" t="s">
        <v>96</v>
      </c>
    </row>
    <row r="73" spans="1:5" x14ac:dyDescent="0.2">
      <c r="A73" t="s">
        <v>776</v>
      </c>
      <c r="B73" t="s">
        <v>587</v>
      </c>
      <c r="C73" t="s">
        <v>72</v>
      </c>
      <c r="D73" t="s">
        <v>431</v>
      </c>
      <c r="E73" t="s">
        <v>429</v>
      </c>
    </row>
    <row r="74" spans="1:5" x14ac:dyDescent="0.2">
      <c r="A74" t="s">
        <v>777</v>
      </c>
      <c r="B74" t="s">
        <v>587</v>
      </c>
      <c r="C74" t="s">
        <v>72</v>
      </c>
      <c r="D74" t="s">
        <v>433</v>
      </c>
      <c r="E74" t="s">
        <v>314</v>
      </c>
    </row>
    <row r="75" spans="1:5" x14ac:dyDescent="0.2">
      <c r="A75" t="s">
        <v>812</v>
      </c>
      <c r="B75" t="s">
        <v>587</v>
      </c>
      <c r="C75" t="s">
        <v>72</v>
      </c>
      <c r="D75" t="s">
        <v>435</v>
      </c>
      <c r="E75" t="s">
        <v>51</v>
      </c>
    </row>
    <row r="76" spans="1:5" x14ac:dyDescent="0.2">
      <c r="A76" t="s">
        <v>813</v>
      </c>
      <c r="B76" t="s">
        <v>587</v>
      </c>
      <c r="C76" t="s">
        <v>72</v>
      </c>
      <c r="D76" t="s">
        <v>437</v>
      </c>
      <c r="E76" t="s">
        <v>51</v>
      </c>
    </row>
    <row r="77" spans="1:5" x14ac:dyDescent="0.2">
      <c r="A77" t="s">
        <v>814</v>
      </c>
      <c r="B77" t="s">
        <v>587</v>
      </c>
      <c r="C77" t="s">
        <v>72</v>
      </c>
      <c r="D77" t="s">
        <v>439</v>
      </c>
      <c r="E77" t="s">
        <v>51</v>
      </c>
    </row>
    <row r="78" spans="1:5" x14ac:dyDescent="0.2">
      <c r="A78" t="s">
        <v>778</v>
      </c>
      <c r="B78" t="s">
        <v>13</v>
      </c>
      <c r="C78" t="s">
        <v>347</v>
      </c>
      <c r="D78" t="s">
        <v>441</v>
      </c>
      <c r="E78" t="s">
        <v>12</v>
      </c>
    </row>
    <row r="79" spans="1:5" x14ac:dyDescent="0.2">
      <c r="A79" t="s">
        <v>779</v>
      </c>
      <c r="B79" t="s">
        <v>574</v>
      </c>
      <c r="C79" t="s">
        <v>347</v>
      </c>
      <c r="D79" t="s">
        <v>443</v>
      </c>
      <c r="E79" t="s">
        <v>51</v>
      </c>
    </row>
    <row r="80" spans="1:5" x14ac:dyDescent="0.2">
      <c r="A80" t="s">
        <v>780</v>
      </c>
      <c r="B80" t="s">
        <v>574</v>
      </c>
      <c r="C80" t="s">
        <v>347</v>
      </c>
      <c r="D80" t="s">
        <v>445</v>
      </c>
      <c r="E80" t="s">
        <v>51</v>
      </c>
    </row>
    <row r="81" spans="1:5" x14ac:dyDescent="0.2">
      <c r="A81" t="s">
        <v>677</v>
      </c>
      <c r="B81" t="s">
        <v>587</v>
      </c>
      <c r="C81" t="s">
        <v>72</v>
      </c>
      <c r="D81" t="s">
        <v>446</v>
      </c>
      <c r="E81" t="s">
        <v>321</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E134"/>
  <sheetViews>
    <sheetView topLeftCell="A109" workbookViewId="0">
      <selection activeCell="A4" sqref="A4:D4"/>
    </sheetView>
  </sheetViews>
  <sheetFormatPr baseColWidth="10" defaultRowHeight="12.75" x14ac:dyDescent="0.2"/>
  <cols>
    <col min="1" max="1" width="48" bestFit="1" customWidth="1"/>
    <col min="2" max="2" width="7.5703125" bestFit="1" customWidth="1"/>
    <col min="3" max="3" width="10.85546875" bestFit="1" customWidth="1"/>
    <col min="4" max="4" width="72.140625" bestFit="1" customWidth="1"/>
  </cols>
  <sheetData>
    <row r="1" spans="1:5" ht="19.5" customHeight="1" x14ac:dyDescent="0.2">
      <c r="A1" s="354" t="s">
        <v>609</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1022</v>
      </c>
      <c r="B10" s="81"/>
      <c r="C10" s="81"/>
      <c r="D10" s="81"/>
      <c r="E10" s="81"/>
    </row>
    <row r="11" spans="1:5" ht="13.5" thickTop="1" x14ac:dyDescent="0.2">
      <c r="A11" t="s">
        <v>629</v>
      </c>
      <c r="B11" t="s">
        <v>13</v>
      </c>
      <c r="C11" t="s">
        <v>347</v>
      </c>
      <c r="D11" t="s">
        <v>136</v>
      </c>
      <c r="E11" t="s">
        <v>42</v>
      </c>
    </row>
    <row r="12" spans="1:5" x14ac:dyDescent="0.2">
      <c r="A12" t="s">
        <v>630</v>
      </c>
      <c r="B12" t="s">
        <v>13</v>
      </c>
      <c r="C12" t="s">
        <v>347</v>
      </c>
      <c r="D12" t="s">
        <v>540</v>
      </c>
      <c r="E12" t="s">
        <v>42</v>
      </c>
    </row>
    <row r="13" spans="1:5" x14ac:dyDescent="0.2">
      <c r="A13" t="s">
        <v>631</v>
      </c>
      <c r="B13" t="s">
        <v>13</v>
      </c>
      <c r="C13" t="s">
        <v>347</v>
      </c>
      <c r="D13" t="s">
        <v>138</v>
      </c>
      <c r="E13" t="s">
        <v>42</v>
      </c>
    </row>
    <row r="14" spans="1:5" x14ac:dyDescent="0.2">
      <c r="A14" t="s">
        <v>632</v>
      </c>
      <c r="B14" t="s">
        <v>13</v>
      </c>
      <c r="C14" t="s">
        <v>347</v>
      </c>
      <c r="D14" t="s">
        <v>140</v>
      </c>
      <c r="E14" t="s">
        <v>42</v>
      </c>
    </row>
    <row r="15" spans="1:5" x14ac:dyDescent="0.2">
      <c r="A15" t="s">
        <v>633</v>
      </c>
      <c r="B15" t="s">
        <v>13</v>
      </c>
      <c r="C15" t="s">
        <v>347</v>
      </c>
      <c r="D15" t="s">
        <v>541</v>
      </c>
      <c r="E15" t="s">
        <v>42</v>
      </c>
    </row>
    <row r="16" spans="1:5" x14ac:dyDescent="0.2">
      <c r="A16" t="s">
        <v>645</v>
      </c>
      <c r="B16" t="s">
        <v>13</v>
      </c>
      <c r="C16" t="s">
        <v>347</v>
      </c>
      <c r="D16" t="s">
        <v>78</v>
      </c>
      <c r="E16" t="s">
        <v>51</v>
      </c>
    </row>
    <row r="17" spans="1:5" x14ac:dyDescent="0.2">
      <c r="A17" t="s">
        <v>646</v>
      </c>
      <c r="B17" t="s">
        <v>13</v>
      </c>
      <c r="C17" t="s">
        <v>347</v>
      </c>
      <c r="D17" t="s">
        <v>544</v>
      </c>
      <c r="E17" t="s">
        <v>51</v>
      </c>
    </row>
    <row r="18" spans="1:5" x14ac:dyDescent="0.2">
      <c r="A18" t="s">
        <v>647</v>
      </c>
      <c r="B18" t="s">
        <v>13</v>
      </c>
      <c r="C18" t="s">
        <v>347</v>
      </c>
      <c r="D18" t="s">
        <v>79</v>
      </c>
      <c r="E18" t="s">
        <v>51</v>
      </c>
    </row>
    <row r="19" spans="1:5" x14ac:dyDescent="0.2">
      <c r="A19" t="s">
        <v>648</v>
      </c>
      <c r="B19" t="s">
        <v>13</v>
      </c>
      <c r="C19" t="s">
        <v>347</v>
      </c>
      <c r="D19" t="s">
        <v>145</v>
      </c>
      <c r="E19" t="s">
        <v>51</v>
      </c>
    </row>
    <row r="20" spans="1:5" x14ac:dyDescent="0.2">
      <c r="A20" t="s">
        <v>649</v>
      </c>
      <c r="B20" t="s">
        <v>13</v>
      </c>
      <c r="C20" t="s">
        <v>347</v>
      </c>
      <c r="D20" t="s">
        <v>545</v>
      </c>
      <c r="E20" t="s">
        <v>51</v>
      </c>
    </row>
    <row r="21" spans="1:5" x14ac:dyDescent="0.2">
      <c r="A21" t="s">
        <v>650</v>
      </c>
      <c r="B21" t="s">
        <v>13</v>
      </c>
      <c r="C21" t="s">
        <v>347</v>
      </c>
      <c r="D21" t="s">
        <v>146</v>
      </c>
      <c r="E21" t="s">
        <v>51</v>
      </c>
    </row>
    <row r="22" spans="1:5" x14ac:dyDescent="0.2">
      <c r="A22" t="s">
        <v>697</v>
      </c>
      <c r="B22" t="s">
        <v>13</v>
      </c>
      <c r="C22" t="s">
        <v>347</v>
      </c>
      <c r="D22" t="s">
        <v>355</v>
      </c>
      <c r="E22" t="s">
        <v>51</v>
      </c>
    </row>
    <row r="23" spans="1:5" x14ac:dyDescent="0.2">
      <c r="A23" t="s">
        <v>698</v>
      </c>
      <c r="B23" t="s">
        <v>13</v>
      </c>
      <c r="C23" t="s">
        <v>347</v>
      </c>
      <c r="D23" t="s">
        <v>357</v>
      </c>
      <c r="E23" t="s">
        <v>51</v>
      </c>
    </row>
    <row r="24" spans="1:5" x14ac:dyDescent="0.2">
      <c r="A24" t="s">
        <v>641</v>
      </c>
      <c r="B24" t="s">
        <v>13</v>
      </c>
      <c r="C24" t="s">
        <v>347</v>
      </c>
      <c r="D24" t="s">
        <v>368</v>
      </c>
      <c r="E24" t="s">
        <v>12</v>
      </c>
    </row>
    <row r="25" spans="1:5" x14ac:dyDescent="0.2">
      <c r="A25" t="s">
        <v>644</v>
      </c>
      <c r="B25" t="s">
        <v>13</v>
      </c>
      <c r="C25" t="s">
        <v>347</v>
      </c>
      <c r="D25" t="s">
        <v>549</v>
      </c>
      <c r="E25" t="s">
        <v>12</v>
      </c>
    </row>
    <row r="26" spans="1:5" x14ac:dyDescent="0.2">
      <c r="A26" t="s">
        <v>642</v>
      </c>
      <c r="B26" t="s">
        <v>13</v>
      </c>
      <c r="C26" t="s">
        <v>347</v>
      </c>
      <c r="D26" t="s">
        <v>410</v>
      </c>
      <c r="E26" t="s">
        <v>12</v>
      </c>
    </row>
    <row r="27" spans="1:5" x14ac:dyDescent="0.2">
      <c r="A27" t="s">
        <v>705</v>
      </c>
      <c r="B27" t="s">
        <v>13</v>
      </c>
      <c r="C27" t="s">
        <v>347</v>
      </c>
      <c r="D27" t="s">
        <v>1000</v>
      </c>
      <c r="E27" t="s">
        <v>12</v>
      </c>
    </row>
    <row r="28" spans="1:5" x14ac:dyDescent="0.2">
      <c r="A28" t="s">
        <v>706</v>
      </c>
      <c r="B28" t="s">
        <v>13</v>
      </c>
      <c r="C28" t="s">
        <v>347</v>
      </c>
      <c r="D28" t="s">
        <v>555</v>
      </c>
      <c r="E28" t="s">
        <v>12</v>
      </c>
    </row>
    <row r="29" spans="1:5" x14ac:dyDescent="0.2">
      <c r="A29" t="s">
        <v>707</v>
      </c>
      <c r="B29" t="s">
        <v>13</v>
      </c>
      <c r="C29" t="s">
        <v>347</v>
      </c>
      <c r="D29" t="s">
        <v>411</v>
      </c>
      <c r="E29" t="s">
        <v>12</v>
      </c>
    </row>
    <row r="30" spans="1:5" x14ac:dyDescent="0.2">
      <c r="A30" t="s">
        <v>708</v>
      </c>
      <c r="B30" t="s">
        <v>13</v>
      </c>
      <c r="C30" t="s">
        <v>347</v>
      </c>
      <c r="D30" t="s">
        <v>412</v>
      </c>
      <c r="E30" t="s">
        <v>12</v>
      </c>
    </row>
    <row r="31" spans="1:5" x14ac:dyDescent="0.2">
      <c r="A31" t="s">
        <v>709</v>
      </c>
      <c r="B31" t="s">
        <v>13</v>
      </c>
      <c r="C31" t="s">
        <v>347</v>
      </c>
      <c r="D31" t="s">
        <v>550</v>
      </c>
      <c r="E31" t="s">
        <v>12</v>
      </c>
    </row>
    <row r="32" spans="1:5" x14ac:dyDescent="0.2">
      <c r="A32" t="s">
        <v>710</v>
      </c>
      <c r="B32" t="s">
        <v>13</v>
      </c>
      <c r="C32" t="s">
        <v>347</v>
      </c>
      <c r="D32" t="s">
        <v>557</v>
      </c>
      <c r="E32" t="s">
        <v>12</v>
      </c>
    </row>
    <row r="33" spans="1:5" x14ac:dyDescent="0.2">
      <c r="A33" t="s">
        <v>716</v>
      </c>
      <c r="B33" t="s">
        <v>13</v>
      </c>
      <c r="C33" t="s">
        <v>347</v>
      </c>
      <c r="D33" t="s">
        <v>999</v>
      </c>
      <c r="E33" t="s">
        <v>12</v>
      </c>
    </row>
    <row r="34" spans="1:5" x14ac:dyDescent="0.2">
      <c r="A34" t="s">
        <v>711</v>
      </c>
      <c r="B34" t="s">
        <v>13</v>
      </c>
      <c r="C34" t="s">
        <v>347</v>
      </c>
      <c r="D34" t="s">
        <v>551</v>
      </c>
      <c r="E34" t="s">
        <v>12</v>
      </c>
    </row>
    <row r="35" spans="1:5" x14ac:dyDescent="0.2">
      <c r="A35" t="s">
        <v>712</v>
      </c>
      <c r="B35" t="s">
        <v>13</v>
      </c>
      <c r="C35" t="s">
        <v>347</v>
      </c>
      <c r="D35" t="s">
        <v>75</v>
      </c>
      <c r="E35" t="s">
        <v>12</v>
      </c>
    </row>
    <row r="36" spans="1:5" x14ac:dyDescent="0.2">
      <c r="A36" t="s">
        <v>713</v>
      </c>
      <c r="B36" t="s">
        <v>13</v>
      </c>
      <c r="C36" t="s">
        <v>347</v>
      </c>
      <c r="D36" t="s">
        <v>76</v>
      </c>
      <c r="E36" t="s">
        <v>12</v>
      </c>
    </row>
    <row r="37" spans="1:5" x14ac:dyDescent="0.2">
      <c r="A37" t="s">
        <v>714</v>
      </c>
      <c r="B37" t="s">
        <v>13</v>
      </c>
      <c r="C37" t="s">
        <v>347</v>
      </c>
      <c r="D37" t="s">
        <v>552</v>
      </c>
      <c r="E37" t="s">
        <v>12</v>
      </c>
    </row>
    <row r="38" spans="1:5" x14ac:dyDescent="0.2">
      <c r="A38" t="s">
        <v>715</v>
      </c>
      <c r="B38" t="s">
        <v>13</v>
      </c>
      <c r="C38" t="s">
        <v>347</v>
      </c>
      <c r="D38" t="s">
        <v>77</v>
      </c>
      <c r="E38" t="s">
        <v>12</v>
      </c>
    </row>
    <row r="39" spans="1:5" x14ac:dyDescent="0.2">
      <c r="A39" t="s">
        <v>717</v>
      </c>
      <c r="B39" t="s">
        <v>13</v>
      </c>
      <c r="C39" t="s">
        <v>347</v>
      </c>
      <c r="D39" t="s">
        <v>148</v>
      </c>
      <c r="E39" t="s">
        <v>42</v>
      </c>
    </row>
    <row r="40" spans="1:5" x14ac:dyDescent="0.2">
      <c r="A40" t="s">
        <v>718</v>
      </c>
      <c r="B40" t="s">
        <v>13</v>
      </c>
      <c r="C40" t="s">
        <v>347</v>
      </c>
      <c r="D40" t="s">
        <v>150</v>
      </c>
      <c r="E40" t="s">
        <v>12</v>
      </c>
    </row>
    <row r="41" spans="1:5" x14ac:dyDescent="0.2">
      <c r="A41" t="s">
        <v>719</v>
      </c>
      <c r="B41" t="s">
        <v>13</v>
      </c>
      <c r="C41" t="s">
        <v>347</v>
      </c>
      <c r="D41" t="s">
        <v>553</v>
      </c>
      <c r="E41" t="s">
        <v>12</v>
      </c>
    </row>
    <row r="42" spans="1:5" x14ac:dyDescent="0.2">
      <c r="A42" t="s">
        <v>720</v>
      </c>
      <c r="B42" t="s">
        <v>13</v>
      </c>
      <c r="C42" t="s">
        <v>347</v>
      </c>
      <c r="D42" t="s">
        <v>152</v>
      </c>
      <c r="E42" t="s">
        <v>12</v>
      </c>
    </row>
    <row r="43" spans="1:5" x14ac:dyDescent="0.2">
      <c r="A43" t="s">
        <v>721</v>
      </c>
      <c r="B43" t="s">
        <v>13</v>
      </c>
      <c r="C43" t="s">
        <v>347</v>
      </c>
      <c r="D43" t="s">
        <v>154</v>
      </c>
      <c r="E43" t="s">
        <v>12</v>
      </c>
    </row>
    <row r="44" spans="1:5" x14ac:dyDescent="0.2">
      <c r="A44" t="s">
        <v>723</v>
      </c>
      <c r="B44" t="s">
        <v>13</v>
      </c>
      <c r="C44" t="s">
        <v>347</v>
      </c>
      <c r="D44" t="s">
        <v>554</v>
      </c>
      <c r="E44" t="s">
        <v>12</v>
      </c>
    </row>
    <row r="45" spans="1:5" x14ac:dyDescent="0.2">
      <c r="A45" t="s">
        <v>722</v>
      </c>
      <c r="B45" t="s">
        <v>13</v>
      </c>
      <c r="C45" t="s">
        <v>347</v>
      </c>
      <c r="D45" t="s">
        <v>156</v>
      </c>
      <c r="E45" t="s">
        <v>12</v>
      </c>
    </row>
    <row r="46" spans="1:5" x14ac:dyDescent="0.2">
      <c r="A46" t="s">
        <v>724</v>
      </c>
      <c r="B46" t="s">
        <v>13</v>
      </c>
      <c r="C46" t="s">
        <v>347</v>
      </c>
      <c r="D46" t="s">
        <v>82</v>
      </c>
      <c r="E46" t="s">
        <v>12</v>
      </c>
    </row>
    <row r="48" spans="1:5" ht="18" thickBot="1" x14ac:dyDescent="0.35">
      <c r="A48" s="81" t="s">
        <v>1023</v>
      </c>
      <c r="B48" s="81"/>
      <c r="C48" s="81"/>
      <c r="D48" s="81"/>
      <c r="E48" s="81"/>
    </row>
    <row r="49" spans="1:5" ht="13.5" thickTop="1" x14ac:dyDescent="0.2">
      <c r="A49" t="s">
        <v>639</v>
      </c>
      <c r="B49" t="s">
        <v>13</v>
      </c>
      <c r="C49" t="s">
        <v>347</v>
      </c>
      <c r="D49" t="s">
        <v>366</v>
      </c>
      <c r="E49" t="s">
        <v>12</v>
      </c>
    </row>
    <row r="50" spans="1:5" x14ac:dyDescent="0.2">
      <c r="A50" t="s">
        <v>643</v>
      </c>
      <c r="B50" t="s">
        <v>13</v>
      </c>
      <c r="C50" t="s">
        <v>347</v>
      </c>
      <c r="D50" t="s">
        <v>548</v>
      </c>
      <c r="E50" t="s">
        <v>12</v>
      </c>
    </row>
    <row r="51" spans="1:5" x14ac:dyDescent="0.2">
      <c r="A51" t="s">
        <v>640</v>
      </c>
      <c r="B51" t="s">
        <v>13</v>
      </c>
      <c r="C51" t="s">
        <v>347</v>
      </c>
      <c r="D51" t="s">
        <v>367</v>
      </c>
      <c r="E51" t="s">
        <v>12</v>
      </c>
    </row>
    <row r="53" spans="1:5" ht="18" thickBot="1" x14ac:dyDescent="0.35">
      <c r="A53" s="81" t="s">
        <v>1024</v>
      </c>
      <c r="B53" s="81"/>
      <c r="C53" s="81"/>
      <c r="D53" s="81"/>
      <c r="E53" s="81"/>
    </row>
    <row r="54" spans="1:5" ht="13.5" thickTop="1" x14ac:dyDescent="0.2">
      <c r="A54" t="s">
        <v>736</v>
      </c>
      <c r="B54" t="s">
        <v>13</v>
      </c>
      <c r="C54" t="s">
        <v>347</v>
      </c>
      <c r="D54" t="s">
        <v>210</v>
      </c>
      <c r="E54" t="s">
        <v>51</v>
      </c>
    </row>
    <row r="55" spans="1:5" x14ac:dyDescent="0.2">
      <c r="A55" t="s">
        <v>737</v>
      </c>
      <c r="B55" t="s">
        <v>13</v>
      </c>
      <c r="C55" t="s">
        <v>347</v>
      </c>
      <c r="D55" t="s">
        <v>214</v>
      </c>
      <c r="E55" t="s">
        <v>42</v>
      </c>
    </row>
    <row r="56" spans="1:5" x14ac:dyDescent="0.2">
      <c r="A56" t="s">
        <v>738</v>
      </c>
      <c r="B56" t="s">
        <v>13</v>
      </c>
      <c r="C56" t="s">
        <v>347</v>
      </c>
      <c r="D56" t="s">
        <v>215</v>
      </c>
      <c r="E56" t="s">
        <v>51</v>
      </c>
    </row>
    <row r="57" spans="1:5" x14ac:dyDescent="0.2">
      <c r="A57" t="s">
        <v>739</v>
      </c>
      <c r="B57" t="s">
        <v>13</v>
      </c>
      <c r="C57" t="s">
        <v>347</v>
      </c>
      <c r="D57" t="s">
        <v>418</v>
      </c>
      <c r="E57" t="s">
        <v>12</v>
      </c>
    </row>
    <row r="58" spans="1:5" x14ac:dyDescent="0.2">
      <c r="A58" t="s">
        <v>741</v>
      </c>
      <c r="B58" t="s">
        <v>13</v>
      </c>
      <c r="C58" t="s">
        <v>347</v>
      </c>
      <c r="D58" t="s">
        <v>216</v>
      </c>
      <c r="E58" t="s">
        <v>12</v>
      </c>
    </row>
    <row r="59" spans="1:5" x14ac:dyDescent="0.2">
      <c r="A59" t="s">
        <v>740</v>
      </c>
      <c r="B59" t="s">
        <v>13</v>
      </c>
      <c r="C59" t="s">
        <v>347</v>
      </c>
      <c r="D59" t="s">
        <v>217</v>
      </c>
      <c r="E59" t="s">
        <v>12</v>
      </c>
    </row>
    <row r="60" spans="1:5" x14ac:dyDescent="0.2">
      <c r="A60" t="s">
        <v>742</v>
      </c>
      <c r="B60" t="s">
        <v>13</v>
      </c>
      <c r="C60" t="s">
        <v>347</v>
      </c>
      <c r="D60" t="s">
        <v>229</v>
      </c>
      <c r="E60" t="s">
        <v>12</v>
      </c>
    </row>
    <row r="61" spans="1:5" x14ac:dyDescent="0.2">
      <c r="A61" t="s">
        <v>743</v>
      </c>
      <c r="B61" t="s">
        <v>13</v>
      </c>
      <c r="C61" t="s">
        <v>347</v>
      </c>
      <c r="D61" t="s">
        <v>218</v>
      </c>
      <c r="E61" t="s">
        <v>12</v>
      </c>
    </row>
    <row r="62" spans="1:5" x14ac:dyDescent="0.2">
      <c r="A62" t="s">
        <v>744</v>
      </c>
      <c r="B62" t="s">
        <v>13</v>
      </c>
      <c r="C62" t="s">
        <v>347</v>
      </c>
      <c r="D62" t="s">
        <v>224</v>
      </c>
      <c r="E62" t="s">
        <v>12</v>
      </c>
    </row>
    <row r="63" spans="1:5" x14ac:dyDescent="0.2">
      <c r="A63" t="s">
        <v>745</v>
      </c>
      <c r="B63" t="s">
        <v>13</v>
      </c>
      <c r="C63" t="s">
        <v>347</v>
      </c>
      <c r="D63" t="s">
        <v>227</v>
      </c>
      <c r="E63" t="s">
        <v>12</v>
      </c>
    </row>
    <row r="64" spans="1:5" x14ac:dyDescent="0.2">
      <c r="A64" t="s">
        <v>746</v>
      </c>
      <c r="B64" t="s">
        <v>13</v>
      </c>
      <c r="C64" t="s">
        <v>347</v>
      </c>
      <c r="D64" t="s">
        <v>223</v>
      </c>
      <c r="E64" t="s">
        <v>42</v>
      </c>
    </row>
    <row r="66" spans="1:5" ht="18" thickBot="1" x14ac:dyDescent="0.35">
      <c r="A66" s="81" t="s">
        <v>1025</v>
      </c>
      <c r="B66" s="81"/>
      <c r="C66" s="81"/>
      <c r="D66" s="81"/>
      <c r="E66" s="81"/>
    </row>
    <row r="67" spans="1:5" ht="13.5" thickTop="1" x14ac:dyDescent="0.2">
      <c r="A67" t="s">
        <v>665</v>
      </c>
      <c r="B67" t="s">
        <v>13</v>
      </c>
      <c r="C67" t="s">
        <v>347</v>
      </c>
      <c r="D67" t="s">
        <v>372</v>
      </c>
      <c r="E67" t="s">
        <v>12</v>
      </c>
    </row>
    <row r="68" spans="1:5" x14ac:dyDescent="0.2">
      <c r="A68" t="s">
        <v>666</v>
      </c>
      <c r="B68" t="s">
        <v>13</v>
      </c>
      <c r="C68" t="s">
        <v>347</v>
      </c>
      <c r="D68" t="s">
        <v>374</v>
      </c>
      <c r="E68" t="s">
        <v>12</v>
      </c>
    </row>
    <row r="69" spans="1:5" x14ac:dyDescent="0.2">
      <c r="A69" t="s">
        <v>667</v>
      </c>
      <c r="B69" t="s">
        <v>13</v>
      </c>
      <c r="C69" t="s">
        <v>347</v>
      </c>
      <c r="D69" t="s">
        <v>376</v>
      </c>
      <c r="E69" t="s">
        <v>12</v>
      </c>
    </row>
    <row r="70" spans="1:5" x14ac:dyDescent="0.2">
      <c r="A70" t="s">
        <v>668</v>
      </c>
      <c r="B70" t="s">
        <v>13</v>
      </c>
      <c r="C70" t="s">
        <v>347</v>
      </c>
      <c r="D70" t="s">
        <v>378</v>
      </c>
      <c r="E70" t="s">
        <v>12</v>
      </c>
    </row>
    <row r="71" spans="1:5" x14ac:dyDescent="0.2">
      <c r="A71" t="s">
        <v>747</v>
      </c>
      <c r="B71" t="s">
        <v>13</v>
      </c>
      <c r="C71" t="s">
        <v>347</v>
      </c>
      <c r="D71" t="s">
        <v>380</v>
      </c>
      <c r="E71" t="s">
        <v>12</v>
      </c>
    </row>
    <row r="72" spans="1:5" x14ac:dyDescent="0.2">
      <c r="A72" t="s">
        <v>748</v>
      </c>
      <c r="B72" t="s">
        <v>13</v>
      </c>
      <c r="C72" t="s">
        <v>347</v>
      </c>
      <c r="D72" t="s">
        <v>382</v>
      </c>
      <c r="E72" t="s">
        <v>12</v>
      </c>
    </row>
    <row r="74" spans="1:5" ht="18" thickBot="1" x14ac:dyDescent="0.35">
      <c r="A74" s="81" t="s">
        <v>1026</v>
      </c>
      <c r="B74" s="81"/>
      <c r="C74" s="81"/>
      <c r="D74" s="81"/>
      <c r="E74" s="81"/>
    </row>
    <row r="75" spans="1:5" ht="13.5" thickTop="1" x14ac:dyDescent="0.2">
      <c r="A75" t="s">
        <v>651</v>
      </c>
      <c r="B75" t="s">
        <v>574</v>
      </c>
      <c r="C75" t="s">
        <v>347</v>
      </c>
      <c r="D75" t="s">
        <v>50</v>
      </c>
      <c r="E75" t="s">
        <v>51</v>
      </c>
    </row>
    <row r="77" spans="1:5" ht="18" thickBot="1" x14ac:dyDescent="0.35">
      <c r="A77" s="81" t="s">
        <v>1027</v>
      </c>
      <c r="B77" s="81"/>
      <c r="C77" s="81"/>
      <c r="D77" s="81"/>
      <c r="E77" s="81"/>
    </row>
    <row r="78" spans="1:5" ht="13.5" thickTop="1" x14ac:dyDescent="0.2">
      <c r="A78" t="s">
        <v>670</v>
      </c>
      <c r="B78" t="s">
        <v>574</v>
      </c>
      <c r="C78" t="s">
        <v>347</v>
      </c>
      <c r="D78" t="s">
        <v>448</v>
      </c>
      <c r="E78" t="s">
        <v>51</v>
      </c>
    </row>
    <row r="80" spans="1:5" ht="18" thickBot="1" x14ac:dyDescent="0.35">
      <c r="A80" s="81" t="s">
        <v>1028</v>
      </c>
      <c r="B80" s="81"/>
      <c r="C80" s="81"/>
      <c r="D80" s="81"/>
      <c r="E80" s="81"/>
    </row>
    <row r="81" spans="1:5" ht="13.5" thickTop="1" x14ac:dyDescent="0.2">
      <c r="A81" t="s">
        <v>767</v>
      </c>
      <c r="B81" t="s">
        <v>587</v>
      </c>
      <c r="C81" t="s">
        <v>72</v>
      </c>
      <c r="D81" t="s">
        <v>251</v>
      </c>
      <c r="E81" t="s">
        <v>188</v>
      </c>
    </row>
    <row r="82" spans="1:5" x14ac:dyDescent="0.2">
      <c r="A82" t="s">
        <v>768</v>
      </c>
      <c r="B82" t="s">
        <v>587</v>
      </c>
      <c r="C82" t="s">
        <v>72</v>
      </c>
      <c r="D82" t="s">
        <v>318</v>
      </c>
      <c r="E82" t="s">
        <v>188</v>
      </c>
    </row>
    <row r="83" spans="1:5" x14ac:dyDescent="0.2">
      <c r="A83" t="s">
        <v>769</v>
      </c>
      <c r="B83" t="s">
        <v>587</v>
      </c>
      <c r="C83" t="s">
        <v>72</v>
      </c>
      <c r="D83" t="s">
        <v>319</v>
      </c>
      <c r="E83" t="s">
        <v>188</v>
      </c>
    </row>
    <row r="85" spans="1:5" ht="18" thickBot="1" x14ac:dyDescent="0.35">
      <c r="A85" s="81" t="s">
        <v>1029</v>
      </c>
      <c r="B85" s="81"/>
      <c r="C85" s="81"/>
      <c r="D85" s="81"/>
      <c r="E85" s="81"/>
    </row>
    <row r="86" spans="1:5" ht="13.5" thickTop="1" x14ac:dyDescent="0.2">
      <c r="A86" t="s">
        <v>971</v>
      </c>
      <c r="B86" t="s">
        <v>587</v>
      </c>
      <c r="C86" t="s">
        <v>72</v>
      </c>
      <c r="D86" t="s">
        <v>256</v>
      </c>
      <c r="E86" t="s">
        <v>51</v>
      </c>
    </row>
    <row r="87" spans="1:5" x14ac:dyDescent="0.2">
      <c r="A87" t="s">
        <v>972</v>
      </c>
      <c r="B87" t="s">
        <v>587</v>
      </c>
      <c r="C87" t="s">
        <v>72</v>
      </c>
      <c r="D87" t="s">
        <v>267</v>
      </c>
      <c r="E87" t="s">
        <v>51</v>
      </c>
    </row>
    <row r="88" spans="1:5" x14ac:dyDescent="0.2">
      <c r="A88" t="s">
        <v>973</v>
      </c>
      <c r="B88" t="s">
        <v>587</v>
      </c>
      <c r="C88" t="s">
        <v>72</v>
      </c>
      <c r="D88" t="s">
        <v>532</v>
      </c>
      <c r="E88" t="s">
        <v>51</v>
      </c>
    </row>
    <row r="89" spans="1:5" x14ac:dyDescent="0.2">
      <c r="A89" t="s">
        <v>974</v>
      </c>
      <c r="B89" t="s">
        <v>587</v>
      </c>
      <c r="C89" t="s">
        <v>72</v>
      </c>
      <c r="D89" t="s">
        <v>533</v>
      </c>
      <c r="E89" t="s">
        <v>51</v>
      </c>
    </row>
    <row r="90" spans="1:5" x14ac:dyDescent="0.2">
      <c r="A90" t="s">
        <v>975</v>
      </c>
      <c r="B90" t="s">
        <v>587</v>
      </c>
      <c r="C90" t="s">
        <v>72</v>
      </c>
      <c r="D90" t="s">
        <v>268</v>
      </c>
      <c r="E90" t="s">
        <v>51</v>
      </c>
    </row>
    <row r="91" spans="1:5" x14ac:dyDescent="0.2">
      <c r="A91" t="s">
        <v>976</v>
      </c>
      <c r="B91" t="s">
        <v>587</v>
      </c>
      <c r="C91" t="s">
        <v>72</v>
      </c>
      <c r="D91" t="s">
        <v>269</v>
      </c>
      <c r="E91" t="s">
        <v>51</v>
      </c>
    </row>
    <row r="92" spans="1:5" x14ac:dyDescent="0.2">
      <c r="A92" t="s">
        <v>983</v>
      </c>
      <c r="B92" t="s">
        <v>587</v>
      </c>
      <c r="C92" t="s">
        <v>72</v>
      </c>
      <c r="D92" t="s">
        <v>403</v>
      </c>
      <c r="E92" t="s">
        <v>51</v>
      </c>
    </row>
    <row r="93" spans="1:5" x14ac:dyDescent="0.2">
      <c r="A93" t="s">
        <v>984</v>
      </c>
      <c r="B93" t="s">
        <v>587</v>
      </c>
      <c r="C93" t="s">
        <v>72</v>
      </c>
      <c r="D93" t="s">
        <v>405</v>
      </c>
      <c r="E93" t="s">
        <v>51</v>
      </c>
    </row>
    <row r="94" spans="1:5" x14ac:dyDescent="0.2">
      <c r="A94" t="s">
        <v>985</v>
      </c>
      <c r="B94" t="s">
        <v>587</v>
      </c>
      <c r="C94" t="s">
        <v>72</v>
      </c>
      <c r="D94" t="s">
        <v>407</v>
      </c>
      <c r="E94" t="s">
        <v>51</v>
      </c>
    </row>
    <row r="95" spans="1:5" x14ac:dyDescent="0.2">
      <c r="A95" t="s">
        <v>986</v>
      </c>
      <c r="B95" t="s">
        <v>587</v>
      </c>
      <c r="C95" t="s">
        <v>72</v>
      </c>
      <c r="D95" t="s">
        <v>409</v>
      </c>
      <c r="E95" t="s">
        <v>51</v>
      </c>
    </row>
    <row r="97" spans="1:5" ht="18" thickBot="1" x14ac:dyDescent="0.35">
      <c r="A97" s="81" t="s">
        <v>1030</v>
      </c>
      <c r="B97" s="81"/>
      <c r="C97" s="81"/>
      <c r="D97" s="81"/>
      <c r="E97" s="81"/>
    </row>
    <row r="98" spans="1:5" ht="13.5" thickTop="1" x14ac:dyDescent="0.2">
      <c r="A98" t="s">
        <v>977</v>
      </c>
      <c r="B98" t="s">
        <v>587</v>
      </c>
      <c r="C98" t="s">
        <v>72</v>
      </c>
      <c r="D98" t="s">
        <v>270</v>
      </c>
      <c r="E98" t="s">
        <v>51</v>
      </c>
    </row>
    <row r="99" spans="1:5" x14ac:dyDescent="0.2">
      <c r="A99" t="s">
        <v>978</v>
      </c>
      <c r="B99" t="s">
        <v>587</v>
      </c>
      <c r="C99" t="s">
        <v>72</v>
      </c>
      <c r="D99" t="s">
        <v>271</v>
      </c>
      <c r="E99" t="s">
        <v>51</v>
      </c>
    </row>
    <row r="100" spans="1:5" x14ac:dyDescent="0.2">
      <c r="A100" t="s">
        <v>979</v>
      </c>
      <c r="B100" t="s">
        <v>587</v>
      </c>
      <c r="C100" t="s">
        <v>72</v>
      </c>
      <c r="D100" t="s">
        <v>493</v>
      </c>
      <c r="E100" t="s">
        <v>51</v>
      </c>
    </row>
    <row r="101" spans="1:5" x14ac:dyDescent="0.2">
      <c r="A101" t="s">
        <v>980</v>
      </c>
      <c r="B101" t="s">
        <v>587</v>
      </c>
      <c r="C101" t="s">
        <v>72</v>
      </c>
      <c r="D101" t="s">
        <v>494</v>
      </c>
      <c r="E101" t="s">
        <v>51</v>
      </c>
    </row>
    <row r="102" spans="1:5" x14ac:dyDescent="0.2">
      <c r="A102" t="s">
        <v>981</v>
      </c>
      <c r="B102" t="s">
        <v>587</v>
      </c>
      <c r="C102" t="s">
        <v>72</v>
      </c>
      <c r="D102" t="s">
        <v>272</v>
      </c>
      <c r="E102" t="s">
        <v>51</v>
      </c>
    </row>
    <row r="103" spans="1:5" x14ac:dyDescent="0.2">
      <c r="A103" t="s">
        <v>982</v>
      </c>
      <c r="B103" t="s">
        <v>587</v>
      </c>
      <c r="C103" t="s">
        <v>72</v>
      </c>
      <c r="D103" t="s">
        <v>273</v>
      </c>
      <c r="E103" t="s">
        <v>51</v>
      </c>
    </row>
    <row r="104" spans="1:5" x14ac:dyDescent="0.2">
      <c r="A104" t="s">
        <v>987</v>
      </c>
      <c r="B104" t="s">
        <v>587</v>
      </c>
      <c r="C104" t="s">
        <v>72</v>
      </c>
      <c r="D104" t="s">
        <v>274</v>
      </c>
      <c r="E104" t="s">
        <v>51</v>
      </c>
    </row>
    <row r="105" spans="1:5" x14ac:dyDescent="0.2">
      <c r="A105" t="s">
        <v>988</v>
      </c>
      <c r="B105" t="s">
        <v>587</v>
      </c>
      <c r="C105" t="s">
        <v>72</v>
      </c>
      <c r="D105" t="s">
        <v>275</v>
      </c>
      <c r="E105" t="s">
        <v>51</v>
      </c>
    </row>
    <row r="107" spans="1:5" ht="18" thickBot="1" x14ac:dyDescent="0.35">
      <c r="A107" s="81" t="s">
        <v>1031</v>
      </c>
      <c r="B107" s="81"/>
      <c r="C107" s="81"/>
      <c r="D107" s="81"/>
      <c r="E107" s="81"/>
    </row>
    <row r="108" spans="1:5" ht="13.5" thickTop="1" x14ac:dyDescent="0.2">
      <c r="A108" t="s">
        <v>801</v>
      </c>
      <c r="B108" t="s">
        <v>13</v>
      </c>
      <c r="C108" t="s">
        <v>347</v>
      </c>
      <c r="D108" t="s">
        <v>159</v>
      </c>
      <c r="E108" t="s">
        <v>12</v>
      </c>
    </row>
    <row r="109" spans="1:5" x14ac:dyDescent="0.2">
      <c r="A109" t="s">
        <v>873</v>
      </c>
      <c r="B109" t="s">
        <v>13</v>
      </c>
      <c r="C109" t="s">
        <v>347</v>
      </c>
      <c r="D109" t="s">
        <v>996</v>
      </c>
      <c r="E109" t="s">
        <v>42</v>
      </c>
    </row>
    <row r="110" spans="1:5" x14ac:dyDescent="0.2">
      <c r="A110" t="s">
        <v>872</v>
      </c>
      <c r="B110" t="s">
        <v>13</v>
      </c>
      <c r="C110" t="s">
        <v>347</v>
      </c>
      <c r="D110" t="s">
        <v>997</v>
      </c>
      <c r="E110" t="s">
        <v>42</v>
      </c>
    </row>
    <row r="111" spans="1:5" x14ac:dyDescent="0.2">
      <c r="A111" t="s">
        <v>871</v>
      </c>
      <c r="B111" t="s">
        <v>13</v>
      </c>
      <c r="C111" t="s">
        <v>347</v>
      </c>
      <c r="D111" t="s">
        <v>995</v>
      </c>
      <c r="E111" t="s">
        <v>42</v>
      </c>
    </row>
    <row r="112" spans="1:5" x14ac:dyDescent="0.2">
      <c r="A112" t="s">
        <v>678</v>
      </c>
      <c r="B112" t="s">
        <v>13</v>
      </c>
      <c r="C112" t="s">
        <v>347</v>
      </c>
      <c r="D112" t="s">
        <v>80</v>
      </c>
      <c r="E112" t="s">
        <v>42</v>
      </c>
    </row>
    <row r="113" spans="1:5" x14ac:dyDescent="0.2">
      <c r="A113" t="s">
        <v>679</v>
      </c>
      <c r="B113" t="s">
        <v>13</v>
      </c>
      <c r="C113" t="s">
        <v>347</v>
      </c>
      <c r="D113" t="s">
        <v>556</v>
      </c>
      <c r="E113" t="s">
        <v>42</v>
      </c>
    </row>
    <row r="114" spans="1:5" x14ac:dyDescent="0.2">
      <c r="A114" t="s">
        <v>680</v>
      </c>
      <c r="B114" t="s">
        <v>13</v>
      </c>
      <c r="C114" t="s">
        <v>347</v>
      </c>
      <c r="D114" t="s">
        <v>81</v>
      </c>
      <c r="E114" t="s">
        <v>42</v>
      </c>
    </row>
    <row r="115" spans="1:5" ht="18" thickBot="1" x14ac:dyDescent="0.35">
      <c r="A115" s="81"/>
      <c r="B115" s="81"/>
      <c r="C115" s="81"/>
      <c r="D115" s="81"/>
      <c r="E115" s="81"/>
    </row>
    <row r="116" spans="1:5" ht="18.75" thickTop="1" thickBot="1" x14ac:dyDescent="0.35">
      <c r="A116" s="81" t="s">
        <v>1032</v>
      </c>
      <c r="B116" s="81"/>
      <c r="C116" s="81"/>
      <c r="D116" s="81"/>
      <c r="E116" s="81"/>
    </row>
    <row r="117" spans="1:5" ht="13.5" thickTop="1" x14ac:dyDescent="0.2">
      <c r="A117" t="s">
        <v>802</v>
      </c>
      <c r="B117" t="s">
        <v>587</v>
      </c>
      <c r="C117" t="s">
        <v>72</v>
      </c>
      <c r="D117" t="s">
        <v>449</v>
      </c>
      <c r="E117" t="s">
        <v>51</v>
      </c>
    </row>
    <row r="118" spans="1:5" ht="18" thickBot="1" x14ac:dyDescent="0.35">
      <c r="A118" s="81"/>
      <c r="B118" s="81"/>
      <c r="C118" s="81"/>
      <c r="D118" s="81"/>
      <c r="E118" s="81"/>
    </row>
    <row r="119" spans="1:5" ht="18.75" thickTop="1" thickBot="1" x14ac:dyDescent="0.35">
      <c r="A119" s="81" t="s">
        <v>1033</v>
      </c>
      <c r="B119" s="81"/>
      <c r="C119" s="81"/>
      <c r="D119" s="81"/>
      <c r="E119" s="81"/>
    </row>
    <row r="120" spans="1:5" ht="13.5" thickTop="1" x14ac:dyDescent="0.2">
      <c r="A120" t="s">
        <v>787</v>
      </c>
      <c r="B120" t="s">
        <v>587</v>
      </c>
      <c r="C120" t="s">
        <v>72</v>
      </c>
      <c r="D120" t="s">
        <v>293</v>
      </c>
      <c r="E120" t="s">
        <v>12</v>
      </c>
    </row>
    <row r="122" spans="1:5" ht="18" thickBot="1" x14ac:dyDescent="0.35">
      <c r="A122" s="81" t="s">
        <v>1034</v>
      </c>
      <c r="B122" s="81"/>
      <c r="C122" s="81"/>
      <c r="D122" s="81"/>
      <c r="E122" s="81"/>
    </row>
    <row r="123" spans="1:5" ht="13.5" thickTop="1" x14ac:dyDescent="0.2">
      <c r="A123" t="s">
        <v>811</v>
      </c>
      <c r="B123" t="s">
        <v>13</v>
      </c>
      <c r="C123" t="s">
        <v>347</v>
      </c>
      <c r="D123" t="s">
        <v>181</v>
      </c>
      <c r="E123" t="s">
        <v>51</v>
      </c>
    </row>
    <row r="124" spans="1:5" x14ac:dyDescent="0.2">
      <c r="A124" t="s">
        <v>682</v>
      </c>
      <c r="B124" t="s">
        <v>13</v>
      </c>
      <c r="C124" t="s">
        <v>347</v>
      </c>
      <c r="D124" t="s">
        <v>182</v>
      </c>
      <c r="E124" t="s">
        <v>12</v>
      </c>
    </row>
    <row r="126" spans="1:5" ht="18" thickBot="1" x14ac:dyDescent="0.35">
      <c r="A126" s="81" t="s">
        <v>1035</v>
      </c>
      <c r="B126" s="81"/>
      <c r="C126" s="81"/>
      <c r="D126" s="81"/>
      <c r="E126" s="81"/>
    </row>
    <row r="127" spans="1:5" ht="13.5" thickTop="1" x14ac:dyDescent="0.2">
      <c r="A127" t="s">
        <v>809</v>
      </c>
      <c r="B127" t="s">
        <v>13</v>
      </c>
      <c r="C127" t="s">
        <v>347</v>
      </c>
      <c r="D127" t="s">
        <v>193</v>
      </c>
      <c r="E127" t="s">
        <v>51</v>
      </c>
    </row>
    <row r="129" spans="1:5" ht="18" thickBot="1" x14ac:dyDescent="0.35">
      <c r="A129" s="81" t="s">
        <v>1036</v>
      </c>
      <c r="B129" s="81"/>
      <c r="C129" s="81"/>
      <c r="D129" s="81"/>
      <c r="E129" s="81"/>
    </row>
    <row r="130" spans="1:5" ht="13.5" thickTop="1" x14ac:dyDescent="0.2">
      <c r="A130" t="s">
        <v>832</v>
      </c>
      <c r="B130" t="s">
        <v>574</v>
      </c>
      <c r="C130" t="s">
        <v>347</v>
      </c>
      <c r="D130" t="s">
        <v>301</v>
      </c>
      <c r="E130" t="s">
        <v>51</v>
      </c>
    </row>
    <row r="131" spans="1:5" x14ac:dyDescent="0.2">
      <c r="A131" t="s">
        <v>833</v>
      </c>
      <c r="B131" t="s">
        <v>587</v>
      </c>
      <c r="C131" t="s">
        <v>72</v>
      </c>
      <c r="D131" t="s">
        <v>302</v>
      </c>
      <c r="E131" t="s">
        <v>12</v>
      </c>
    </row>
    <row r="132" spans="1:5" x14ac:dyDescent="0.2">
      <c r="A132" t="s">
        <v>834</v>
      </c>
      <c r="B132" t="s">
        <v>587</v>
      </c>
      <c r="C132" t="s">
        <v>72</v>
      </c>
      <c r="D132" t="s">
        <v>303</v>
      </c>
      <c r="E132" t="s">
        <v>12</v>
      </c>
    </row>
    <row r="133" spans="1:5" x14ac:dyDescent="0.2">
      <c r="A133" t="s">
        <v>835</v>
      </c>
      <c r="B133" t="s">
        <v>587</v>
      </c>
      <c r="C133" t="s">
        <v>72</v>
      </c>
      <c r="D133" t="s">
        <v>304</v>
      </c>
      <c r="E133" t="s">
        <v>12</v>
      </c>
    </row>
    <row r="134" spans="1:5" x14ac:dyDescent="0.2">
      <c r="A134" t="s">
        <v>836</v>
      </c>
      <c r="B134" t="s">
        <v>13</v>
      </c>
      <c r="C134" t="s">
        <v>347</v>
      </c>
      <c r="D134" t="s">
        <v>309</v>
      </c>
      <c r="E134" t="s">
        <v>12</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E87"/>
  <sheetViews>
    <sheetView workbookViewId="0">
      <selection activeCell="A4" sqref="A4:D4"/>
    </sheetView>
  </sheetViews>
  <sheetFormatPr baseColWidth="10" defaultRowHeight="12.75" x14ac:dyDescent="0.2"/>
  <cols>
    <col min="1" max="1" width="40" bestFit="1" customWidth="1"/>
    <col min="2" max="2" width="7.5703125" bestFit="1" customWidth="1"/>
    <col min="3" max="3" width="10.85546875" bestFit="1" customWidth="1"/>
    <col min="4" max="4" width="72.140625" bestFit="1" customWidth="1"/>
  </cols>
  <sheetData>
    <row r="1" spans="1:5" ht="19.5" customHeight="1" x14ac:dyDescent="0.2">
      <c r="A1" s="354" t="s">
        <v>616</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1054</v>
      </c>
      <c r="B10" s="81"/>
      <c r="C10" s="81"/>
      <c r="D10" s="81"/>
      <c r="E10" s="81"/>
    </row>
    <row r="11" spans="1:5" ht="13.5" thickTop="1" x14ac:dyDescent="0.2">
      <c r="A11" t="s">
        <v>694</v>
      </c>
      <c r="B11" t="s">
        <v>13</v>
      </c>
      <c r="C11" t="s">
        <v>347</v>
      </c>
      <c r="D11" t="s">
        <v>129</v>
      </c>
      <c r="E11" t="s">
        <v>462</v>
      </c>
    </row>
    <row r="13" spans="1:5" ht="18" thickBot="1" x14ac:dyDescent="0.35">
      <c r="A13" s="81" t="s">
        <v>1045</v>
      </c>
      <c r="B13" s="81"/>
      <c r="C13" s="81"/>
      <c r="D13" s="81"/>
      <c r="E13" s="81"/>
    </row>
    <row r="14" spans="1:5" ht="13.5" thickTop="1" x14ac:dyDescent="0.2">
      <c r="A14" t="s">
        <v>799</v>
      </c>
      <c r="B14" t="s">
        <v>574</v>
      </c>
      <c r="C14" t="s">
        <v>347</v>
      </c>
      <c r="D14" t="s">
        <v>278</v>
      </c>
      <c r="E14" t="s">
        <v>51</v>
      </c>
    </row>
    <row r="15" spans="1:5" x14ac:dyDescent="0.2">
      <c r="A15" t="s">
        <v>977</v>
      </c>
      <c r="B15" t="s">
        <v>587</v>
      </c>
      <c r="C15" t="s">
        <v>72</v>
      </c>
      <c r="D15" t="s">
        <v>270</v>
      </c>
      <c r="E15" t="s">
        <v>51</v>
      </c>
    </row>
    <row r="16" spans="1:5" x14ac:dyDescent="0.2">
      <c r="A16" t="s">
        <v>978</v>
      </c>
      <c r="B16" t="s">
        <v>587</v>
      </c>
      <c r="C16" t="s">
        <v>72</v>
      </c>
      <c r="D16" t="s">
        <v>271</v>
      </c>
      <c r="E16" t="s">
        <v>51</v>
      </c>
    </row>
    <row r="17" spans="1:5" x14ac:dyDescent="0.2">
      <c r="A17" t="s">
        <v>979</v>
      </c>
      <c r="B17" t="s">
        <v>587</v>
      </c>
      <c r="C17" t="s">
        <v>72</v>
      </c>
      <c r="D17" t="s">
        <v>493</v>
      </c>
      <c r="E17" t="s">
        <v>51</v>
      </c>
    </row>
    <row r="18" spans="1:5" x14ac:dyDescent="0.2">
      <c r="A18" t="s">
        <v>980</v>
      </c>
      <c r="B18" t="s">
        <v>587</v>
      </c>
      <c r="C18" t="s">
        <v>72</v>
      </c>
      <c r="D18" t="s">
        <v>494</v>
      </c>
      <c r="E18" t="s">
        <v>51</v>
      </c>
    </row>
    <row r="19" spans="1:5" x14ac:dyDescent="0.2">
      <c r="A19" t="s">
        <v>981</v>
      </c>
      <c r="B19" t="s">
        <v>587</v>
      </c>
      <c r="C19" t="s">
        <v>72</v>
      </c>
      <c r="D19" t="s">
        <v>272</v>
      </c>
      <c r="E19" t="s">
        <v>51</v>
      </c>
    </row>
    <row r="20" spans="1:5" x14ac:dyDescent="0.2">
      <c r="A20" t="s">
        <v>982</v>
      </c>
      <c r="B20" t="s">
        <v>587</v>
      </c>
      <c r="C20" t="s">
        <v>72</v>
      </c>
      <c r="D20" t="s">
        <v>273</v>
      </c>
      <c r="E20" t="s">
        <v>51</v>
      </c>
    </row>
    <row r="21" spans="1:5" x14ac:dyDescent="0.2">
      <c r="A21" t="s">
        <v>800</v>
      </c>
      <c r="B21" t="s">
        <v>574</v>
      </c>
      <c r="C21" t="s">
        <v>347</v>
      </c>
      <c r="D21" t="s">
        <v>279</v>
      </c>
      <c r="E21" t="s">
        <v>51</v>
      </c>
    </row>
    <row r="22" spans="1:5" x14ac:dyDescent="0.2">
      <c r="A22" t="s">
        <v>987</v>
      </c>
      <c r="B22" t="s">
        <v>587</v>
      </c>
      <c r="C22" t="s">
        <v>72</v>
      </c>
      <c r="D22" t="s">
        <v>274</v>
      </c>
      <c r="E22" t="s">
        <v>51</v>
      </c>
    </row>
    <row r="23" spans="1:5" x14ac:dyDescent="0.2">
      <c r="A23" t="s">
        <v>988</v>
      </c>
      <c r="B23" t="s">
        <v>587</v>
      </c>
      <c r="C23" t="s">
        <v>72</v>
      </c>
      <c r="D23" t="s">
        <v>275</v>
      </c>
      <c r="E23" t="s">
        <v>51</v>
      </c>
    </row>
    <row r="25" spans="1:5" ht="18" thickBot="1" x14ac:dyDescent="0.35">
      <c r="A25" s="81" t="s">
        <v>1010</v>
      </c>
      <c r="B25" s="81"/>
      <c r="C25" s="81"/>
      <c r="D25" s="81"/>
      <c r="E25" s="81"/>
    </row>
    <row r="26" spans="1:5" ht="13.5" thickTop="1" x14ac:dyDescent="0.2">
      <c r="A26" t="s">
        <v>971</v>
      </c>
      <c r="B26" t="s">
        <v>587</v>
      </c>
      <c r="C26" t="s">
        <v>72</v>
      </c>
      <c r="D26" t="s">
        <v>256</v>
      </c>
      <c r="E26" t="s">
        <v>51</v>
      </c>
    </row>
    <row r="27" spans="1:5" x14ac:dyDescent="0.2">
      <c r="A27" t="s">
        <v>972</v>
      </c>
      <c r="B27" t="s">
        <v>587</v>
      </c>
      <c r="C27" t="s">
        <v>72</v>
      </c>
      <c r="D27" t="s">
        <v>267</v>
      </c>
      <c r="E27" t="s">
        <v>51</v>
      </c>
    </row>
    <row r="28" spans="1:5" x14ac:dyDescent="0.2">
      <c r="A28" t="s">
        <v>973</v>
      </c>
      <c r="B28" t="s">
        <v>587</v>
      </c>
      <c r="C28" t="s">
        <v>72</v>
      </c>
      <c r="D28" t="s">
        <v>532</v>
      </c>
      <c r="E28" t="s">
        <v>51</v>
      </c>
    </row>
    <row r="29" spans="1:5" x14ac:dyDescent="0.2">
      <c r="A29" t="s">
        <v>974</v>
      </c>
      <c r="B29" t="s">
        <v>587</v>
      </c>
      <c r="C29" t="s">
        <v>72</v>
      </c>
      <c r="D29" t="s">
        <v>533</v>
      </c>
      <c r="E29" t="s">
        <v>51</v>
      </c>
    </row>
    <row r="30" spans="1:5" x14ac:dyDescent="0.2">
      <c r="A30" t="s">
        <v>975</v>
      </c>
      <c r="B30" t="s">
        <v>587</v>
      </c>
      <c r="C30" t="s">
        <v>72</v>
      </c>
      <c r="D30" t="s">
        <v>268</v>
      </c>
      <c r="E30" t="s">
        <v>51</v>
      </c>
    </row>
    <row r="31" spans="1:5" x14ac:dyDescent="0.2">
      <c r="A31" t="s">
        <v>976</v>
      </c>
      <c r="B31" t="s">
        <v>587</v>
      </c>
      <c r="C31" t="s">
        <v>72</v>
      </c>
      <c r="D31" t="s">
        <v>269</v>
      </c>
      <c r="E31" t="s">
        <v>51</v>
      </c>
    </row>
    <row r="32" spans="1:5" x14ac:dyDescent="0.2">
      <c r="A32" t="s">
        <v>977</v>
      </c>
      <c r="B32" t="s">
        <v>587</v>
      </c>
      <c r="C32" t="s">
        <v>72</v>
      </c>
      <c r="D32" t="s">
        <v>270</v>
      </c>
      <c r="E32" t="s">
        <v>51</v>
      </c>
    </row>
    <row r="33" spans="1:5" x14ac:dyDescent="0.2">
      <c r="A33" t="s">
        <v>978</v>
      </c>
      <c r="B33" t="s">
        <v>587</v>
      </c>
      <c r="C33" t="s">
        <v>72</v>
      </c>
      <c r="D33" t="s">
        <v>271</v>
      </c>
      <c r="E33" t="s">
        <v>51</v>
      </c>
    </row>
    <row r="34" spans="1:5" x14ac:dyDescent="0.2">
      <c r="A34" t="s">
        <v>979</v>
      </c>
      <c r="B34" t="s">
        <v>587</v>
      </c>
      <c r="C34" t="s">
        <v>72</v>
      </c>
      <c r="D34" t="s">
        <v>493</v>
      </c>
      <c r="E34" t="s">
        <v>51</v>
      </c>
    </row>
    <row r="35" spans="1:5" x14ac:dyDescent="0.2">
      <c r="A35" t="s">
        <v>980</v>
      </c>
      <c r="B35" t="s">
        <v>587</v>
      </c>
      <c r="C35" t="s">
        <v>72</v>
      </c>
      <c r="D35" t="s">
        <v>494</v>
      </c>
      <c r="E35" t="s">
        <v>51</v>
      </c>
    </row>
    <row r="36" spans="1:5" x14ac:dyDescent="0.2">
      <c r="A36" t="s">
        <v>981</v>
      </c>
      <c r="B36" t="s">
        <v>587</v>
      </c>
      <c r="C36" t="s">
        <v>72</v>
      </c>
      <c r="D36" t="s">
        <v>272</v>
      </c>
      <c r="E36" t="s">
        <v>51</v>
      </c>
    </row>
    <row r="37" spans="1:5" x14ac:dyDescent="0.2">
      <c r="A37" t="s">
        <v>982</v>
      </c>
      <c r="B37" t="s">
        <v>587</v>
      </c>
      <c r="C37" t="s">
        <v>72</v>
      </c>
      <c r="D37" t="s">
        <v>273</v>
      </c>
      <c r="E37" t="s">
        <v>51</v>
      </c>
    </row>
    <row r="38" spans="1:5" x14ac:dyDescent="0.2">
      <c r="A38" t="s">
        <v>983</v>
      </c>
      <c r="B38" t="s">
        <v>587</v>
      </c>
      <c r="C38" t="s">
        <v>72</v>
      </c>
      <c r="D38" t="s">
        <v>403</v>
      </c>
      <c r="E38" t="s">
        <v>51</v>
      </c>
    </row>
    <row r="39" spans="1:5" x14ac:dyDescent="0.2">
      <c r="A39" t="s">
        <v>984</v>
      </c>
      <c r="B39" t="s">
        <v>587</v>
      </c>
      <c r="C39" t="s">
        <v>72</v>
      </c>
      <c r="D39" t="s">
        <v>405</v>
      </c>
      <c r="E39" t="s">
        <v>51</v>
      </c>
    </row>
    <row r="40" spans="1:5" x14ac:dyDescent="0.2">
      <c r="A40" t="s">
        <v>985</v>
      </c>
      <c r="B40" t="s">
        <v>587</v>
      </c>
      <c r="C40" t="s">
        <v>72</v>
      </c>
      <c r="D40" t="s">
        <v>407</v>
      </c>
      <c r="E40" t="s">
        <v>51</v>
      </c>
    </row>
    <row r="41" spans="1:5" x14ac:dyDescent="0.2">
      <c r="A41" t="s">
        <v>986</v>
      </c>
      <c r="B41" t="s">
        <v>587</v>
      </c>
      <c r="C41" t="s">
        <v>72</v>
      </c>
      <c r="D41" t="s">
        <v>409</v>
      </c>
      <c r="E41" t="s">
        <v>51</v>
      </c>
    </row>
    <row r="42" spans="1:5" x14ac:dyDescent="0.2">
      <c r="A42" t="s">
        <v>987</v>
      </c>
      <c r="B42" t="s">
        <v>587</v>
      </c>
      <c r="C42" t="s">
        <v>72</v>
      </c>
      <c r="D42" t="s">
        <v>274</v>
      </c>
      <c r="E42" t="s">
        <v>51</v>
      </c>
    </row>
    <row r="43" spans="1:5" x14ac:dyDescent="0.2">
      <c r="A43" t="s">
        <v>988</v>
      </c>
      <c r="B43" t="s">
        <v>587</v>
      </c>
      <c r="C43" t="s">
        <v>72</v>
      </c>
      <c r="D43" t="s">
        <v>275</v>
      </c>
      <c r="E43" t="s">
        <v>51</v>
      </c>
    </row>
    <row r="45" spans="1:5" ht="18" thickBot="1" x14ac:dyDescent="0.35">
      <c r="A45" s="81" t="s">
        <v>1011</v>
      </c>
      <c r="B45" s="81"/>
      <c r="C45" s="81"/>
      <c r="D45" s="81"/>
      <c r="E45" s="81"/>
    </row>
    <row r="46" spans="1:5" ht="13.5" thickTop="1" x14ac:dyDescent="0.2">
      <c r="A46" t="s">
        <v>801</v>
      </c>
      <c r="B46" t="s">
        <v>13</v>
      </c>
      <c r="C46" t="s">
        <v>347</v>
      </c>
      <c r="D46" t="s">
        <v>159</v>
      </c>
      <c r="E46" t="s">
        <v>12</v>
      </c>
    </row>
    <row r="47" spans="1:5" x14ac:dyDescent="0.2">
      <c r="A47" t="s">
        <v>873</v>
      </c>
      <c r="B47" t="s">
        <v>13</v>
      </c>
      <c r="C47" t="s">
        <v>347</v>
      </c>
      <c r="D47" t="s">
        <v>996</v>
      </c>
      <c r="E47" t="s">
        <v>42</v>
      </c>
    </row>
    <row r="48" spans="1:5" x14ac:dyDescent="0.2">
      <c r="A48" t="s">
        <v>872</v>
      </c>
      <c r="B48" t="s">
        <v>13</v>
      </c>
      <c r="C48" t="s">
        <v>347</v>
      </c>
      <c r="D48" t="s">
        <v>997</v>
      </c>
      <c r="E48" t="s">
        <v>42</v>
      </c>
    </row>
    <row r="49" spans="1:5" x14ac:dyDescent="0.2">
      <c r="A49" t="s">
        <v>871</v>
      </c>
      <c r="B49" t="s">
        <v>13</v>
      </c>
      <c r="C49" t="s">
        <v>347</v>
      </c>
      <c r="D49" t="s">
        <v>995</v>
      </c>
      <c r="E49" t="s">
        <v>42</v>
      </c>
    </row>
    <row r="50" spans="1:5" x14ac:dyDescent="0.2">
      <c r="A50" t="s">
        <v>678</v>
      </c>
      <c r="B50" t="s">
        <v>13</v>
      </c>
      <c r="C50" t="s">
        <v>347</v>
      </c>
      <c r="D50" t="s">
        <v>80</v>
      </c>
      <c r="E50" t="s">
        <v>42</v>
      </c>
    </row>
    <row r="51" spans="1:5" x14ac:dyDescent="0.2">
      <c r="A51" t="s">
        <v>679</v>
      </c>
      <c r="B51" t="s">
        <v>13</v>
      </c>
      <c r="C51" t="s">
        <v>347</v>
      </c>
      <c r="D51" t="s">
        <v>556</v>
      </c>
      <c r="E51" t="s">
        <v>42</v>
      </c>
    </row>
    <row r="52" spans="1:5" x14ac:dyDescent="0.2">
      <c r="A52" t="s">
        <v>680</v>
      </c>
      <c r="B52" t="s">
        <v>13</v>
      </c>
      <c r="C52" t="s">
        <v>347</v>
      </c>
      <c r="D52" t="s">
        <v>81</v>
      </c>
      <c r="E52" t="s">
        <v>42</v>
      </c>
    </row>
    <row r="54" spans="1:5" ht="18" thickBot="1" x14ac:dyDescent="0.35">
      <c r="A54" s="81" t="s">
        <v>1046</v>
      </c>
      <c r="B54" s="81"/>
      <c r="C54" s="81"/>
      <c r="D54" s="81"/>
      <c r="E54" s="81"/>
    </row>
    <row r="55" spans="1:5" ht="13.5" thickTop="1" x14ac:dyDescent="0.2">
      <c r="A55" t="s">
        <v>801</v>
      </c>
      <c r="B55" t="s">
        <v>13</v>
      </c>
      <c r="C55" t="s">
        <v>347</v>
      </c>
      <c r="D55" t="s">
        <v>159</v>
      </c>
      <c r="E55" t="s">
        <v>12</v>
      </c>
    </row>
    <row r="56" spans="1:5" x14ac:dyDescent="0.2">
      <c r="A56" t="s">
        <v>873</v>
      </c>
      <c r="B56" t="s">
        <v>13</v>
      </c>
      <c r="C56" t="s">
        <v>347</v>
      </c>
      <c r="D56" t="s">
        <v>996</v>
      </c>
      <c r="E56" t="s">
        <v>42</v>
      </c>
    </row>
    <row r="57" spans="1:5" x14ac:dyDescent="0.2">
      <c r="A57" t="s">
        <v>872</v>
      </c>
      <c r="B57" t="s">
        <v>13</v>
      </c>
      <c r="C57" t="s">
        <v>347</v>
      </c>
      <c r="D57" t="s">
        <v>997</v>
      </c>
      <c r="E57" t="s">
        <v>42</v>
      </c>
    </row>
    <row r="58" spans="1:5" x14ac:dyDescent="0.2">
      <c r="A58" t="s">
        <v>871</v>
      </c>
      <c r="B58" t="s">
        <v>13</v>
      </c>
      <c r="C58" t="s">
        <v>347</v>
      </c>
      <c r="D58" t="s">
        <v>995</v>
      </c>
      <c r="E58" t="s">
        <v>42</v>
      </c>
    </row>
    <row r="59" spans="1:5" x14ac:dyDescent="0.2">
      <c r="A59" t="s">
        <v>678</v>
      </c>
      <c r="B59" t="s">
        <v>13</v>
      </c>
      <c r="C59" t="s">
        <v>347</v>
      </c>
      <c r="D59" t="s">
        <v>80</v>
      </c>
      <c r="E59" t="s">
        <v>42</v>
      </c>
    </row>
    <row r="60" spans="1:5" x14ac:dyDescent="0.2">
      <c r="A60" t="s">
        <v>679</v>
      </c>
      <c r="B60" t="s">
        <v>13</v>
      </c>
      <c r="C60" t="s">
        <v>347</v>
      </c>
      <c r="D60" t="s">
        <v>556</v>
      </c>
      <c r="E60" t="s">
        <v>42</v>
      </c>
    </row>
    <row r="61" spans="1:5" x14ac:dyDescent="0.2">
      <c r="A61" t="s">
        <v>680</v>
      </c>
      <c r="B61" t="s">
        <v>13</v>
      </c>
      <c r="C61" t="s">
        <v>347</v>
      </c>
      <c r="D61" t="s">
        <v>81</v>
      </c>
      <c r="E61" t="s">
        <v>42</v>
      </c>
    </row>
    <row r="63" spans="1:5" ht="18" thickBot="1" x14ac:dyDescent="0.35">
      <c r="A63" s="81" t="s">
        <v>1058</v>
      </c>
      <c r="B63" s="81"/>
      <c r="C63" s="81"/>
      <c r="D63" s="81"/>
      <c r="E63" s="81"/>
    </row>
    <row r="64" spans="1:5" ht="13.5" thickTop="1" x14ac:dyDescent="0.2">
      <c r="A64" t="s">
        <v>806</v>
      </c>
      <c r="B64" t="s">
        <v>587</v>
      </c>
      <c r="C64" t="s">
        <v>72</v>
      </c>
      <c r="D64" t="s">
        <v>534</v>
      </c>
      <c r="E64" t="s">
        <v>51</v>
      </c>
    </row>
    <row r="66" spans="1:5" ht="18" thickBot="1" x14ac:dyDescent="0.35">
      <c r="A66" s="81" t="s">
        <v>1075</v>
      </c>
      <c r="B66" s="81"/>
      <c r="C66" s="81"/>
      <c r="D66" s="81"/>
      <c r="E66" s="81"/>
    </row>
    <row r="67" spans="1:5" ht="13.5" thickTop="1" x14ac:dyDescent="0.2">
      <c r="A67" t="s">
        <v>803</v>
      </c>
      <c r="B67" t="s">
        <v>587</v>
      </c>
      <c r="C67" t="s">
        <v>72</v>
      </c>
      <c r="D67" t="s">
        <v>197</v>
      </c>
      <c r="E67" t="s">
        <v>51</v>
      </c>
    </row>
    <row r="69" spans="1:5" ht="18" thickBot="1" x14ac:dyDescent="0.35">
      <c r="A69" s="81" t="s">
        <v>1076</v>
      </c>
      <c r="B69" s="81"/>
      <c r="C69" s="81"/>
      <c r="D69" s="81"/>
      <c r="E69" s="81"/>
    </row>
    <row r="70" spans="1:5" ht="13.5" thickTop="1" x14ac:dyDescent="0.2">
      <c r="A70" t="s">
        <v>804</v>
      </c>
      <c r="B70" t="s">
        <v>587</v>
      </c>
      <c r="C70" t="s">
        <v>72</v>
      </c>
      <c r="D70" t="s">
        <v>451</v>
      </c>
      <c r="E70" t="s">
        <v>466</v>
      </c>
    </row>
    <row r="72" spans="1:5" ht="18" thickBot="1" x14ac:dyDescent="0.35">
      <c r="A72" s="81" t="s">
        <v>1077</v>
      </c>
      <c r="B72" s="81"/>
      <c r="C72" s="81"/>
      <c r="D72" s="81"/>
      <c r="E72" s="81"/>
    </row>
    <row r="73" spans="1:5" ht="13.5" thickTop="1" x14ac:dyDescent="0.2">
      <c r="A73" t="s">
        <v>805</v>
      </c>
      <c r="B73" t="s">
        <v>13</v>
      </c>
      <c r="C73" t="s">
        <v>347</v>
      </c>
      <c r="D73" t="s">
        <v>453</v>
      </c>
      <c r="E73" t="s">
        <v>12</v>
      </c>
    </row>
    <row r="75" spans="1:5" ht="18" thickBot="1" x14ac:dyDescent="0.35">
      <c r="A75" s="81" t="s">
        <v>1047</v>
      </c>
      <c r="B75" s="81"/>
      <c r="C75" s="81"/>
      <c r="D75" s="81"/>
      <c r="E75" s="81"/>
    </row>
    <row r="76" spans="1:5" ht="13.5" thickTop="1" x14ac:dyDescent="0.2">
      <c r="A76" t="s">
        <v>989</v>
      </c>
      <c r="B76" t="s">
        <v>587</v>
      </c>
      <c r="C76" t="s">
        <v>72</v>
      </c>
      <c r="D76" t="s">
        <v>204</v>
      </c>
      <c r="E76" t="s">
        <v>94</v>
      </c>
    </row>
    <row r="77" spans="1:5" x14ac:dyDescent="0.2">
      <c r="A77" t="s">
        <v>990</v>
      </c>
      <c r="B77" t="s">
        <v>587</v>
      </c>
      <c r="C77" t="s">
        <v>72</v>
      </c>
      <c r="D77" t="s">
        <v>353</v>
      </c>
      <c r="E77" t="s">
        <v>464</v>
      </c>
    </row>
    <row r="78" spans="1:5" x14ac:dyDescent="0.2">
      <c r="A78" t="s">
        <v>991</v>
      </c>
      <c r="B78" t="s">
        <v>587</v>
      </c>
      <c r="C78" t="s">
        <v>72</v>
      </c>
      <c r="D78" t="s">
        <v>870</v>
      </c>
      <c r="E78" t="s">
        <v>51</v>
      </c>
    </row>
    <row r="80" spans="1:5" ht="18" thickBot="1" x14ac:dyDescent="0.35">
      <c r="A80" s="81" t="s">
        <v>1059</v>
      </c>
      <c r="B80" s="81"/>
      <c r="C80" s="81"/>
      <c r="D80" s="81"/>
      <c r="E80" s="81"/>
    </row>
    <row r="81" spans="1:5" ht="13.5" thickTop="1" x14ac:dyDescent="0.2">
      <c r="A81" t="s">
        <v>991</v>
      </c>
      <c r="B81" t="s">
        <v>587</v>
      </c>
      <c r="C81" t="s">
        <v>72</v>
      </c>
      <c r="D81" t="s">
        <v>870</v>
      </c>
      <c r="E81" t="s">
        <v>51</v>
      </c>
    </row>
    <row r="83" spans="1:5" ht="18" thickBot="1" x14ac:dyDescent="0.35">
      <c r="A83" s="81" t="s">
        <v>1066</v>
      </c>
      <c r="B83" s="81"/>
      <c r="C83" s="81"/>
      <c r="D83" s="81"/>
      <c r="E83" s="81"/>
    </row>
    <row r="84" spans="1:5" ht="13.5" thickTop="1" x14ac:dyDescent="0.2">
      <c r="A84" t="s">
        <v>992</v>
      </c>
      <c r="B84" t="s">
        <v>587</v>
      </c>
      <c r="C84" t="s">
        <v>72</v>
      </c>
      <c r="D84" t="s">
        <v>244</v>
      </c>
      <c r="E84" t="s">
        <v>51</v>
      </c>
    </row>
    <row r="86" spans="1:5" ht="18" thickBot="1" x14ac:dyDescent="0.35">
      <c r="A86" s="81" t="s">
        <v>1021</v>
      </c>
      <c r="B86" s="81"/>
      <c r="C86" s="81"/>
      <c r="D86" s="81"/>
      <c r="E86" s="81"/>
    </row>
    <row r="87" spans="1:5" ht="13.5" thickTop="1" x14ac:dyDescent="0.2">
      <c r="A87" t="s">
        <v>808</v>
      </c>
      <c r="B87" t="s">
        <v>13</v>
      </c>
      <c r="C87" t="s">
        <v>347</v>
      </c>
      <c r="D87" t="s">
        <v>180</v>
      </c>
      <c r="E87" t="s">
        <v>116</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158"/>
  <sheetViews>
    <sheetView workbookViewId="0">
      <selection activeCell="A4" sqref="A4:D4"/>
    </sheetView>
  </sheetViews>
  <sheetFormatPr baseColWidth="10" defaultRowHeight="12.75" x14ac:dyDescent="0.2"/>
  <cols>
    <col min="1" max="1" width="48" bestFit="1" customWidth="1"/>
    <col min="2" max="2" width="7.5703125" bestFit="1" customWidth="1"/>
    <col min="3" max="3" width="10.85546875" bestFit="1" customWidth="1"/>
    <col min="4" max="4" width="72.85546875" bestFit="1" customWidth="1"/>
  </cols>
  <sheetData>
    <row r="1" spans="1:5" ht="19.5" customHeight="1" x14ac:dyDescent="0.2">
      <c r="A1" s="354" t="s">
        <v>611</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1037</v>
      </c>
      <c r="B10" s="81"/>
      <c r="C10" s="81"/>
      <c r="D10" s="81"/>
      <c r="E10" s="81"/>
    </row>
    <row r="11" spans="1:5" ht="13.5" thickTop="1" x14ac:dyDescent="0.2">
      <c r="A11" t="s">
        <v>629</v>
      </c>
      <c r="B11" t="s">
        <v>13</v>
      </c>
      <c r="C11" t="s">
        <v>347</v>
      </c>
      <c r="D11" t="s">
        <v>136</v>
      </c>
      <c r="E11" t="s">
        <v>42</v>
      </c>
    </row>
    <row r="12" spans="1:5" x14ac:dyDescent="0.2">
      <c r="A12" t="s">
        <v>630</v>
      </c>
      <c r="B12" t="s">
        <v>13</v>
      </c>
      <c r="C12" t="s">
        <v>347</v>
      </c>
      <c r="D12" t="s">
        <v>540</v>
      </c>
      <c r="E12" t="s">
        <v>42</v>
      </c>
    </row>
    <row r="13" spans="1:5" x14ac:dyDescent="0.2">
      <c r="A13" t="s">
        <v>631</v>
      </c>
      <c r="B13" t="s">
        <v>13</v>
      </c>
      <c r="C13" t="s">
        <v>347</v>
      </c>
      <c r="D13" t="s">
        <v>138</v>
      </c>
      <c r="E13" t="s">
        <v>42</v>
      </c>
    </row>
    <row r="14" spans="1:5" x14ac:dyDescent="0.2">
      <c r="A14" t="s">
        <v>632</v>
      </c>
      <c r="B14" t="s">
        <v>13</v>
      </c>
      <c r="C14" t="s">
        <v>347</v>
      </c>
      <c r="D14" t="s">
        <v>140</v>
      </c>
      <c r="E14" t="s">
        <v>42</v>
      </c>
    </row>
    <row r="15" spans="1:5" x14ac:dyDescent="0.2">
      <c r="A15" t="s">
        <v>633</v>
      </c>
      <c r="B15" t="s">
        <v>13</v>
      </c>
      <c r="C15" t="s">
        <v>347</v>
      </c>
      <c r="D15" t="s">
        <v>541</v>
      </c>
      <c r="E15" t="s">
        <v>42</v>
      </c>
    </row>
    <row r="16" spans="1:5" x14ac:dyDescent="0.2">
      <c r="A16" t="s">
        <v>645</v>
      </c>
      <c r="B16" t="s">
        <v>13</v>
      </c>
      <c r="C16" t="s">
        <v>347</v>
      </c>
      <c r="D16" t="s">
        <v>78</v>
      </c>
      <c r="E16" t="s">
        <v>51</v>
      </c>
    </row>
    <row r="17" spans="1:5" x14ac:dyDescent="0.2">
      <c r="A17" t="s">
        <v>646</v>
      </c>
      <c r="B17" t="s">
        <v>13</v>
      </c>
      <c r="C17" t="s">
        <v>347</v>
      </c>
      <c r="D17" t="s">
        <v>544</v>
      </c>
      <c r="E17" t="s">
        <v>51</v>
      </c>
    </row>
    <row r="18" spans="1:5" x14ac:dyDescent="0.2">
      <c r="A18" t="s">
        <v>647</v>
      </c>
      <c r="B18" t="s">
        <v>13</v>
      </c>
      <c r="C18" t="s">
        <v>347</v>
      </c>
      <c r="D18" t="s">
        <v>79</v>
      </c>
      <c r="E18" t="s">
        <v>51</v>
      </c>
    </row>
    <row r="19" spans="1:5" x14ac:dyDescent="0.2">
      <c r="A19" t="s">
        <v>697</v>
      </c>
      <c r="B19" t="s">
        <v>13</v>
      </c>
      <c r="C19" t="s">
        <v>347</v>
      </c>
      <c r="D19" t="s">
        <v>355</v>
      </c>
      <c r="E19" t="s">
        <v>51</v>
      </c>
    </row>
    <row r="20" spans="1:5" x14ac:dyDescent="0.2">
      <c r="A20" t="s">
        <v>698</v>
      </c>
      <c r="B20" t="s">
        <v>13</v>
      </c>
      <c r="C20" t="s">
        <v>347</v>
      </c>
      <c r="D20" t="s">
        <v>357</v>
      </c>
      <c r="E20" t="s">
        <v>51</v>
      </c>
    </row>
    <row r="21" spans="1:5" x14ac:dyDescent="0.2">
      <c r="A21" t="s">
        <v>641</v>
      </c>
      <c r="B21" t="s">
        <v>13</v>
      </c>
      <c r="C21" t="s">
        <v>347</v>
      </c>
      <c r="D21" t="s">
        <v>368</v>
      </c>
      <c r="E21" t="s">
        <v>12</v>
      </c>
    </row>
    <row r="22" spans="1:5" x14ac:dyDescent="0.2">
      <c r="A22" t="s">
        <v>644</v>
      </c>
      <c r="B22" t="s">
        <v>13</v>
      </c>
      <c r="C22" t="s">
        <v>347</v>
      </c>
      <c r="D22" t="s">
        <v>549</v>
      </c>
      <c r="E22" t="s">
        <v>12</v>
      </c>
    </row>
    <row r="23" spans="1:5" x14ac:dyDescent="0.2">
      <c r="A23" t="s">
        <v>642</v>
      </c>
      <c r="B23" t="s">
        <v>13</v>
      </c>
      <c r="C23" t="s">
        <v>347</v>
      </c>
      <c r="D23" t="s">
        <v>410</v>
      </c>
      <c r="E23" t="s">
        <v>12</v>
      </c>
    </row>
    <row r="24" spans="1:5" x14ac:dyDescent="0.2">
      <c r="A24" t="s">
        <v>705</v>
      </c>
      <c r="B24" t="s">
        <v>13</v>
      </c>
      <c r="C24" t="s">
        <v>347</v>
      </c>
      <c r="D24" t="s">
        <v>1000</v>
      </c>
      <c r="E24" t="s">
        <v>12</v>
      </c>
    </row>
    <row r="25" spans="1:5" x14ac:dyDescent="0.2">
      <c r="A25" t="s">
        <v>706</v>
      </c>
      <c r="B25" t="s">
        <v>13</v>
      </c>
      <c r="C25" t="s">
        <v>347</v>
      </c>
      <c r="D25" t="s">
        <v>555</v>
      </c>
      <c r="E25" t="s">
        <v>12</v>
      </c>
    </row>
    <row r="26" spans="1:5" x14ac:dyDescent="0.2">
      <c r="A26" t="s">
        <v>707</v>
      </c>
      <c r="B26" t="s">
        <v>13</v>
      </c>
      <c r="C26" t="s">
        <v>347</v>
      </c>
      <c r="D26" t="s">
        <v>411</v>
      </c>
      <c r="E26" t="s">
        <v>12</v>
      </c>
    </row>
    <row r="27" spans="1:5" x14ac:dyDescent="0.2">
      <c r="A27" t="s">
        <v>708</v>
      </c>
      <c r="B27" t="s">
        <v>13</v>
      </c>
      <c r="C27" t="s">
        <v>347</v>
      </c>
      <c r="D27" t="s">
        <v>412</v>
      </c>
      <c r="E27" t="s">
        <v>12</v>
      </c>
    </row>
    <row r="28" spans="1:5" x14ac:dyDescent="0.2">
      <c r="A28" t="s">
        <v>709</v>
      </c>
      <c r="B28" t="s">
        <v>13</v>
      </c>
      <c r="C28" t="s">
        <v>347</v>
      </c>
      <c r="D28" t="s">
        <v>550</v>
      </c>
      <c r="E28" t="s">
        <v>12</v>
      </c>
    </row>
    <row r="29" spans="1:5" x14ac:dyDescent="0.2">
      <c r="A29" t="s">
        <v>710</v>
      </c>
      <c r="B29" t="s">
        <v>13</v>
      </c>
      <c r="C29" t="s">
        <v>347</v>
      </c>
      <c r="D29" t="s">
        <v>557</v>
      </c>
      <c r="E29" t="s">
        <v>12</v>
      </c>
    </row>
    <row r="30" spans="1:5" x14ac:dyDescent="0.2">
      <c r="A30" t="s">
        <v>716</v>
      </c>
      <c r="B30" t="s">
        <v>13</v>
      </c>
      <c r="C30" t="s">
        <v>347</v>
      </c>
      <c r="D30" t="s">
        <v>999</v>
      </c>
      <c r="E30" t="s">
        <v>12</v>
      </c>
    </row>
    <row r="31" spans="1:5" x14ac:dyDescent="0.2">
      <c r="A31" t="s">
        <v>711</v>
      </c>
      <c r="B31" t="s">
        <v>13</v>
      </c>
      <c r="C31" t="s">
        <v>347</v>
      </c>
      <c r="D31" t="s">
        <v>551</v>
      </c>
      <c r="E31" t="s">
        <v>12</v>
      </c>
    </row>
    <row r="32" spans="1:5" x14ac:dyDescent="0.2">
      <c r="A32" t="s">
        <v>712</v>
      </c>
      <c r="B32" t="s">
        <v>13</v>
      </c>
      <c r="C32" t="s">
        <v>347</v>
      </c>
      <c r="D32" t="s">
        <v>75</v>
      </c>
      <c r="E32" t="s">
        <v>12</v>
      </c>
    </row>
    <row r="33" spans="1:5" x14ac:dyDescent="0.2">
      <c r="A33" t="s">
        <v>713</v>
      </c>
      <c r="B33" t="s">
        <v>13</v>
      </c>
      <c r="C33" t="s">
        <v>347</v>
      </c>
      <c r="D33" t="s">
        <v>76</v>
      </c>
      <c r="E33" t="s">
        <v>12</v>
      </c>
    </row>
    <row r="34" spans="1:5" x14ac:dyDescent="0.2">
      <c r="A34" t="s">
        <v>714</v>
      </c>
      <c r="B34" t="s">
        <v>13</v>
      </c>
      <c r="C34" t="s">
        <v>347</v>
      </c>
      <c r="D34" t="s">
        <v>552</v>
      </c>
      <c r="E34" t="s">
        <v>12</v>
      </c>
    </row>
    <row r="35" spans="1:5" x14ac:dyDescent="0.2">
      <c r="A35" t="s">
        <v>715</v>
      </c>
      <c r="B35" t="s">
        <v>13</v>
      </c>
      <c r="C35" t="s">
        <v>347</v>
      </c>
      <c r="D35" t="s">
        <v>77</v>
      </c>
      <c r="E35" t="s">
        <v>12</v>
      </c>
    </row>
    <row r="36" spans="1:5" x14ac:dyDescent="0.2">
      <c r="A36" t="s">
        <v>717</v>
      </c>
      <c r="B36" t="s">
        <v>13</v>
      </c>
      <c r="C36" t="s">
        <v>347</v>
      </c>
      <c r="D36" t="s">
        <v>148</v>
      </c>
      <c r="E36" t="s">
        <v>42</v>
      </c>
    </row>
    <row r="37" spans="1:5" x14ac:dyDescent="0.2">
      <c r="A37" t="s">
        <v>718</v>
      </c>
      <c r="B37" t="s">
        <v>13</v>
      </c>
      <c r="C37" t="s">
        <v>347</v>
      </c>
      <c r="D37" t="s">
        <v>150</v>
      </c>
      <c r="E37" t="s">
        <v>12</v>
      </c>
    </row>
    <row r="38" spans="1:5" x14ac:dyDescent="0.2">
      <c r="A38" t="s">
        <v>719</v>
      </c>
      <c r="B38" t="s">
        <v>13</v>
      </c>
      <c r="C38" t="s">
        <v>347</v>
      </c>
      <c r="D38" t="s">
        <v>553</v>
      </c>
      <c r="E38" t="s">
        <v>12</v>
      </c>
    </row>
    <row r="39" spans="1:5" x14ac:dyDescent="0.2">
      <c r="A39" t="s">
        <v>720</v>
      </c>
      <c r="B39" t="s">
        <v>13</v>
      </c>
      <c r="C39" t="s">
        <v>347</v>
      </c>
      <c r="D39" t="s">
        <v>152</v>
      </c>
      <c r="E39" t="s">
        <v>12</v>
      </c>
    </row>
    <row r="40" spans="1:5" x14ac:dyDescent="0.2">
      <c r="A40" t="s">
        <v>721</v>
      </c>
      <c r="B40" t="s">
        <v>13</v>
      </c>
      <c r="C40" t="s">
        <v>347</v>
      </c>
      <c r="D40" t="s">
        <v>154</v>
      </c>
      <c r="E40" t="s">
        <v>12</v>
      </c>
    </row>
    <row r="41" spans="1:5" x14ac:dyDescent="0.2">
      <c r="A41" t="s">
        <v>723</v>
      </c>
      <c r="B41" t="s">
        <v>13</v>
      </c>
      <c r="C41" t="s">
        <v>347</v>
      </c>
      <c r="D41" t="s">
        <v>554</v>
      </c>
      <c r="E41" t="s">
        <v>12</v>
      </c>
    </row>
    <row r="42" spans="1:5" x14ac:dyDescent="0.2">
      <c r="A42" t="s">
        <v>722</v>
      </c>
      <c r="B42" t="s">
        <v>13</v>
      </c>
      <c r="C42" t="s">
        <v>347</v>
      </c>
      <c r="D42" t="s">
        <v>156</v>
      </c>
      <c r="E42" t="s">
        <v>12</v>
      </c>
    </row>
    <row r="43" spans="1:5" x14ac:dyDescent="0.2">
      <c r="A43" t="s">
        <v>724</v>
      </c>
      <c r="B43" t="s">
        <v>13</v>
      </c>
      <c r="C43" t="s">
        <v>347</v>
      </c>
      <c r="D43" t="s">
        <v>82</v>
      </c>
      <c r="E43" t="s">
        <v>12</v>
      </c>
    </row>
    <row r="45" spans="1:5" ht="18" thickBot="1" x14ac:dyDescent="0.35">
      <c r="A45" s="81" t="s">
        <v>1038</v>
      </c>
      <c r="B45" s="81"/>
      <c r="C45" s="81"/>
      <c r="D45" s="81"/>
      <c r="E45" s="81"/>
    </row>
    <row r="46" spans="1:5" ht="13.5" thickTop="1" x14ac:dyDescent="0.2">
      <c r="A46" t="s">
        <v>654</v>
      </c>
      <c r="B46" t="s">
        <v>13</v>
      </c>
      <c r="C46" t="s">
        <v>347</v>
      </c>
      <c r="D46" t="s">
        <v>23</v>
      </c>
      <c r="E46" t="s">
        <v>12</v>
      </c>
    </row>
    <row r="47" spans="1:5" x14ac:dyDescent="0.2">
      <c r="A47" t="s">
        <v>726</v>
      </c>
      <c r="B47" t="s">
        <v>13</v>
      </c>
      <c r="C47" t="s">
        <v>347</v>
      </c>
      <c r="D47" t="s">
        <v>28</v>
      </c>
      <c r="E47" t="s">
        <v>12</v>
      </c>
    </row>
    <row r="48" spans="1:5" x14ac:dyDescent="0.2">
      <c r="A48" t="s">
        <v>725</v>
      </c>
      <c r="B48" t="s">
        <v>13</v>
      </c>
      <c r="C48" t="s">
        <v>347</v>
      </c>
      <c r="D48" t="s">
        <v>27</v>
      </c>
      <c r="E48" t="s">
        <v>12</v>
      </c>
    </row>
    <row r="49" spans="1:5" x14ac:dyDescent="0.2">
      <c r="A49" t="s">
        <v>727</v>
      </c>
      <c r="B49" t="s">
        <v>13</v>
      </c>
      <c r="C49" t="s">
        <v>347</v>
      </c>
      <c r="D49" t="s">
        <v>527</v>
      </c>
      <c r="E49" t="s">
        <v>12</v>
      </c>
    </row>
    <row r="50" spans="1:5" x14ac:dyDescent="0.2">
      <c r="A50" t="s">
        <v>728</v>
      </c>
      <c r="B50" t="s">
        <v>13</v>
      </c>
      <c r="C50" t="s">
        <v>347</v>
      </c>
      <c r="D50" t="s">
        <v>501</v>
      </c>
      <c r="E50" t="s">
        <v>12</v>
      </c>
    </row>
    <row r="51" spans="1:5" x14ac:dyDescent="0.2">
      <c r="A51" t="s">
        <v>729</v>
      </c>
      <c r="B51" t="s">
        <v>13</v>
      </c>
      <c r="C51" t="s">
        <v>347</v>
      </c>
      <c r="D51" t="s">
        <v>998</v>
      </c>
      <c r="E51" t="s">
        <v>12</v>
      </c>
    </row>
    <row r="52" spans="1:5" x14ac:dyDescent="0.2">
      <c r="A52" t="s">
        <v>730</v>
      </c>
      <c r="B52" t="s">
        <v>13</v>
      </c>
      <c r="C52" t="s">
        <v>347</v>
      </c>
      <c r="D52" t="s">
        <v>46</v>
      </c>
      <c r="E52" t="s">
        <v>12</v>
      </c>
    </row>
    <row r="53" spans="1:5" x14ac:dyDescent="0.2">
      <c r="A53" t="s">
        <v>655</v>
      </c>
      <c r="B53" t="s">
        <v>13</v>
      </c>
      <c r="C53" t="s">
        <v>347</v>
      </c>
      <c r="D53" t="s">
        <v>44</v>
      </c>
      <c r="E53" t="s">
        <v>12</v>
      </c>
    </row>
    <row r="54" spans="1:5" x14ac:dyDescent="0.2">
      <c r="A54" t="s">
        <v>731</v>
      </c>
      <c r="B54" t="s">
        <v>13</v>
      </c>
      <c r="C54" t="s">
        <v>347</v>
      </c>
      <c r="D54" t="s">
        <v>30</v>
      </c>
      <c r="E54" t="s">
        <v>12</v>
      </c>
    </row>
    <row r="55" spans="1:5" x14ac:dyDescent="0.2">
      <c r="A55" t="s">
        <v>732</v>
      </c>
      <c r="B55" t="s">
        <v>13</v>
      </c>
      <c r="C55" t="s">
        <v>347</v>
      </c>
      <c r="D55" t="s">
        <v>39</v>
      </c>
      <c r="E55" t="s">
        <v>12</v>
      </c>
    </row>
    <row r="56" spans="1:5" x14ac:dyDescent="0.2">
      <c r="A56" t="s">
        <v>656</v>
      </c>
      <c r="B56" t="s">
        <v>13</v>
      </c>
      <c r="C56" t="s">
        <v>347</v>
      </c>
      <c r="D56" t="s">
        <v>24</v>
      </c>
      <c r="E56" t="s">
        <v>12</v>
      </c>
    </row>
    <row r="57" spans="1:5" x14ac:dyDescent="0.2">
      <c r="A57" t="s">
        <v>657</v>
      </c>
      <c r="B57" t="s">
        <v>13</v>
      </c>
      <c r="C57" t="s">
        <v>347</v>
      </c>
      <c r="D57" t="s">
        <v>33</v>
      </c>
      <c r="E57" t="s">
        <v>12</v>
      </c>
    </row>
    <row r="58" spans="1:5" x14ac:dyDescent="0.2">
      <c r="A58" t="s">
        <v>658</v>
      </c>
      <c r="B58" t="s">
        <v>13</v>
      </c>
      <c r="C58" t="s">
        <v>347</v>
      </c>
      <c r="D58" t="s">
        <v>41</v>
      </c>
      <c r="E58" t="s">
        <v>12</v>
      </c>
    </row>
    <row r="60" spans="1:5" ht="18" thickBot="1" x14ac:dyDescent="0.35">
      <c r="A60" s="81" t="s">
        <v>1039</v>
      </c>
      <c r="B60" s="81"/>
      <c r="C60" s="81"/>
      <c r="D60" s="81"/>
      <c r="E60" s="81"/>
    </row>
    <row r="61" spans="1:5" ht="13.5" thickTop="1" x14ac:dyDescent="0.2">
      <c r="A61" t="s">
        <v>660</v>
      </c>
      <c r="B61" t="s">
        <v>13</v>
      </c>
      <c r="C61" t="s">
        <v>347</v>
      </c>
      <c r="D61" t="s">
        <v>36</v>
      </c>
      <c r="E61" t="s">
        <v>12</v>
      </c>
    </row>
    <row r="62" spans="1:5" x14ac:dyDescent="0.2">
      <c r="A62" t="s">
        <v>661</v>
      </c>
      <c r="B62" t="s">
        <v>13</v>
      </c>
      <c r="C62" t="s">
        <v>347</v>
      </c>
      <c r="D62" t="s">
        <v>525</v>
      </c>
      <c r="E62" t="s">
        <v>12</v>
      </c>
    </row>
    <row r="63" spans="1:5" x14ac:dyDescent="0.2">
      <c r="A63" t="s">
        <v>662</v>
      </c>
      <c r="B63" t="s">
        <v>13</v>
      </c>
      <c r="C63" t="s">
        <v>347</v>
      </c>
      <c r="D63" t="s">
        <v>38</v>
      </c>
      <c r="E63" t="s">
        <v>12</v>
      </c>
    </row>
    <row r="65" spans="1:5" ht="18" thickBot="1" x14ac:dyDescent="0.35">
      <c r="A65" s="81" t="s">
        <v>1040</v>
      </c>
      <c r="B65" s="81"/>
      <c r="C65" s="81"/>
      <c r="D65" s="81"/>
      <c r="E65" s="81"/>
    </row>
    <row r="66" spans="1:5" ht="13.5" thickTop="1" x14ac:dyDescent="0.2">
      <c r="A66" t="s">
        <v>741</v>
      </c>
      <c r="B66" t="s">
        <v>13</v>
      </c>
      <c r="C66" t="s">
        <v>347</v>
      </c>
      <c r="D66" t="s">
        <v>216</v>
      </c>
      <c r="E66" t="s">
        <v>12</v>
      </c>
    </row>
    <row r="67" spans="1:5" x14ac:dyDescent="0.2">
      <c r="A67" t="s">
        <v>740</v>
      </c>
      <c r="B67" t="s">
        <v>13</v>
      </c>
      <c r="C67" t="s">
        <v>347</v>
      </c>
      <c r="D67" t="s">
        <v>217</v>
      </c>
      <c r="E67" t="s">
        <v>12</v>
      </c>
    </row>
    <row r="68" spans="1:5" x14ac:dyDescent="0.2">
      <c r="A68" t="s">
        <v>742</v>
      </c>
      <c r="B68" t="s">
        <v>13</v>
      </c>
      <c r="C68" t="s">
        <v>347</v>
      </c>
      <c r="D68" t="s">
        <v>229</v>
      </c>
      <c r="E68" t="s">
        <v>12</v>
      </c>
    </row>
    <row r="69" spans="1:5" x14ac:dyDescent="0.2">
      <c r="A69" t="s">
        <v>743</v>
      </c>
      <c r="B69" t="s">
        <v>13</v>
      </c>
      <c r="C69" t="s">
        <v>347</v>
      </c>
      <c r="D69" t="s">
        <v>218</v>
      </c>
      <c r="E69" t="s">
        <v>12</v>
      </c>
    </row>
    <row r="70" spans="1:5" x14ac:dyDescent="0.2">
      <c r="A70" t="s">
        <v>744</v>
      </c>
      <c r="B70" t="s">
        <v>13</v>
      </c>
      <c r="C70" t="s">
        <v>347</v>
      </c>
      <c r="D70" t="s">
        <v>224</v>
      </c>
      <c r="E70" t="s">
        <v>12</v>
      </c>
    </row>
    <row r="71" spans="1:5" x14ac:dyDescent="0.2">
      <c r="A71" t="s">
        <v>745</v>
      </c>
      <c r="B71" t="s">
        <v>13</v>
      </c>
      <c r="C71" t="s">
        <v>347</v>
      </c>
      <c r="D71" t="s">
        <v>227</v>
      </c>
      <c r="E71" t="s">
        <v>12</v>
      </c>
    </row>
    <row r="72" spans="1:5" x14ac:dyDescent="0.2">
      <c r="A72" t="s">
        <v>746</v>
      </c>
      <c r="B72" t="s">
        <v>13</v>
      </c>
      <c r="C72" t="s">
        <v>347</v>
      </c>
      <c r="D72" t="s">
        <v>223</v>
      </c>
      <c r="E72" t="s">
        <v>42</v>
      </c>
    </row>
    <row r="74" spans="1:5" ht="18" thickBot="1" x14ac:dyDescent="0.35">
      <c r="A74" s="81" t="s">
        <v>1041</v>
      </c>
      <c r="B74" s="81"/>
      <c r="C74" s="81"/>
      <c r="D74" s="81"/>
      <c r="E74" s="81"/>
    </row>
    <row r="75" spans="1:5" ht="13.5" thickTop="1" x14ac:dyDescent="0.2">
      <c r="A75" t="s">
        <v>663</v>
      </c>
      <c r="B75" t="s">
        <v>13</v>
      </c>
      <c r="C75" t="s">
        <v>347</v>
      </c>
      <c r="D75" t="s">
        <v>369</v>
      </c>
      <c r="E75" t="s">
        <v>12</v>
      </c>
    </row>
    <row r="76" spans="1:5" x14ac:dyDescent="0.2">
      <c r="A76" t="s">
        <v>664</v>
      </c>
      <c r="B76" t="s">
        <v>13</v>
      </c>
      <c r="C76" t="s">
        <v>347</v>
      </c>
      <c r="D76" t="s">
        <v>370</v>
      </c>
      <c r="E76" t="s">
        <v>12</v>
      </c>
    </row>
    <row r="78" spans="1:5" ht="18" thickBot="1" x14ac:dyDescent="0.35">
      <c r="A78" s="81" t="s">
        <v>1042</v>
      </c>
      <c r="B78" s="81"/>
      <c r="C78" s="81"/>
      <c r="D78" s="81"/>
      <c r="E78" s="81"/>
    </row>
    <row r="79" spans="1:5" ht="13.5" thickTop="1" x14ac:dyDescent="0.2">
      <c r="A79" t="s">
        <v>750</v>
      </c>
      <c r="B79" t="s">
        <v>13</v>
      </c>
      <c r="C79" t="s">
        <v>347</v>
      </c>
      <c r="D79" t="s">
        <v>385</v>
      </c>
      <c r="E79" t="s">
        <v>12</v>
      </c>
    </row>
    <row r="80" spans="1:5" x14ac:dyDescent="0.2">
      <c r="A80" t="s">
        <v>751</v>
      </c>
      <c r="B80" t="s">
        <v>13</v>
      </c>
      <c r="C80" t="s">
        <v>347</v>
      </c>
      <c r="D80" t="s">
        <v>387</v>
      </c>
      <c r="E80" t="s">
        <v>12</v>
      </c>
    </row>
    <row r="81" spans="1:5" x14ac:dyDescent="0.2">
      <c r="A81" t="s">
        <v>752</v>
      </c>
      <c r="B81" t="s">
        <v>13</v>
      </c>
      <c r="C81" t="s">
        <v>347</v>
      </c>
      <c r="D81" t="s">
        <v>388</v>
      </c>
      <c r="E81" t="s">
        <v>12</v>
      </c>
    </row>
    <row r="82" spans="1:5" x14ac:dyDescent="0.2">
      <c r="A82" t="s">
        <v>753</v>
      </c>
      <c r="B82" t="s">
        <v>13</v>
      </c>
      <c r="C82" t="s">
        <v>347</v>
      </c>
      <c r="D82" t="s">
        <v>393</v>
      </c>
      <c r="E82" t="s">
        <v>12</v>
      </c>
    </row>
    <row r="83" spans="1:5" x14ac:dyDescent="0.2">
      <c r="A83" t="s">
        <v>754</v>
      </c>
      <c r="B83" t="s">
        <v>13</v>
      </c>
      <c r="C83" t="s">
        <v>347</v>
      </c>
      <c r="D83" t="s">
        <v>395</v>
      </c>
      <c r="E83" t="s">
        <v>12</v>
      </c>
    </row>
    <row r="84" spans="1:5" x14ac:dyDescent="0.2">
      <c r="A84" t="s">
        <v>755</v>
      </c>
      <c r="B84" t="s">
        <v>13</v>
      </c>
      <c r="C84" t="s">
        <v>347</v>
      </c>
      <c r="D84" t="s">
        <v>396</v>
      </c>
      <c r="E84" t="s">
        <v>12</v>
      </c>
    </row>
    <row r="86" spans="1:5" ht="18" thickBot="1" x14ac:dyDescent="0.35">
      <c r="A86" s="81" t="s">
        <v>1043</v>
      </c>
      <c r="B86" s="81"/>
      <c r="C86" s="81"/>
      <c r="D86" s="81"/>
      <c r="E86" s="81"/>
    </row>
    <row r="87" spans="1:5" ht="13.5" thickTop="1" x14ac:dyDescent="0.2">
      <c r="A87" t="s">
        <v>651</v>
      </c>
      <c r="B87" t="s">
        <v>574</v>
      </c>
      <c r="C87" t="s">
        <v>347</v>
      </c>
      <c r="D87" t="s">
        <v>50</v>
      </c>
      <c r="E87" t="s">
        <v>51</v>
      </c>
    </row>
    <row r="89" spans="1:5" ht="18" thickBot="1" x14ac:dyDescent="0.35">
      <c r="A89" s="81" t="s">
        <v>1044</v>
      </c>
      <c r="B89" s="81"/>
      <c r="C89" s="81"/>
      <c r="D89" s="81"/>
      <c r="E89" s="81"/>
    </row>
    <row r="90" spans="1:5" ht="13.5" thickTop="1" x14ac:dyDescent="0.2">
      <c r="A90" t="s">
        <v>652</v>
      </c>
      <c r="B90" t="s">
        <v>13</v>
      </c>
      <c r="C90" t="s">
        <v>347</v>
      </c>
      <c r="D90" t="s">
        <v>90</v>
      </c>
      <c r="E90" t="s">
        <v>63</v>
      </c>
    </row>
    <row r="92" spans="1:5" ht="18" thickBot="1" x14ac:dyDescent="0.35">
      <c r="A92" s="81" t="s">
        <v>1045</v>
      </c>
      <c r="B92" s="81"/>
      <c r="C92" s="81"/>
      <c r="D92" s="81"/>
      <c r="E92" s="81"/>
    </row>
    <row r="93" spans="1:5" ht="13.5" thickTop="1" x14ac:dyDescent="0.2">
      <c r="A93" t="s">
        <v>799</v>
      </c>
      <c r="B93" t="s">
        <v>574</v>
      </c>
      <c r="C93" t="s">
        <v>347</v>
      </c>
      <c r="D93" t="s">
        <v>278</v>
      </c>
      <c r="E93" t="s">
        <v>51</v>
      </c>
    </row>
    <row r="94" spans="1:5" x14ac:dyDescent="0.2">
      <c r="A94" t="s">
        <v>977</v>
      </c>
      <c r="B94" t="s">
        <v>587</v>
      </c>
      <c r="C94" t="s">
        <v>72</v>
      </c>
      <c r="D94" t="s">
        <v>270</v>
      </c>
      <c r="E94" t="s">
        <v>51</v>
      </c>
    </row>
    <row r="95" spans="1:5" x14ac:dyDescent="0.2">
      <c r="A95" t="s">
        <v>978</v>
      </c>
      <c r="B95" t="s">
        <v>587</v>
      </c>
      <c r="C95" t="s">
        <v>72</v>
      </c>
      <c r="D95" t="s">
        <v>271</v>
      </c>
      <c r="E95" t="s">
        <v>51</v>
      </c>
    </row>
    <row r="96" spans="1:5" x14ac:dyDescent="0.2">
      <c r="A96" t="s">
        <v>979</v>
      </c>
      <c r="B96" t="s">
        <v>587</v>
      </c>
      <c r="C96" t="s">
        <v>72</v>
      </c>
      <c r="D96" t="s">
        <v>493</v>
      </c>
      <c r="E96" t="s">
        <v>51</v>
      </c>
    </row>
    <row r="97" spans="1:5" x14ac:dyDescent="0.2">
      <c r="A97" t="s">
        <v>980</v>
      </c>
      <c r="B97" t="s">
        <v>587</v>
      </c>
      <c r="C97" t="s">
        <v>72</v>
      </c>
      <c r="D97" t="s">
        <v>494</v>
      </c>
      <c r="E97" t="s">
        <v>51</v>
      </c>
    </row>
    <row r="98" spans="1:5" x14ac:dyDescent="0.2">
      <c r="A98" t="s">
        <v>981</v>
      </c>
      <c r="B98" t="s">
        <v>587</v>
      </c>
      <c r="C98" t="s">
        <v>72</v>
      </c>
      <c r="D98" t="s">
        <v>272</v>
      </c>
      <c r="E98" t="s">
        <v>51</v>
      </c>
    </row>
    <row r="99" spans="1:5" x14ac:dyDescent="0.2">
      <c r="A99" t="s">
        <v>982</v>
      </c>
      <c r="B99" t="s">
        <v>587</v>
      </c>
      <c r="C99" t="s">
        <v>72</v>
      </c>
      <c r="D99" t="s">
        <v>273</v>
      </c>
      <c r="E99" t="s">
        <v>51</v>
      </c>
    </row>
    <row r="100" spans="1:5" x14ac:dyDescent="0.2">
      <c r="A100" t="s">
        <v>800</v>
      </c>
      <c r="B100" t="s">
        <v>574</v>
      </c>
      <c r="C100" t="s">
        <v>347</v>
      </c>
      <c r="D100" t="s">
        <v>279</v>
      </c>
      <c r="E100" t="s">
        <v>51</v>
      </c>
    </row>
    <row r="101" spans="1:5" x14ac:dyDescent="0.2">
      <c r="A101" t="s">
        <v>987</v>
      </c>
      <c r="B101" t="s">
        <v>587</v>
      </c>
      <c r="C101" t="s">
        <v>72</v>
      </c>
      <c r="D101" t="s">
        <v>274</v>
      </c>
      <c r="E101" t="s">
        <v>51</v>
      </c>
    </row>
    <row r="102" spans="1:5" x14ac:dyDescent="0.2">
      <c r="A102" t="s">
        <v>988</v>
      </c>
      <c r="B102" t="s">
        <v>587</v>
      </c>
      <c r="C102" t="s">
        <v>72</v>
      </c>
      <c r="D102" t="s">
        <v>275</v>
      </c>
      <c r="E102" t="s">
        <v>51</v>
      </c>
    </row>
    <row r="104" spans="1:5" ht="18" thickBot="1" x14ac:dyDescent="0.35">
      <c r="A104" s="81" t="s">
        <v>1046</v>
      </c>
      <c r="B104" s="81"/>
      <c r="C104" s="81"/>
      <c r="D104" s="81"/>
      <c r="E104" s="81"/>
    </row>
    <row r="105" spans="1:5" ht="13.5" thickTop="1" x14ac:dyDescent="0.2">
      <c r="A105" t="s">
        <v>801</v>
      </c>
      <c r="B105" t="s">
        <v>13</v>
      </c>
      <c r="C105" t="s">
        <v>347</v>
      </c>
      <c r="D105" t="s">
        <v>159</v>
      </c>
      <c r="E105" t="s">
        <v>12</v>
      </c>
    </row>
    <row r="106" spans="1:5" x14ac:dyDescent="0.2">
      <c r="A106" t="s">
        <v>873</v>
      </c>
      <c r="B106" t="s">
        <v>13</v>
      </c>
      <c r="C106" t="s">
        <v>347</v>
      </c>
      <c r="D106" t="s">
        <v>996</v>
      </c>
      <c r="E106" t="s">
        <v>42</v>
      </c>
    </row>
    <row r="107" spans="1:5" x14ac:dyDescent="0.2">
      <c r="A107" t="s">
        <v>872</v>
      </c>
      <c r="B107" t="s">
        <v>13</v>
      </c>
      <c r="C107" t="s">
        <v>347</v>
      </c>
      <c r="D107" t="s">
        <v>997</v>
      </c>
      <c r="E107" t="s">
        <v>42</v>
      </c>
    </row>
    <row r="108" spans="1:5" x14ac:dyDescent="0.2">
      <c r="A108" t="s">
        <v>871</v>
      </c>
      <c r="B108" t="s">
        <v>13</v>
      </c>
      <c r="C108" t="s">
        <v>347</v>
      </c>
      <c r="D108" t="s">
        <v>995</v>
      </c>
      <c r="E108" t="s">
        <v>42</v>
      </c>
    </row>
    <row r="109" spans="1:5" x14ac:dyDescent="0.2">
      <c r="A109" t="s">
        <v>678</v>
      </c>
      <c r="B109" t="s">
        <v>13</v>
      </c>
      <c r="C109" t="s">
        <v>347</v>
      </c>
      <c r="D109" t="s">
        <v>80</v>
      </c>
      <c r="E109" t="s">
        <v>42</v>
      </c>
    </row>
    <row r="110" spans="1:5" x14ac:dyDescent="0.2">
      <c r="A110" t="s">
        <v>679</v>
      </c>
      <c r="B110" t="s">
        <v>13</v>
      </c>
      <c r="C110" t="s">
        <v>347</v>
      </c>
      <c r="D110" t="s">
        <v>556</v>
      </c>
      <c r="E110" t="s">
        <v>42</v>
      </c>
    </row>
    <row r="111" spans="1:5" x14ac:dyDescent="0.2">
      <c r="A111" t="s">
        <v>680</v>
      </c>
      <c r="B111" t="s">
        <v>13</v>
      </c>
      <c r="C111" t="s">
        <v>347</v>
      </c>
      <c r="D111" t="s">
        <v>81</v>
      </c>
      <c r="E111" t="s">
        <v>42</v>
      </c>
    </row>
    <row r="113" spans="1:5" ht="18" thickBot="1" x14ac:dyDescent="0.35">
      <c r="A113" s="81" t="s">
        <v>1047</v>
      </c>
      <c r="B113" s="81"/>
      <c r="C113" s="81"/>
      <c r="D113" s="81"/>
      <c r="E113" s="81"/>
    </row>
    <row r="114" spans="1:5" ht="13.5" thickTop="1" x14ac:dyDescent="0.2">
      <c r="A114" t="s">
        <v>989</v>
      </c>
      <c r="B114" t="s">
        <v>587</v>
      </c>
      <c r="C114" t="s">
        <v>72</v>
      </c>
      <c r="D114" t="s">
        <v>204</v>
      </c>
      <c r="E114" t="s">
        <v>94</v>
      </c>
    </row>
    <row r="115" spans="1:5" x14ac:dyDescent="0.2">
      <c r="A115" t="s">
        <v>990</v>
      </c>
      <c r="B115" t="s">
        <v>587</v>
      </c>
      <c r="C115" t="s">
        <v>72</v>
      </c>
      <c r="D115" t="s">
        <v>353</v>
      </c>
      <c r="E115" t="s">
        <v>464</v>
      </c>
    </row>
    <row r="116" spans="1:5" x14ac:dyDescent="0.2">
      <c r="A116" t="s">
        <v>991</v>
      </c>
      <c r="B116" t="s">
        <v>587</v>
      </c>
      <c r="C116" t="s">
        <v>72</v>
      </c>
      <c r="D116" t="s">
        <v>870</v>
      </c>
      <c r="E116" t="s">
        <v>51</v>
      </c>
    </row>
    <row r="118" spans="1:5" ht="18" thickBot="1" x14ac:dyDescent="0.35">
      <c r="A118" s="81" t="s">
        <v>1048</v>
      </c>
      <c r="B118" s="81"/>
      <c r="C118" s="81"/>
      <c r="D118" s="81"/>
      <c r="E118" s="81"/>
    </row>
    <row r="119" spans="1:5" ht="13.5" thickTop="1" x14ac:dyDescent="0.2">
      <c r="A119" t="s">
        <v>103</v>
      </c>
      <c r="B119" t="s">
        <v>13</v>
      </c>
      <c r="C119" t="s">
        <v>347</v>
      </c>
      <c r="D119" t="s">
        <v>104</v>
      </c>
      <c r="E119" t="s">
        <v>63</v>
      </c>
    </row>
    <row r="120" spans="1:5" x14ac:dyDescent="0.2">
      <c r="A120" t="s">
        <v>236</v>
      </c>
      <c r="B120" t="s">
        <v>13</v>
      </c>
      <c r="C120" t="s">
        <v>347</v>
      </c>
      <c r="D120" t="s">
        <v>237</v>
      </c>
      <c r="E120" t="s">
        <v>63</v>
      </c>
    </row>
    <row r="121" spans="1:5" x14ac:dyDescent="0.2">
      <c r="A121" t="s">
        <v>238</v>
      </c>
      <c r="B121" t="s">
        <v>13</v>
      </c>
      <c r="C121" t="s">
        <v>347</v>
      </c>
      <c r="D121" t="s">
        <v>239</v>
      </c>
      <c r="E121" t="s">
        <v>63</v>
      </c>
    </row>
    <row r="122" spans="1:5" ht="18" thickBot="1" x14ac:dyDescent="0.35">
      <c r="A122" s="81"/>
      <c r="B122" s="81"/>
      <c r="C122" s="81"/>
      <c r="D122" s="81"/>
      <c r="E122" s="81"/>
    </row>
    <row r="123" spans="1:5" ht="18.75" thickTop="1" thickBot="1" x14ac:dyDescent="0.35">
      <c r="A123" s="81" t="s">
        <v>1049</v>
      </c>
      <c r="B123" s="81"/>
      <c r="C123" s="81"/>
      <c r="D123" s="81"/>
      <c r="E123" s="81"/>
    </row>
    <row r="124" spans="1:5" ht="13.5" thickTop="1" x14ac:dyDescent="0.2">
      <c r="A124" t="s">
        <v>781</v>
      </c>
      <c r="B124" t="s">
        <v>587</v>
      </c>
      <c r="C124" t="s">
        <v>72</v>
      </c>
      <c r="D124" t="s">
        <v>288</v>
      </c>
      <c r="E124" t="s">
        <v>12</v>
      </c>
    </row>
    <row r="125" spans="1:5" x14ac:dyDescent="0.2">
      <c r="A125" t="s">
        <v>782</v>
      </c>
      <c r="B125" t="s">
        <v>587</v>
      </c>
      <c r="C125" t="s">
        <v>72</v>
      </c>
      <c r="D125" t="s">
        <v>289</v>
      </c>
      <c r="E125" t="s">
        <v>12</v>
      </c>
    </row>
    <row r="126" spans="1:5" x14ac:dyDescent="0.2">
      <c r="A126" t="s">
        <v>783</v>
      </c>
      <c r="B126" t="s">
        <v>587</v>
      </c>
      <c r="C126" t="s">
        <v>72</v>
      </c>
      <c r="D126" t="s">
        <v>290</v>
      </c>
      <c r="E126" t="s">
        <v>12</v>
      </c>
    </row>
    <row r="127" spans="1:5" x14ac:dyDescent="0.2">
      <c r="A127" t="s">
        <v>784</v>
      </c>
      <c r="B127" t="s">
        <v>587</v>
      </c>
      <c r="C127" t="s">
        <v>72</v>
      </c>
      <c r="D127" t="s">
        <v>291</v>
      </c>
      <c r="E127" t="s">
        <v>12</v>
      </c>
    </row>
    <row r="128" spans="1:5" x14ac:dyDescent="0.2">
      <c r="A128" t="s">
        <v>785</v>
      </c>
      <c r="B128" t="s">
        <v>587</v>
      </c>
      <c r="C128" t="s">
        <v>72</v>
      </c>
      <c r="D128" t="s">
        <v>414</v>
      </c>
      <c r="E128" t="s">
        <v>12</v>
      </c>
    </row>
    <row r="129" spans="1:5" x14ac:dyDescent="0.2">
      <c r="A129" t="s">
        <v>786</v>
      </c>
      <c r="B129" t="s">
        <v>587</v>
      </c>
      <c r="C129" t="s">
        <v>72</v>
      </c>
      <c r="D129" t="s">
        <v>416</v>
      </c>
      <c r="E129" t="s">
        <v>12</v>
      </c>
    </row>
    <row r="130" spans="1:5" x14ac:dyDescent="0.2">
      <c r="A130" t="s">
        <v>787</v>
      </c>
      <c r="B130" t="s">
        <v>587</v>
      </c>
      <c r="C130" t="s">
        <v>72</v>
      </c>
      <c r="D130" t="s">
        <v>293</v>
      </c>
      <c r="E130" t="s">
        <v>12</v>
      </c>
    </row>
    <row r="131" spans="1:5" x14ac:dyDescent="0.2">
      <c r="A131" t="s">
        <v>788</v>
      </c>
      <c r="B131" t="s">
        <v>587</v>
      </c>
      <c r="C131" t="s">
        <v>72</v>
      </c>
      <c r="D131" t="s">
        <v>390</v>
      </c>
      <c r="E131" t="s">
        <v>12</v>
      </c>
    </row>
    <row r="132" spans="1:5" x14ac:dyDescent="0.2">
      <c r="A132" t="s">
        <v>789</v>
      </c>
      <c r="B132" t="s">
        <v>587</v>
      </c>
      <c r="C132" t="s">
        <v>72</v>
      </c>
      <c r="D132" t="s">
        <v>869</v>
      </c>
      <c r="E132" t="s">
        <v>12</v>
      </c>
    </row>
    <row r="133" spans="1:5" ht="18" thickBot="1" x14ac:dyDescent="0.35">
      <c r="A133" s="81"/>
      <c r="B133" s="81"/>
      <c r="C133" s="81"/>
      <c r="D133" s="81"/>
      <c r="E133" s="81"/>
    </row>
    <row r="134" spans="1:5" ht="18.75" thickTop="1" thickBot="1" x14ac:dyDescent="0.35">
      <c r="A134" s="81" t="s">
        <v>1050</v>
      </c>
      <c r="B134" s="81"/>
      <c r="C134" s="81"/>
      <c r="D134" s="81"/>
      <c r="E134" s="81"/>
    </row>
    <row r="135" spans="1:5" ht="13.5" thickTop="1" x14ac:dyDescent="0.2">
      <c r="A135" t="s">
        <v>823</v>
      </c>
      <c r="B135" t="s">
        <v>574</v>
      </c>
      <c r="C135" t="s">
        <v>347</v>
      </c>
      <c r="D135" t="s">
        <v>332</v>
      </c>
      <c r="E135" t="s">
        <v>51</v>
      </c>
    </row>
    <row r="136" spans="1:5" x14ac:dyDescent="0.2">
      <c r="A136" t="s">
        <v>824</v>
      </c>
      <c r="B136" t="s">
        <v>574</v>
      </c>
      <c r="C136" t="s">
        <v>347</v>
      </c>
      <c r="D136" t="s">
        <v>333</v>
      </c>
      <c r="E136" t="s">
        <v>51</v>
      </c>
    </row>
    <row r="137" spans="1:5" x14ac:dyDescent="0.2">
      <c r="A137" t="s">
        <v>830</v>
      </c>
      <c r="B137" t="s">
        <v>574</v>
      </c>
      <c r="C137" t="s">
        <v>347</v>
      </c>
      <c r="D137" t="s">
        <v>170</v>
      </c>
      <c r="E137" t="s">
        <v>51</v>
      </c>
    </row>
    <row r="138" spans="1:5" x14ac:dyDescent="0.2">
      <c r="A138" t="s">
        <v>825</v>
      </c>
      <c r="B138" t="s">
        <v>574</v>
      </c>
      <c r="C138" t="s">
        <v>347</v>
      </c>
      <c r="D138" t="s">
        <v>172</v>
      </c>
      <c r="E138" t="s">
        <v>51</v>
      </c>
    </row>
    <row r="139" spans="1:5" x14ac:dyDescent="0.2">
      <c r="A139" t="s">
        <v>831</v>
      </c>
      <c r="B139" t="s">
        <v>574</v>
      </c>
      <c r="C139" t="s">
        <v>347</v>
      </c>
      <c r="D139" t="s">
        <v>1084</v>
      </c>
      <c r="E139" t="s">
        <v>51</v>
      </c>
    </row>
    <row r="140" spans="1:5" x14ac:dyDescent="0.2">
      <c r="A140" t="s">
        <v>826</v>
      </c>
      <c r="B140" t="s">
        <v>574</v>
      </c>
      <c r="C140" t="s">
        <v>347</v>
      </c>
      <c r="D140" t="s">
        <v>283</v>
      </c>
      <c r="E140" t="s">
        <v>51</v>
      </c>
    </row>
    <row r="141" spans="1:5" x14ac:dyDescent="0.2">
      <c r="A141" t="s">
        <v>827</v>
      </c>
      <c r="B141" t="s">
        <v>574</v>
      </c>
      <c r="C141" t="s">
        <v>347</v>
      </c>
      <c r="D141" t="s">
        <v>284</v>
      </c>
      <c r="E141" t="s">
        <v>51</v>
      </c>
    </row>
    <row r="142" spans="1:5" x14ac:dyDescent="0.2">
      <c r="A142" t="s">
        <v>828</v>
      </c>
      <c r="B142" t="s">
        <v>574</v>
      </c>
      <c r="C142" t="s">
        <v>347</v>
      </c>
      <c r="D142" t="s">
        <v>285</v>
      </c>
      <c r="E142" t="s">
        <v>51</v>
      </c>
    </row>
    <row r="143" spans="1:5" x14ac:dyDescent="0.2">
      <c r="A143" t="s">
        <v>829</v>
      </c>
      <c r="B143" t="s">
        <v>574</v>
      </c>
      <c r="C143" t="s">
        <v>347</v>
      </c>
      <c r="D143" t="s">
        <v>286</v>
      </c>
      <c r="E143" t="s">
        <v>51</v>
      </c>
    </row>
    <row r="145" spans="1:5" ht="18" thickBot="1" x14ac:dyDescent="0.35">
      <c r="A145" s="81" t="s">
        <v>1051</v>
      </c>
      <c r="B145" s="81"/>
      <c r="C145" s="81"/>
      <c r="D145" s="81"/>
      <c r="E145" s="81"/>
    </row>
    <row r="146" spans="1:5" ht="13.5" thickTop="1" x14ac:dyDescent="0.2">
      <c r="A146" t="s">
        <v>683</v>
      </c>
      <c r="B146" t="s">
        <v>13</v>
      </c>
      <c r="C146" t="s">
        <v>347</v>
      </c>
      <c r="D146" t="s">
        <v>95</v>
      </c>
      <c r="E146" t="s">
        <v>12</v>
      </c>
    </row>
    <row r="147" spans="1:5" ht="18" thickBot="1" x14ac:dyDescent="0.35">
      <c r="A147" s="81"/>
      <c r="B147" s="81"/>
      <c r="C147" s="81"/>
      <c r="D147" s="81"/>
      <c r="E147" s="81"/>
    </row>
    <row r="148" spans="1:5" ht="18.75" thickTop="1" thickBot="1" x14ac:dyDescent="0.35">
      <c r="A148" s="81" t="s">
        <v>1052</v>
      </c>
      <c r="B148" s="81"/>
      <c r="C148" s="81"/>
      <c r="D148" s="81"/>
      <c r="E148" s="81"/>
    </row>
    <row r="149" spans="1:5" ht="13.5" thickTop="1" x14ac:dyDescent="0.2">
      <c r="A149" t="s">
        <v>810</v>
      </c>
      <c r="B149" t="s">
        <v>13</v>
      </c>
      <c r="C149" t="s">
        <v>347</v>
      </c>
      <c r="D149" t="s">
        <v>456</v>
      </c>
      <c r="E149" t="s">
        <v>51</v>
      </c>
    </row>
    <row r="150" spans="1:5" x14ac:dyDescent="0.2">
      <c r="A150" t="s">
        <v>815</v>
      </c>
      <c r="B150" t="s">
        <v>13</v>
      </c>
      <c r="C150" t="s">
        <v>347</v>
      </c>
      <c r="D150" t="s">
        <v>99</v>
      </c>
      <c r="E150" t="s">
        <v>12</v>
      </c>
    </row>
    <row r="151" spans="1:5" x14ac:dyDescent="0.2">
      <c r="A151" t="s">
        <v>816</v>
      </c>
      <c r="B151" t="s">
        <v>13</v>
      </c>
      <c r="C151" t="s">
        <v>347</v>
      </c>
      <c r="D151" t="s">
        <v>100</v>
      </c>
      <c r="E151" t="s">
        <v>12</v>
      </c>
    </row>
    <row r="153" spans="1:5" ht="18" thickBot="1" x14ac:dyDescent="0.35">
      <c r="A153" s="81" t="s">
        <v>1053</v>
      </c>
      <c r="B153" s="81"/>
      <c r="C153" s="81"/>
      <c r="D153" s="81"/>
      <c r="E153" s="81"/>
    </row>
    <row r="154" spans="1:5" ht="13.5" thickTop="1" x14ac:dyDescent="0.2">
      <c r="A154" t="s">
        <v>832</v>
      </c>
      <c r="B154" t="s">
        <v>574</v>
      </c>
      <c r="C154" t="s">
        <v>347</v>
      </c>
      <c r="D154" t="s">
        <v>301</v>
      </c>
      <c r="E154" t="s">
        <v>51</v>
      </c>
    </row>
    <row r="155" spans="1:5" x14ac:dyDescent="0.2">
      <c r="A155" t="s">
        <v>833</v>
      </c>
      <c r="B155" t="s">
        <v>587</v>
      </c>
      <c r="C155" t="s">
        <v>72</v>
      </c>
      <c r="D155" t="s">
        <v>302</v>
      </c>
      <c r="E155" t="s">
        <v>12</v>
      </c>
    </row>
    <row r="156" spans="1:5" x14ac:dyDescent="0.2">
      <c r="A156" t="s">
        <v>834</v>
      </c>
      <c r="B156" t="s">
        <v>587</v>
      </c>
      <c r="C156" t="s">
        <v>72</v>
      </c>
      <c r="D156" t="s">
        <v>303</v>
      </c>
      <c r="E156" t="s">
        <v>12</v>
      </c>
    </row>
    <row r="157" spans="1:5" x14ac:dyDescent="0.2">
      <c r="A157" t="s">
        <v>835</v>
      </c>
      <c r="B157" t="s">
        <v>587</v>
      </c>
      <c r="C157" t="s">
        <v>72</v>
      </c>
      <c r="D157" t="s">
        <v>304</v>
      </c>
      <c r="E157" t="s">
        <v>12</v>
      </c>
    </row>
    <row r="158" spans="1:5" x14ac:dyDescent="0.2">
      <c r="A158" t="s">
        <v>836</v>
      </c>
      <c r="B158" t="s">
        <v>13</v>
      </c>
      <c r="C158" t="s">
        <v>347</v>
      </c>
      <c r="D158" t="s">
        <v>309</v>
      </c>
      <c r="E158" t="s">
        <v>12</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E96"/>
  <sheetViews>
    <sheetView workbookViewId="0">
      <selection activeCell="A4" sqref="A4:D4"/>
    </sheetView>
  </sheetViews>
  <sheetFormatPr baseColWidth="10" defaultRowHeight="12.75" x14ac:dyDescent="0.2"/>
  <cols>
    <col min="1" max="1" width="48" bestFit="1" customWidth="1"/>
    <col min="2" max="2" width="7.5703125" bestFit="1" customWidth="1"/>
    <col min="3" max="3" width="10.85546875" bestFit="1" customWidth="1"/>
    <col min="4" max="4" width="76.140625" bestFit="1" customWidth="1"/>
  </cols>
  <sheetData>
    <row r="1" spans="1:5" ht="19.5" customHeight="1" x14ac:dyDescent="0.2">
      <c r="A1" s="354" t="s">
        <v>617</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1002</v>
      </c>
      <c r="B10" s="81"/>
      <c r="C10" s="81"/>
      <c r="D10" s="81"/>
      <c r="E10" s="81"/>
    </row>
    <row r="11" spans="1:5" ht="13.5" thickTop="1" x14ac:dyDescent="0.2">
      <c r="A11" t="s">
        <v>699</v>
      </c>
      <c r="B11" t="s">
        <v>13</v>
      </c>
      <c r="C11" t="s">
        <v>347</v>
      </c>
      <c r="D11" t="s">
        <v>359</v>
      </c>
      <c r="E11" t="s">
        <v>12</v>
      </c>
    </row>
    <row r="12" spans="1:5" x14ac:dyDescent="0.2">
      <c r="A12" t="s">
        <v>701</v>
      </c>
      <c r="B12" t="s">
        <v>13</v>
      </c>
      <c r="C12" t="s">
        <v>347</v>
      </c>
      <c r="D12" t="s">
        <v>361</v>
      </c>
      <c r="E12" t="s">
        <v>12</v>
      </c>
    </row>
    <row r="13" spans="1:5" x14ac:dyDescent="0.2">
      <c r="A13" t="s">
        <v>702</v>
      </c>
      <c r="B13" t="s">
        <v>13</v>
      </c>
      <c r="C13" t="s">
        <v>347</v>
      </c>
      <c r="D13" t="s">
        <v>546</v>
      </c>
      <c r="E13" t="s">
        <v>12</v>
      </c>
    </row>
    <row r="14" spans="1:5" x14ac:dyDescent="0.2">
      <c r="A14" t="s">
        <v>703</v>
      </c>
      <c r="B14" t="s">
        <v>13</v>
      </c>
      <c r="C14" t="s">
        <v>347</v>
      </c>
      <c r="D14" t="s">
        <v>547</v>
      </c>
      <c r="E14" t="s">
        <v>12</v>
      </c>
    </row>
    <row r="15" spans="1:5" x14ac:dyDescent="0.2">
      <c r="A15" t="s">
        <v>700</v>
      </c>
      <c r="B15" t="s">
        <v>13</v>
      </c>
      <c r="C15" t="s">
        <v>347</v>
      </c>
      <c r="D15" t="s">
        <v>363</v>
      </c>
      <c r="E15" t="s">
        <v>12</v>
      </c>
    </row>
    <row r="16" spans="1:5" x14ac:dyDescent="0.2">
      <c r="A16" t="s">
        <v>704</v>
      </c>
      <c r="B16" t="s">
        <v>13</v>
      </c>
      <c r="C16" t="s">
        <v>347</v>
      </c>
      <c r="D16" t="s">
        <v>365</v>
      </c>
      <c r="E16" t="s">
        <v>12</v>
      </c>
    </row>
    <row r="17" spans="1:5" x14ac:dyDescent="0.2">
      <c r="A17" t="s">
        <v>639</v>
      </c>
      <c r="B17" t="s">
        <v>13</v>
      </c>
      <c r="C17" t="s">
        <v>347</v>
      </c>
      <c r="D17" t="s">
        <v>366</v>
      </c>
      <c r="E17" t="s">
        <v>12</v>
      </c>
    </row>
    <row r="18" spans="1:5" x14ac:dyDescent="0.2">
      <c r="A18" t="s">
        <v>643</v>
      </c>
      <c r="B18" t="s">
        <v>13</v>
      </c>
      <c r="C18" t="s">
        <v>347</v>
      </c>
      <c r="D18" t="s">
        <v>548</v>
      </c>
      <c r="E18" t="s">
        <v>12</v>
      </c>
    </row>
    <row r="19" spans="1:5" x14ac:dyDescent="0.2">
      <c r="A19" t="s">
        <v>640</v>
      </c>
      <c r="B19" t="s">
        <v>13</v>
      </c>
      <c r="C19" t="s">
        <v>347</v>
      </c>
      <c r="D19" t="s">
        <v>367</v>
      </c>
      <c r="E19" t="s">
        <v>12</v>
      </c>
    </row>
    <row r="21" spans="1:5" ht="18" thickBot="1" x14ac:dyDescent="0.35">
      <c r="A21" s="81" t="s">
        <v>1023</v>
      </c>
      <c r="B21" s="81"/>
      <c r="C21" s="81"/>
      <c r="D21" s="81"/>
      <c r="E21" s="81"/>
    </row>
    <row r="22" spans="1:5" ht="13.5" thickTop="1" x14ac:dyDescent="0.2">
      <c r="A22" t="s">
        <v>639</v>
      </c>
      <c r="B22" t="s">
        <v>13</v>
      </c>
      <c r="C22" t="s">
        <v>347</v>
      </c>
      <c r="D22" t="s">
        <v>366</v>
      </c>
      <c r="E22" t="s">
        <v>12</v>
      </c>
    </row>
    <row r="23" spans="1:5" x14ac:dyDescent="0.2">
      <c r="A23" t="s">
        <v>643</v>
      </c>
      <c r="B23" t="s">
        <v>13</v>
      </c>
      <c r="C23" t="s">
        <v>347</v>
      </c>
      <c r="D23" t="s">
        <v>548</v>
      </c>
      <c r="E23" t="s">
        <v>12</v>
      </c>
    </row>
    <row r="24" spans="1:5" x14ac:dyDescent="0.2">
      <c r="A24" t="s">
        <v>640</v>
      </c>
      <c r="B24" t="s">
        <v>13</v>
      </c>
      <c r="C24" t="s">
        <v>347</v>
      </c>
      <c r="D24" t="s">
        <v>367</v>
      </c>
      <c r="E24" t="s">
        <v>12</v>
      </c>
    </row>
    <row r="26" spans="1:5" ht="18" thickBot="1" x14ac:dyDescent="0.35">
      <c r="A26" s="81" t="s">
        <v>1003</v>
      </c>
      <c r="B26" s="81"/>
      <c r="C26" s="81"/>
      <c r="D26" s="81"/>
      <c r="E26" s="81"/>
    </row>
    <row r="27" spans="1:5" ht="13.5" thickTop="1" x14ac:dyDescent="0.2">
      <c r="A27" t="s">
        <v>733</v>
      </c>
      <c r="B27" t="s">
        <v>13</v>
      </c>
      <c r="C27" t="s">
        <v>347</v>
      </c>
      <c r="D27" t="s">
        <v>86</v>
      </c>
      <c r="E27" t="s">
        <v>12</v>
      </c>
    </row>
    <row r="28" spans="1:5" x14ac:dyDescent="0.2">
      <c r="A28" t="s">
        <v>659</v>
      </c>
      <c r="B28" t="s">
        <v>13</v>
      </c>
      <c r="C28" t="s">
        <v>347</v>
      </c>
      <c r="D28" t="s">
        <v>87</v>
      </c>
      <c r="E28" t="s">
        <v>42</v>
      </c>
    </row>
    <row r="30" spans="1:5" ht="18" thickBot="1" x14ac:dyDescent="0.35">
      <c r="A30" s="81" t="s">
        <v>1078</v>
      </c>
      <c r="B30" s="81"/>
      <c r="C30" s="81"/>
      <c r="D30" s="81"/>
      <c r="E30" s="81"/>
    </row>
    <row r="31" spans="1:5" ht="13.5" thickTop="1" x14ac:dyDescent="0.2">
      <c r="A31" t="s">
        <v>669</v>
      </c>
      <c r="B31" t="s">
        <v>13</v>
      </c>
      <c r="C31" t="s">
        <v>347</v>
      </c>
      <c r="D31" t="s">
        <v>64</v>
      </c>
      <c r="E31" t="s">
        <v>463</v>
      </c>
    </row>
    <row r="32" spans="1:5" x14ac:dyDescent="0.2">
      <c r="A32" t="s">
        <v>756</v>
      </c>
      <c r="B32" t="s">
        <v>13</v>
      </c>
      <c r="C32" t="s">
        <v>347</v>
      </c>
      <c r="D32" t="s">
        <v>65</v>
      </c>
      <c r="E32" t="s">
        <v>463</v>
      </c>
    </row>
    <row r="33" spans="1:5" x14ac:dyDescent="0.2">
      <c r="A33" t="s">
        <v>757</v>
      </c>
      <c r="B33" t="s">
        <v>13</v>
      </c>
      <c r="C33" t="s">
        <v>347</v>
      </c>
      <c r="D33" t="s">
        <v>66</v>
      </c>
      <c r="E33" t="s">
        <v>463</v>
      </c>
    </row>
    <row r="35" spans="1:5" ht="18" thickBot="1" x14ac:dyDescent="0.35">
      <c r="A35" s="81" t="s">
        <v>1008</v>
      </c>
      <c r="B35" s="81"/>
      <c r="C35" s="81"/>
      <c r="D35" s="81"/>
      <c r="E35" s="81"/>
    </row>
    <row r="36" spans="1:5" ht="13.5" thickTop="1" x14ac:dyDescent="0.2">
      <c r="A36" t="s">
        <v>758</v>
      </c>
      <c r="B36" t="s">
        <v>13</v>
      </c>
      <c r="C36" t="s">
        <v>347</v>
      </c>
      <c r="D36" t="s">
        <v>397</v>
      </c>
      <c r="E36" t="s">
        <v>12</v>
      </c>
    </row>
    <row r="37" spans="1:5" x14ac:dyDescent="0.2">
      <c r="A37" t="s">
        <v>759</v>
      </c>
      <c r="B37" t="s">
        <v>13</v>
      </c>
      <c r="C37" t="s">
        <v>347</v>
      </c>
      <c r="D37" t="s">
        <v>399</v>
      </c>
      <c r="E37" t="s">
        <v>12</v>
      </c>
    </row>
    <row r="38" spans="1:5" x14ac:dyDescent="0.2">
      <c r="A38" t="s">
        <v>760</v>
      </c>
      <c r="B38" t="s">
        <v>13</v>
      </c>
      <c r="C38" t="s">
        <v>347</v>
      </c>
      <c r="D38" t="s">
        <v>401</v>
      </c>
      <c r="E38" t="s">
        <v>12</v>
      </c>
    </row>
    <row r="40" spans="1:5" ht="18" thickBot="1" x14ac:dyDescent="0.35">
      <c r="A40" s="81" t="s">
        <v>1029</v>
      </c>
      <c r="B40" s="81"/>
      <c r="C40" s="81"/>
      <c r="D40" s="81"/>
      <c r="E40" s="81"/>
    </row>
    <row r="41" spans="1:5" ht="13.5" thickTop="1" x14ac:dyDescent="0.2">
      <c r="A41" t="s">
        <v>971</v>
      </c>
      <c r="B41" t="s">
        <v>587</v>
      </c>
      <c r="C41" t="s">
        <v>72</v>
      </c>
      <c r="D41" t="s">
        <v>256</v>
      </c>
      <c r="E41" t="s">
        <v>51</v>
      </c>
    </row>
    <row r="42" spans="1:5" x14ac:dyDescent="0.2">
      <c r="A42" t="s">
        <v>972</v>
      </c>
      <c r="B42" t="s">
        <v>587</v>
      </c>
      <c r="C42" t="s">
        <v>72</v>
      </c>
      <c r="D42" t="s">
        <v>267</v>
      </c>
      <c r="E42" t="s">
        <v>51</v>
      </c>
    </row>
    <row r="43" spans="1:5" x14ac:dyDescent="0.2">
      <c r="A43" t="s">
        <v>973</v>
      </c>
      <c r="B43" t="s">
        <v>587</v>
      </c>
      <c r="C43" t="s">
        <v>72</v>
      </c>
      <c r="D43" t="s">
        <v>532</v>
      </c>
      <c r="E43" t="s">
        <v>51</v>
      </c>
    </row>
    <row r="44" spans="1:5" x14ac:dyDescent="0.2">
      <c r="A44" t="s">
        <v>974</v>
      </c>
      <c r="B44" t="s">
        <v>587</v>
      </c>
      <c r="C44" t="s">
        <v>72</v>
      </c>
      <c r="D44" t="s">
        <v>533</v>
      </c>
      <c r="E44" t="s">
        <v>51</v>
      </c>
    </row>
    <row r="45" spans="1:5" x14ac:dyDescent="0.2">
      <c r="A45" t="s">
        <v>975</v>
      </c>
      <c r="B45" t="s">
        <v>587</v>
      </c>
      <c r="C45" t="s">
        <v>72</v>
      </c>
      <c r="D45" t="s">
        <v>268</v>
      </c>
      <c r="E45" t="s">
        <v>51</v>
      </c>
    </row>
    <row r="46" spans="1:5" x14ac:dyDescent="0.2">
      <c r="A46" t="s">
        <v>976</v>
      </c>
      <c r="B46" t="s">
        <v>587</v>
      </c>
      <c r="C46" t="s">
        <v>72</v>
      </c>
      <c r="D46" t="s">
        <v>269</v>
      </c>
      <c r="E46" t="s">
        <v>51</v>
      </c>
    </row>
    <row r="47" spans="1:5" x14ac:dyDescent="0.2">
      <c r="A47" t="s">
        <v>983</v>
      </c>
      <c r="B47" t="s">
        <v>587</v>
      </c>
      <c r="C47" t="s">
        <v>72</v>
      </c>
      <c r="D47" t="s">
        <v>403</v>
      </c>
      <c r="E47" t="s">
        <v>51</v>
      </c>
    </row>
    <row r="48" spans="1:5" x14ac:dyDescent="0.2">
      <c r="A48" t="s">
        <v>984</v>
      </c>
      <c r="B48" t="s">
        <v>587</v>
      </c>
      <c r="C48" t="s">
        <v>72</v>
      </c>
      <c r="D48" t="s">
        <v>405</v>
      </c>
      <c r="E48" t="s">
        <v>51</v>
      </c>
    </row>
    <row r="49" spans="1:5" x14ac:dyDescent="0.2">
      <c r="A49" t="s">
        <v>985</v>
      </c>
      <c r="B49" t="s">
        <v>587</v>
      </c>
      <c r="C49" t="s">
        <v>72</v>
      </c>
      <c r="D49" t="s">
        <v>407</v>
      </c>
      <c r="E49" t="s">
        <v>51</v>
      </c>
    </row>
    <row r="50" spans="1:5" x14ac:dyDescent="0.2">
      <c r="A50" t="s">
        <v>986</v>
      </c>
      <c r="B50" t="s">
        <v>587</v>
      </c>
      <c r="C50" t="s">
        <v>72</v>
      </c>
      <c r="D50" t="s">
        <v>409</v>
      </c>
      <c r="E50" t="s">
        <v>51</v>
      </c>
    </row>
    <row r="52" spans="1:5" ht="18" thickBot="1" x14ac:dyDescent="0.35">
      <c r="A52" s="81" t="s">
        <v>1079</v>
      </c>
      <c r="B52" s="81"/>
      <c r="C52" s="81"/>
      <c r="D52" s="81"/>
      <c r="E52" s="81"/>
    </row>
    <row r="53" spans="1:5" ht="13.5" thickTop="1" x14ac:dyDescent="0.2">
      <c r="A53" t="s">
        <v>798</v>
      </c>
      <c r="B53" t="s">
        <v>587</v>
      </c>
      <c r="C53" t="s">
        <v>72</v>
      </c>
      <c r="D53" t="s">
        <v>123</v>
      </c>
      <c r="E53" t="s">
        <v>63</v>
      </c>
    </row>
    <row r="54" spans="1:5" x14ac:dyDescent="0.2">
      <c r="A54" t="s">
        <v>523</v>
      </c>
      <c r="B54" t="s">
        <v>13</v>
      </c>
      <c r="C54" t="s">
        <v>347</v>
      </c>
      <c r="D54" t="s">
        <v>524</v>
      </c>
      <c r="E54" t="s">
        <v>63</v>
      </c>
    </row>
    <row r="56" spans="1:5" ht="18" thickBot="1" x14ac:dyDescent="0.35">
      <c r="A56" s="81" t="s">
        <v>1060</v>
      </c>
      <c r="B56" s="81"/>
      <c r="C56" s="81"/>
      <c r="D56" s="81"/>
      <c r="E56" s="81"/>
    </row>
    <row r="57" spans="1:5" ht="13.5" thickTop="1" x14ac:dyDescent="0.2">
      <c r="A57" t="s">
        <v>103</v>
      </c>
      <c r="B57" t="s">
        <v>13</v>
      </c>
      <c r="C57" t="s">
        <v>347</v>
      </c>
      <c r="D57" t="s">
        <v>104</v>
      </c>
      <c r="E57" t="s">
        <v>63</v>
      </c>
    </row>
    <row r="58" spans="1:5" x14ac:dyDescent="0.2">
      <c r="A58" t="s">
        <v>236</v>
      </c>
      <c r="B58" t="s">
        <v>13</v>
      </c>
      <c r="C58" t="s">
        <v>347</v>
      </c>
      <c r="D58" t="s">
        <v>237</v>
      </c>
      <c r="E58" t="s">
        <v>63</v>
      </c>
    </row>
    <row r="59" spans="1:5" x14ac:dyDescent="0.2">
      <c r="A59" t="s">
        <v>238</v>
      </c>
      <c r="B59" t="s">
        <v>13</v>
      </c>
      <c r="C59" t="s">
        <v>347</v>
      </c>
      <c r="D59" t="s">
        <v>239</v>
      </c>
      <c r="E59" t="s">
        <v>63</v>
      </c>
    </row>
    <row r="60" spans="1:5" ht="18" thickBot="1" x14ac:dyDescent="0.35">
      <c r="A60" s="81"/>
      <c r="B60" s="81"/>
      <c r="C60" s="81"/>
      <c r="D60" s="81"/>
      <c r="E60" s="81"/>
    </row>
    <row r="61" spans="1:5" ht="18.75" thickTop="1" thickBot="1" x14ac:dyDescent="0.35">
      <c r="A61" s="81" t="s">
        <v>1067</v>
      </c>
      <c r="B61" s="81"/>
      <c r="C61" s="81"/>
      <c r="D61" s="81"/>
      <c r="E61" s="81"/>
    </row>
    <row r="62" spans="1:5" ht="13.5" thickTop="1" x14ac:dyDescent="0.2">
      <c r="A62" t="s">
        <v>103</v>
      </c>
      <c r="B62" t="s">
        <v>13</v>
      </c>
      <c r="C62" t="s">
        <v>347</v>
      </c>
      <c r="D62" t="s">
        <v>104</v>
      </c>
      <c r="E62" t="s">
        <v>63</v>
      </c>
    </row>
    <row r="63" spans="1:5" x14ac:dyDescent="0.2">
      <c r="A63" t="s">
        <v>236</v>
      </c>
      <c r="B63" t="s">
        <v>13</v>
      </c>
      <c r="C63" t="s">
        <v>347</v>
      </c>
      <c r="D63" t="s">
        <v>237</v>
      </c>
      <c r="E63" t="s">
        <v>63</v>
      </c>
    </row>
    <row r="64" spans="1:5" x14ac:dyDescent="0.2">
      <c r="A64" t="s">
        <v>238</v>
      </c>
      <c r="B64" t="s">
        <v>13</v>
      </c>
      <c r="C64" t="s">
        <v>347</v>
      </c>
      <c r="D64" t="s">
        <v>239</v>
      </c>
      <c r="E64" t="s">
        <v>63</v>
      </c>
    </row>
    <row r="66" spans="1:5" ht="18" thickBot="1" x14ac:dyDescent="0.35">
      <c r="A66" s="81" t="s">
        <v>1013</v>
      </c>
      <c r="B66" s="81"/>
      <c r="C66" s="81"/>
      <c r="D66" s="81"/>
      <c r="E66" s="81"/>
    </row>
    <row r="67" spans="1:5" ht="13.5" thickTop="1" x14ac:dyDescent="0.2">
      <c r="A67" t="s">
        <v>790</v>
      </c>
      <c r="B67" t="s">
        <v>587</v>
      </c>
      <c r="C67" t="s">
        <v>72</v>
      </c>
      <c r="D67" t="s">
        <v>351</v>
      </c>
      <c r="E67" t="s">
        <v>12</v>
      </c>
    </row>
    <row r="68" spans="1:5" x14ac:dyDescent="0.2">
      <c r="A68" t="s">
        <v>791</v>
      </c>
      <c r="B68" t="s">
        <v>587</v>
      </c>
      <c r="C68" t="s">
        <v>72</v>
      </c>
      <c r="D68" t="s">
        <v>352</v>
      </c>
      <c r="E68" t="s">
        <v>12</v>
      </c>
    </row>
    <row r="69" spans="1:5" ht="18" thickBot="1" x14ac:dyDescent="0.35">
      <c r="A69" s="81"/>
      <c r="B69" s="81"/>
      <c r="C69" s="81"/>
      <c r="D69" s="81"/>
      <c r="E69" s="81"/>
    </row>
    <row r="70" spans="1:5" ht="18.75" thickTop="1" thickBot="1" x14ac:dyDescent="0.35">
      <c r="A70" s="81" t="s">
        <v>1068</v>
      </c>
      <c r="B70" s="81"/>
      <c r="C70" s="81"/>
      <c r="D70" s="81"/>
      <c r="E70" s="81"/>
    </row>
    <row r="71" spans="1:5" ht="13.5" thickTop="1" x14ac:dyDescent="0.2">
      <c r="A71" t="s">
        <v>792</v>
      </c>
      <c r="B71" t="s">
        <v>587</v>
      </c>
      <c r="C71" t="s">
        <v>72</v>
      </c>
      <c r="D71" t="s">
        <v>297</v>
      </c>
      <c r="E71" t="s">
        <v>12</v>
      </c>
    </row>
    <row r="72" spans="1:5" x14ac:dyDescent="0.2">
      <c r="A72" t="s">
        <v>793</v>
      </c>
      <c r="B72" t="s">
        <v>587</v>
      </c>
      <c r="C72" t="s">
        <v>72</v>
      </c>
      <c r="D72" t="s">
        <v>298</v>
      </c>
      <c r="E72" t="s">
        <v>12</v>
      </c>
    </row>
    <row r="73" spans="1:5" x14ac:dyDescent="0.2">
      <c r="A73" t="s">
        <v>794</v>
      </c>
      <c r="B73" t="s">
        <v>587</v>
      </c>
      <c r="C73" t="s">
        <v>72</v>
      </c>
      <c r="D73" t="s">
        <v>299</v>
      </c>
      <c r="E73" t="s">
        <v>12</v>
      </c>
    </row>
    <row r="74" spans="1:5" ht="18" thickBot="1" x14ac:dyDescent="0.35">
      <c r="A74" s="81"/>
      <c r="B74" s="81"/>
      <c r="C74" s="81"/>
      <c r="D74" s="81"/>
      <c r="E74" s="81"/>
    </row>
    <row r="75" spans="1:5" ht="18.75" thickTop="1" thickBot="1" x14ac:dyDescent="0.35">
      <c r="A75" s="81" t="s">
        <v>1069</v>
      </c>
      <c r="B75" s="81"/>
      <c r="C75" s="81"/>
      <c r="D75" s="81"/>
      <c r="E75" s="81"/>
    </row>
    <row r="76" spans="1:5" ht="13.5" thickTop="1" x14ac:dyDescent="0.2">
      <c r="A76" t="s">
        <v>795</v>
      </c>
      <c r="B76" t="s">
        <v>587</v>
      </c>
      <c r="C76" t="s">
        <v>72</v>
      </c>
      <c r="D76" t="s">
        <v>125</v>
      </c>
      <c r="E76" t="s">
        <v>465</v>
      </c>
    </row>
    <row r="77" spans="1:5" x14ac:dyDescent="0.2">
      <c r="A77" t="s">
        <v>796</v>
      </c>
      <c r="B77" t="s">
        <v>587</v>
      </c>
      <c r="C77" t="s">
        <v>72</v>
      </c>
      <c r="D77" t="s">
        <v>127</v>
      </c>
      <c r="E77" t="s">
        <v>465</v>
      </c>
    </row>
    <row r="78" spans="1:5" x14ac:dyDescent="0.2">
      <c r="A78" t="s">
        <v>797</v>
      </c>
      <c r="B78" t="s">
        <v>587</v>
      </c>
      <c r="C78" t="s">
        <v>72</v>
      </c>
      <c r="D78" t="s">
        <v>235</v>
      </c>
      <c r="E78" t="s">
        <v>465</v>
      </c>
    </row>
    <row r="80" spans="1:5" ht="18" thickBot="1" x14ac:dyDescent="0.35">
      <c r="A80" s="81" t="s">
        <v>1080</v>
      </c>
      <c r="B80" s="81"/>
      <c r="C80" s="81"/>
      <c r="D80" s="81"/>
      <c r="E80" s="81"/>
    </row>
    <row r="81" spans="1:5" ht="13.5" thickTop="1" x14ac:dyDescent="0.2">
      <c r="A81" t="s">
        <v>993</v>
      </c>
      <c r="B81" t="s">
        <v>587</v>
      </c>
      <c r="C81" t="s">
        <v>72</v>
      </c>
      <c r="D81" t="s">
        <v>110</v>
      </c>
      <c r="E81" t="s">
        <v>917</v>
      </c>
    </row>
    <row r="82" spans="1:5" ht="18" thickBot="1" x14ac:dyDescent="0.35">
      <c r="A82" s="81"/>
      <c r="B82" s="81"/>
      <c r="C82" s="81"/>
      <c r="D82" s="81"/>
      <c r="E82" s="81"/>
    </row>
    <row r="83" spans="1:5" ht="18.75" thickTop="1" thickBot="1" x14ac:dyDescent="0.35">
      <c r="A83" s="81" t="s">
        <v>1081</v>
      </c>
      <c r="B83" s="81"/>
      <c r="C83" s="81"/>
      <c r="D83" s="81"/>
      <c r="E83" s="81"/>
    </row>
    <row r="84" spans="1:5" ht="13.5" thickTop="1" x14ac:dyDescent="0.2">
      <c r="A84" t="s">
        <v>108</v>
      </c>
      <c r="B84">
        <v>0</v>
      </c>
      <c r="C84">
        <v>0</v>
      </c>
      <c r="D84" t="s">
        <v>109</v>
      </c>
      <c r="E84" t="s">
        <v>51</v>
      </c>
    </row>
    <row r="87" spans="1:5" ht="18" thickBot="1" x14ac:dyDescent="0.35">
      <c r="A87" s="81"/>
      <c r="B87" s="81"/>
      <c r="C87" s="81"/>
      <c r="D87" s="81"/>
      <c r="E87" s="81"/>
    </row>
    <row r="88" spans="1:5" ht="13.5" thickTop="1" x14ac:dyDescent="0.2"/>
    <row r="92" spans="1:5" ht="18" thickBot="1" x14ac:dyDescent="0.35">
      <c r="A92" s="81"/>
      <c r="B92" s="81"/>
      <c r="C92" s="81"/>
      <c r="D92" s="81"/>
      <c r="E92" s="81"/>
    </row>
    <row r="93" spans="1:5" ht="13.5" thickTop="1" x14ac:dyDescent="0.2"/>
    <row r="95" spans="1:5" ht="18" thickBot="1" x14ac:dyDescent="0.35">
      <c r="A95" s="81"/>
      <c r="B95" s="81"/>
      <c r="C95" s="81"/>
      <c r="D95" s="81"/>
      <c r="E95" s="81"/>
    </row>
    <row r="96" spans="1:5" ht="13.5" thickTop="1" x14ac:dyDescent="0.2"/>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E76"/>
  <sheetViews>
    <sheetView workbookViewId="0">
      <selection activeCell="A4" sqref="A4:D4"/>
    </sheetView>
  </sheetViews>
  <sheetFormatPr baseColWidth="10" defaultRowHeight="12.75" x14ac:dyDescent="0.2"/>
  <cols>
    <col min="1" max="1" width="38.85546875" bestFit="1" customWidth="1"/>
    <col min="2" max="2" width="7.5703125" bestFit="1" customWidth="1"/>
    <col min="3" max="3" width="10.85546875" bestFit="1" customWidth="1"/>
    <col min="4" max="4" width="63.28515625" bestFit="1" customWidth="1"/>
  </cols>
  <sheetData>
    <row r="1" spans="1:5" ht="19.5" customHeight="1" x14ac:dyDescent="0.2">
      <c r="A1" s="354" t="s">
        <v>612</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1054</v>
      </c>
      <c r="B10" s="81"/>
      <c r="C10" s="81"/>
      <c r="D10" s="81"/>
      <c r="E10" s="81"/>
    </row>
    <row r="11" spans="1:5" ht="13.5" thickTop="1" x14ac:dyDescent="0.2">
      <c r="A11" t="s">
        <v>694</v>
      </c>
      <c r="B11" t="s">
        <v>13</v>
      </c>
      <c r="C11" t="s">
        <v>347</v>
      </c>
      <c r="D11" t="s">
        <v>129</v>
      </c>
      <c r="E11" t="s">
        <v>462</v>
      </c>
    </row>
    <row r="13" spans="1:5" ht="18" thickBot="1" x14ac:dyDescent="0.35">
      <c r="A13" s="81" t="s">
        <v>1055</v>
      </c>
      <c r="B13" s="81"/>
      <c r="C13" s="81"/>
      <c r="D13" s="81"/>
      <c r="E13" s="81"/>
    </row>
    <row r="14" spans="1:5" ht="13.5" thickTop="1" x14ac:dyDescent="0.2">
      <c r="A14" t="s">
        <v>651</v>
      </c>
      <c r="B14" t="s">
        <v>574</v>
      </c>
      <c r="C14" t="s">
        <v>347</v>
      </c>
      <c r="D14" t="s">
        <v>50</v>
      </c>
      <c r="E14" t="s">
        <v>51</v>
      </c>
    </row>
    <row r="16" spans="1:5" ht="18" thickBot="1" x14ac:dyDescent="0.35">
      <c r="A16" s="81" t="s">
        <v>1056</v>
      </c>
      <c r="B16" s="81"/>
      <c r="C16" s="81"/>
      <c r="D16" s="81"/>
      <c r="E16" s="81"/>
    </row>
    <row r="17" spans="1:5" ht="13.5" thickTop="1" x14ac:dyDescent="0.2">
      <c r="A17" t="s">
        <v>761</v>
      </c>
      <c r="B17" t="s">
        <v>13</v>
      </c>
      <c r="C17" t="s">
        <v>347</v>
      </c>
      <c r="D17" t="s">
        <v>506</v>
      </c>
      <c r="E17" t="s">
        <v>116</v>
      </c>
    </row>
    <row r="18" spans="1:5" x14ac:dyDescent="0.2">
      <c r="A18" t="s">
        <v>671</v>
      </c>
      <c r="B18" t="s">
        <v>587</v>
      </c>
      <c r="C18" t="s">
        <v>72</v>
      </c>
      <c r="D18" t="s">
        <v>512</v>
      </c>
      <c r="E18" t="s">
        <v>116</v>
      </c>
    </row>
    <row r="19" spans="1:5" x14ac:dyDescent="0.2">
      <c r="A19" t="s">
        <v>672</v>
      </c>
      <c r="B19" t="s">
        <v>587</v>
      </c>
      <c r="C19" t="s">
        <v>72</v>
      </c>
      <c r="D19" t="s">
        <v>513</v>
      </c>
      <c r="E19" t="s">
        <v>116</v>
      </c>
    </row>
    <row r="20" spans="1:5" x14ac:dyDescent="0.2">
      <c r="A20" t="s">
        <v>673</v>
      </c>
      <c r="B20" t="s">
        <v>587</v>
      </c>
      <c r="C20" t="s">
        <v>72</v>
      </c>
      <c r="D20" t="s">
        <v>514</v>
      </c>
      <c r="E20" t="s">
        <v>116</v>
      </c>
    </row>
    <row r="21" spans="1:5" x14ac:dyDescent="0.2">
      <c r="A21" t="s">
        <v>674</v>
      </c>
      <c r="B21" t="s">
        <v>587</v>
      </c>
      <c r="C21" t="s">
        <v>72</v>
      </c>
      <c r="D21" t="s">
        <v>515</v>
      </c>
      <c r="E21" t="s">
        <v>116</v>
      </c>
    </row>
    <row r="23" spans="1:5" ht="18" thickBot="1" x14ac:dyDescent="0.35">
      <c r="A23" s="81" t="s">
        <v>1057</v>
      </c>
      <c r="B23" s="81"/>
      <c r="C23" s="81"/>
      <c r="D23" s="81"/>
      <c r="E23" s="81"/>
    </row>
    <row r="24" spans="1:5" ht="13.5" thickTop="1" x14ac:dyDescent="0.2">
      <c r="A24" t="s">
        <v>762</v>
      </c>
      <c r="B24" t="s">
        <v>13</v>
      </c>
      <c r="C24" t="s">
        <v>347</v>
      </c>
      <c r="D24" t="s">
        <v>535</v>
      </c>
      <c r="E24" t="s">
        <v>188</v>
      </c>
    </row>
    <row r="25" spans="1:5" x14ac:dyDescent="0.2">
      <c r="A25" t="s">
        <v>763</v>
      </c>
      <c r="B25" t="s">
        <v>587</v>
      </c>
      <c r="C25" t="s">
        <v>72</v>
      </c>
      <c r="D25" t="s">
        <v>536</v>
      </c>
      <c r="E25" t="s">
        <v>188</v>
      </c>
    </row>
    <row r="26" spans="1:5" x14ac:dyDescent="0.2">
      <c r="A26" t="s">
        <v>764</v>
      </c>
      <c r="B26" t="s">
        <v>587</v>
      </c>
      <c r="C26" t="s">
        <v>72</v>
      </c>
      <c r="D26" t="s">
        <v>537</v>
      </c>
      <c r="E26" t="s">
        <v>188</v>
      </c>
    </row>
    <row r="27" spans="1:5" x14ac:dyDescent="0.2">
      <c r="A27" t="s">
        <v>765</v>
      </c>
      <c r="B27" t="s">
        <v>587</v>
      </c>
      <c r="C27" t="s">
        <v>72</v>
      </c>
      <c r="D27" t="s">
        <v>538</v>
      </c>
      <c r="E27" t="s">
        <v>188</v>
      </c>
    </row>
    <row r="28" spans="1:5" x14ac:dyDescent="0.2">
      <c r="A28" t="s">
        <v>766</v>
      </c>
      <c r="B28" t="s">
        <v>587</v>
      </c>
      <c r="C28" t="s">
        <v>72</v>
      </c>
      <c r="D28" t="s">
        <v>539</v>
      </c>
      <c r="E28" t="s">
        <v>188</v>
      </c>
    </row>
    <row r="30" spans="1:5" ht="18" thickBot="1" x14ac:dyDescent="0.35">
      <c r="A30" s="81" t="s">
        <v>1058</v>
      </c>
      <c r="B30" s="81"/>
      <c r="C30" s="81"/>
      <c r="D30" s="81"/>
      <c r="E30" s="81"/>
    </row>
    <row r="31" spans="1:5" ht="13.5" thickTop="1" x14ac:dyDescent="0.2">
      <c r="A31" t="s">
        <v>806</v>
      </c>
      <c r="B31" t="s">
        <v>587</v>
      </c>
      <c r="C31" t="s">
        <v>72</v>
      </c>
      <c r="D31" t="s">
        <v>534</v>
      </c>
      <c r="E31" t="s">
        <v>51</v>
      </c>
    </row>
    <row r="33" spans="1:5" ht="18" thickBot="1" x14ac:dyDescent="0.35">
      <c r="A33" s="81" t="s">
        <v>1059</v>
      </c>
      <c r="B33" s="81"/>
      <c r="C33" s="81"/>
      <c r="D33" s="81"/>
      <c r="E33" s="81"/>
    </row>
    <row r="34" spans="1:5" ht="13.5" thickTop="1" x14ac:dyDescent="0.2">
      <c r="A34" t="s">
        <v>991</v>
      </c>
      <c r="B34" t="s">
        <v>587</v>
      </c>
      <c r="C34" t="s">
        <v>72</v>
      </c>
      <c r="D34" t="s">
        <v>870</v>
      </c>
      <c r="E34" t="s">
        <v>51</v>
      </c>
    </row>
    <row r="36" spans="1:5" ht="18" thickBot="1" x14ac:dyDescent="0.35">
      <c r="A36" s="81" t="s">
        <v>1060</v>
      </c>
      <c r="B36" s="81"/>
      <c r="C36" s="81"/>
      <c r="D36" s="81"/>
      <c r="E36" s="81"/>
    </row>
    <row r="37" spans="1:5" ht="13.5" thickTop="1" x14ac:dyDescent="0.2">
      <c r="A37" t="s">
        <v>103</v>
      </c>
      <c r="B37" t="s">
        <v>13</v>
      </c>
      <c r="C37" t="s">
        <v>347</v>
      </c>
      <c r="D37" t="s">
        <v>104</v>
      </c>
      <c r="E37" t="s">
        <v>63</v>
      </c>
    </row>
    <row r="38" spans="1:5" x14ac:dyDescent="0.2">
      <c r="A38" t="s">
        <v>236</v>
      </c>
      <c r="B38" t="s">
        <v>13</v>
      </c>
      <c r="C38" t="s">
        <v>347</v>
      </c>
      <c r="D38" t="s">
        <v>237</v>
      </c>
      <c r="E38" t="s">
        <v>63</v>
      </c>
    </row>
    <row r="39" spans="1:5" x14ac:dyDescent="0.2">
      <c r="A39" t="s">
        <v>238</v>
      </c>
      <c r="B39" t="s">
        <v>13</v>
      </c>
      <c r="C39" t="s">
        <v>347</v>
      </c>
      <c r="D39" t="s">
        <v>239</v>
      </c>
      <c r="E39" t="s">
        <v>63</v>
      </c>
    </row>
    <row r="41" spans="1:5" ht="18" thickBot="1" x14ac:dyDescent="0.35">
      <c r="A41" s="81" t="s">
        <v>1061</v>
      </c>
      <c r="B41" s="81"/>
      <c r="C41" s="81"/>
      <c r="D41" s="81"/>
      <c r="E41" s="81"/>
    </row>
    <row r="42" spans="1:5" ht="13.5" thickTop="1" x14ac:dyDescent="0.2">
      <c r="A42" t="s">
        <v>811</v>
      </c>
      <c r="B42" t="s">
        <v>13</v>
      </c>
      <c r="C42" t="s">
        <v>347</v>
      </c>
      <c r="D42" t="s">
        <v>181</v>
      </c>
      <c r="E42" t="s">
        <v>51</v>
      </c>
    </row>
    <row r="43" spans="1:5" x14ac:dyDescent="0.2">
      <c r="A43" t="s">
        <v>682</v>
      </c>
      <c r="B43" t="s">
        <v>13</v>
      </c>
      <c r="C43" t="s">
        <v>347</v>
      </c>
      <c r="D43" t="s">
        <v>182</v>
      </c>
      <c r="E43" t="s">
        <v>12</v>
      </c>
    </row>
    <row r="45" spans="1:5" ht="18" thickBot="1" x14ac:dyDescent="0.35">
      <c r="A45" s="81" t="s">
        <v>1062</v>
      </c>
      <c r="B45" s="81"/>
      <c r="C45" s="81"/>
      <c r="D45" s="81"/>
      <c r="E45" s="81"/>
    </row>
    <row r="46" spans="1:5" ht="13.5" thickTop="1" x14ac:dyDescent="0.2">
      <c r="A46" t="s">
        <v>810</v>
      </c>
      <c r="B46" t="s">
        <v>13</v>
      </c>
      <c r="C46" t="s">
        <v>347</v>
      </c>
      <c r="D46" t="s">
        <v>456</v>
      </c>
      <c r="E46" t="s">
        <v>51</v>
      </c>
    </row>
    <row r="47" spans="1:5" x14ac:dyDescent="0.2">
      <c r="A47" t="s">
        <v>815</v>
      </c>
      <c r="B47" t="s">
        <v>13</v>
      </c>
      <c r="C47" t="s">
        <v>347</v>
      </c>
      <c r="D47" t="s">
        <v>99</v>
      </c>
      <c r="E47" t="s">
        <v>12</v>
      </c>
    </row>
    <row r="49" spans="1:5" ht="18" thickBot="1" x14ac:dyDescent="0.35">
      <c r="A49" s="81" t="s">
        <v>1063</v>
      </c>
      <c r="B49" s="81"/>
      <c r="C49" s="81"/>
      <c r="D49" s="81"/>
      <c r="E49" s="81"/>
    </row>
    <row r="50" spans="1:5" ht="13.5" thickTop="1" x14ac:dyDescent="0.2">
      <c r="A50" t="s">
        <v>874</v>
      </c>
      <c r="B50" t="s">
        <v>13</v>
      </c>
      <c r="C50" t="s">
        <v>347</v>
      </c>
      <c r="D50" t="s">
        <v>875</v>
      </c>
      <c r="E50" t="s">
        <v>51</v>
      </c>
    </row>
    <row r="51" spans="1:5" x14ac:dyDescent="0.2">
      <c r="A51" t="s">
        <v>882</v>
      </c>
      <c r="B51" t="s">
        <v>13</v>
      </c>
      <c r="C51" t="s">
        <v>347</v>
      </c>
      <c r="D51" t="s">
        <v>880</v>
      </c>
      <c r="E51" t="s">
        <v>51</v>
      </c>
    </row>
    <row r="52" spans="1:5" x14ac:dyDescent="0.2">
      <c r="A52" t="s">
        <v>883</v>
      </c>
      <c r="B52" t="s">
        <v>13</v>
      </c>
      <c r="C52" t="s">
        <v>347</v>
      </c>
      <c r="D52" t="s">
        <v>961</v>
      </c>
      <c r="E52" t="s">
        <v>51</v>
      </c>
    </row>
    <row r="53" spans="1:5" x14ac:dyDescent="0.2">
      <c r="A53" t="s">
        <v>962</v>
      </c>
      <c r="B53" t="s">
        <v>13</v>
      </c>
      <c r="C53" t="s">
        <v>347</v>
      </c>
      <c r="D53" t="s">
        <v>881</v>
      </c>
      <c r="E53" t="s">
        <v>51</v>
      </c>
    </row>
    <row r="54" spans="1:5" x14ac:dyDescent="0.2">
      <c r="A54" t="s">
        <v>919</v>
      </c>
      <c r="B54" t="s">
        <v>13</v>
      </c>
      <c r="C54" t="s">
        <v>347</v>
      </c>
      <c r="D54" t="s">
        <v>910</v>
      </c>
      <c r="E54" t="s">
        <v>42</v>
      </c>
    </row>
    <row r="55" spans="1:5" x14ac:dyDescent="0.2">
      <c r="A55" t="s">
        <v>920</v>
      </c>
      <c r="B55" t="s">
        <v>13</v>
      </c>
      <c r="C55" t="s">
        <v>347</v>
      </c>
      <c r="D55" t="s">
        <v>911</v>
      </c>
      <c r="E55" t="s">
        <v>42</v>
      </c>
    </row>
    <row r="56" spans="1:5" x14ac:dyDescent="0.2">
      <c r="A56" t="s">
        <v>921</v>
      </c>
      <c r="B56" t="s">
        <v>13</v>
      </c>
      <c r="C56" t="s">
        <v>347</v>
      </c>
      <c r="D56" t="s">
        <v>912</v>
      </c>
      <c r="E56" t="s">
        <v>96</v>
      </c>
    </row>
    <row r="57" spans="1:5" x14ac:dyDescent="0.2">
      <c r="A57" t="s">
        <v>923</v>
      </c>
      <c r="B57" t="s">
        <v>13</v>
      </c>
      <c r="C57" t="s">
        <v>347</v>
      </c>
      <c r="D57" t="s">
        <v>913</v>
      </c>
      <c r="E57" t="s">
        <v>12</v>
      </c>
    </row>
    <row r="58" spans="1:5" x14ac:dyDescent="0.2">
      <c r="A58" t="s">
        <v>922</v>
      </c>
      <c r="B58" t="s">
        <v>13</v>
      </c>
      <c r="C58" t="s">
        <v>347</v>
      </c>
      <c r="D58" t="s">
        <v>936</v>
      </c>
      <c r="E58" t="s">
        <v>12</v>
      </c>
    </row>
    <row r="59" spans="1:5" x14ac:dyDescent="0.2">
      <c r="A59" t="s">
        <v>924</v>
      </c>
      <c r="B59" t="s">
        <v>13</v>
      </c>
      <c r="C59" t="s">
        <v>347</v>
      </c>
      <c r="D59" t="s">
        <v>914</v>
      </c>
      <c r="E59" t="s">
        <v>916</v>
      </c>
    </row>
    <row r="60" spans="1:5" x14ac:dyDescent="0.2">
      <c r="A60" t="s">
        <v>925</v>
      </c>
      <c r="B60" t="s">
        <v>13</v>
      </c>
      <c r="C60" t="s">
        <v>347</v>
      </c>
      <c r="D60" t="s">
        <v>915</v>
      </c>
      <c r="E60" t="s">
        <v>917</v>
      </c>
    </row>
    <row r="61" spans="1:5" x14ac:dyDescent="0.2">
      <c r="A61" t="s">
        <v>926</v>
      </c>
      <c r="B61" t="s">
        <v>13</v>
      </c>
      <c r="C61" t="s">
        <v>347</v>
      </c>
      <c r="D61" t="s">
        <v>935</v>
      </c>
      <c r="E61" t="s">
        <v>96</v>
      </c>
    </row>
    <row r="62" spans="1:5" x14ac:dyDescent="0.2">
      <c r="A62" t="s">
        <v>927</v>
      </c>
      <c r="B62" t="s">
        <v>13</v>
      </c>
      <c r="C62" t="s">
        <v>347</v>
      </c>
      <c r="D62" t="s">
        <v>937</v>
      </c>
      <c r="E62" t="s">
        <v>918</v>
      </c>
    </row>
    <row r="63" spans="1:5" x14ac:dyDescent="0.2">
      <c r="A63" t="s">
        <v>928</v>
      </c>
      <c r="B63" t="s">
        <v>13</v>
      </c>
      <c r="C63" t="s">
        <v>347</v>
      </c>
      <c r="D63" t="s">
        <v>933</v>
      </c>
      <c r="E63" t="s">
        <v>12</v>
      </c>
    </row>
    <row r="64" spans="1:5" x14ac:dyDescent="0.2">
      <c r="A64" t="s">
        <v>929</v>
      </c>
      <c r="B64" t="s">
        <v>13</v>
      </c>
      <c r="C64" t="s">
        <v>347</v>
      </c>
      <c r="D64" t="s">
        <v>934</v>
      </c>
      <c r="E64" t="s">
        <v>51</v>
      </c>
    </row>
    <row r="65" spans="1:5" x14ac:dyDescent="0.2">
      <c r="A65" t="s">
        <v>930</v>
      </c>
      <c r="B65" t="s">
        <v>13</v>
      </c>
      <c r="C65" t="s">
        <v>347</v>
      </c>
      <c r="D65" t="s">
        <v>938</v>
      </c>
      <c r="E65" t="s">
        <v>918</v>
      </c>
    </row>
    <row r="66" spans="1:5" x14ac:dyDescent="0.2">
      <c r="A66" t="s">
        <v>943</v>
      </c>
      <c r="B66" t="s">
        <v>13</v>
      </c>
      <c r="C66" t="s">
        <v>347</v>
      </c>
      <c r="D66" t="s">
        <v>932</v>
      </c>
      <c r="E66" t="s">
        <v>917</v>
      </c>
    </row>
    <row r="67" spans="1:5" x14ac:dyDescent="0.2">
      <c r="A67" t="s">
        <v>944</v>
      </c>
      <c r="B67" t="s">
        <v>13</v>
      </c>
      <c r="C67" t="s">
        <v>347</v>
      </c>
      <c r="D67" t="s">
        <v>939</v>
      </c>
      <c r="E67" t="s">
        <v>942</v>
      </c>
    </row>
    <row r="68" spans="1:5" x14ac:dyDescent="0.2">
      <c r="A68" t="s">
        <v>945</v>
      </c>
      <c r="B68" t="s">
        <v>13</v>
      </c>
      <c r="C68" t="s">
        <v>347</v>
      </c>
      <c r="D68" t="s">
        <v>940</v>
      </c>
      <c r="E68" t="s">
        <v>942</v>
      </c>
    </row>
    <row r="69" spans="1:5" x14ac:dyDescent="0.2">
      <c r="A69" t="s">
        <v>946</v>
      </c>
      <c r="B69" t="s">
        <v>13</v>
      </c>
      <c r="C69" t="s">
        <v>347</v>
      </c>
      <c r="D69" t="s">
        <v>941</v>
      </c>
      <c r="E69" t="s">
        <v>942</v>
      </c>
    </row>
    <row r="70" spans="1:5" x14ac:dyDescent="0.2">
      <c r="A70" t="s">
        <v>953</v>
      </c>
      <c r="B70" t="s">
        <v>13</v>
      </c>
      <c r="C70" t="s">
        <v>347</v>
      </c>
      <c r="D70" t="s">
        <v>947</v>
      </c>
      <c r="E70" t="s">
        <v>51</v>
      </c>
    </row>
    <row r="71" spans="1:5" x14ac:dyDescent="0.2">
      <c r="A71" t="s">
        <v>954</v>
      </c>
      <c r="B71" t="s">
        <v>13</v>
      </c>
      <c r="C71" t="s">
        <v>347</v>
      </c>
      <c r="D71" t="s">
        <v>948</v>
      </c>
      <c r="E71" t="s">
        <v>51</v>
      </c>
    </row>
    <row r="72" spans="1:5" x14ac:dyDescent="0.2">
      <c r="A72" t="s">
        <v>955</v>
      </c>
      <c r="B72" t="s">
        <v>13</v>
      </c>
      <c r="C72" t="s">
        <v>347</v>
      </c>
      <c r="D72" t="s">
        <v>949</v>
      </c>
      <c r="E72" t="s">
        <v>51</v>
      </c>
    </row>
    <row r="73" spans="1:5" x14ac:dyDescent="0.2">
      <c r="A73" t="s">
        <v>956</v>
      </c>
      <c r="B73" t="s">
        <v>13</v>
      </c>
      <c r="C73" t="s">
        <v>347</v>
      </c>
      <c r="D73" t="s">
        <v>950</v>
      </c>
      <c r="E73" t="s">
        <v>116</v>
      </c>
    </row>
    <row r="74" spans="1:5" x14ac:dyDescent="0.2">
      <c r="A74" t="s">
        <v>957</v>
      </c>
      <c r="B74" t="s">
        <v>13</v>
      </c>
      <c r="C74" t="s">
        <v>347</v>
      </c>
      <c r="D74" t="s">
        <v>951</v>
      </c>
      <c r="E74" t="s">
        <v>51</v>
      </c>
    </row>
    <row r="75" spans="1:5" x14ac:dyDescent="0.2">
      <c r="A75" t="s">
        <v>958</v>
      </c>
      <c r="B75" t="s">
        <v>13</v>
      </c>
      <c r="C75" t="s">
        <v>347</v>
      </c>
      <c r="D75" t="s">
        <v>952</v>
      </c>
      <c r="E75" t="s">
        <v>51</v>
      </c>
    </row>
    <row r="76" spans="1:5" x14ac:dyDescent="0.2">
      <c r="A76" t="s">
        <v>960</v>
      </c>
      <c r="B76" t="s">
        <v>13</v>
      </c>
      <c r="C76" t="s">
        <v>347</v>
      </c>
      <c r="D76" t="s">
        <v>959</v>
      </c>
      <c r="E76" t="s">
        <v>942</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E24"/>
  <sheetViews>
    <sheetView workbookViewId="0">
      <selection activeCell="A4" sqref="A4:D4"/>
    </sheetView>
  </sheetViews>
  <sheetFormatPr baseColWidth="10" defaultRowHeight="12.75" x14ac:dyDescent="0.2"/>
  <cols>
    <col min="1" max="1" width="38.85546875" bestFit="1" customWidth="1"/>
    <col min="2" max="2" width="7.5703125" bestFit="1" customWidth="1"/>
    <col min="3" max="3" width="10.85546875" bestFit="1" customWidth="1"/>
    <col min="4" max="4" width="59.7109375" bestFit="1" customWidth="1"/>
  </cols>
  <sheetData>
    <row r="1" spans="1:5" ht="19.5" customHeight="1" x14ac:dyDescent="0.2">
      <c r="A1" s="354" t="s">
        <v>618</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1048</v>
      </c>
      <c r="B10" s="81"/>
      <c r="C10" s="81"/>
      <c r="D10" s="81"/>
      <c r="E10" s="81"/>
    </row>
    <row r="11" spans="1:5" ht="13.5" thickTop="1" x14ac:dyDescent="0.2">
      <c r="A11" t="s">
        <v>103</v>
      </c>
      <c r="B11" t="s">
        <v>13</v>
      </c>
      <c r="C11" t="s">
        <v>347</v>
      </c>
      <c r="D11" t="s">
        <v>104</v>
      </c>
      <c r="E11" t="s">
        <v>63</v>
      </c>
    </row>
    <row r="12" spans="1:5" x14ac:dyDescent="0.2">
      <c r="A12" t="s">
        <v>236</v>
      </c>
      <c r="B12" t="s">
        <v>13</v>
      </c>
      <c r="C12" t="s">
        <v>347</v>
      </c>
      <c r="D12" t="s">
        <v>237</v>
      </c>
      <c r="E12" t="s">
        <v>63</v>
      </c>
    </row>
    <row r="13" spans="1:5" x14ac:dyDescent="0.2">
      <c r="A13" t="s">
        <v>238</v>
      </c>
      <c r="B13" t="s">
        <v>13</v>
      </c>
      <c r="C13" t="s">
        <v>347</v>
      </c>
      <c r="D13" t="s">
        <v>239</v>
      </c>
      <c r="E13" t="s">
        <v>63</v>
      </c>
    </row>
    <row r="15" spans="1:5" ht="18" thickBot="1" x14ac:dyDescent="0.35">
      <c r="A15" s="81" t="s">
        <v>1035</v>
      </c>
      <c r="B15" s="81"/>
      <c r="C15" s="81"/>
      <c r="D15" s="81"/>
      <c r="E15" s="81"/>
    </row>
    <row r="16" spans="1:5" ht="13.5" thickTop="1" x14ac:dyDescent="0.2">
      <c r="A16" t="s">
        <v>809</v>
      </c>
      <c r="B16" t="s">
        <v>13</v>
      </c>
      <c r="C16" t="s">
        <v>347</v>
      </c>
      <c r="D16" t="s">
        <v>193</v>
      </c>
      <c r="E16" t="s">
        <v>51</v>
      </c>
    </row>
    <row r="18" spans="1:5" ht="18" thickBot="1" x14ac:dyDescent="0.35">
      <c r="A18" s="81" t="s">
        <v>1052</v>
      </c>
      <c r="B18" s="81"/>
      <c r="C18" s="81"/>
      <c r="D18" s="81"/>
      <c r="E18" s="81"/>
    </row>
    <row r="19" spans="1:5" ht="13.5" thickTop="1" x14ac:dyDescent="0.2">
      <c r="A19" t="s">
        <v>810</v>
      </c>
      <c r="B19" t="s">
        <v>13</v>
      </c>
      <c r="C19" t="s">
        <v>347</v>
      </c>
      <c r="D19" t="s">
        <v>456</v>
      </c>
      <c r="E19" t="s">
        <v>51</v>
      </c>
    </row>
    <row r="20" spans="1:5" x14ac:dyDescent="0.2">
      <c r="A20" t="s">
        <v>815</v>
      </c>
      <c r="B20" t="s">
        <v>13</v>
      </c>
      <c r="C20" t="s">
        <v>347</v>
      </c>
      <c r="D20" t="s">
        <v>99</v>
      </c>
      <c r="E20" t="s">
        <v>12</v>
      </c>
    </row>
    <row r="21" spans="1:5" x14ac:dyDescent="0.2">
      <c r="A21" t="s">
        <v>816</v>
      </c>
      <c r="B21" t="s">
        <v>13</v>
      </c>
      <c r="C21" t="s">
        <v>347</v>
      </c>
      <c r="D21" t="s">
        <v>100</v>
      </c>
      <c r="E21" t="s">
        <v>12</v>
      </c>
    </row>
    <row r="23" spans="1:5" ht="18" thickBot="1" x14ac:dyDescent="0.35">
      <c r="A23" s="81" t="s">
        <v>1082</v>
      </c>
      <c r="B23" s="81"/>
      <c r="C23" s="81"/>
      <c r="D23" s="81"/>
      <c r="E23" s="81"/>
    </row>
    <row r="24" spans="1:5" ht="13.5" thickTop="1" x14ac:dyDescent="0.2">
      <c r="A24" t="s">
        <v>994</v>
      </c>
      <c r="B24" t="s">
        <v>587</v>
      </c>
      <c r="C24" t="s">
        <v>72</v>
      </c>
      <c r="D24" t="s">
        <v>205</v>
      </c>
      <c r="E24" t="s">
        <v>51</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E45"/>
  <sheetViews>
    <sheetView workbookViewId="0">
      <selection activeCell="A4" sqref="A4:D4"/>
    </sheetView>
  </sheetViews>
  <sheetFormatPr baseColWidth="10" defaultRowHeight="12.75" x14ac:dyDescent="0.2"/>
  <cols>
    <col min="1" max="1" width="48" bestFit="1" customWidth="1"/>
    <col min="2" max="2" width="7.5703125" bestFit="1" customWidth="1"/>
    <col min="3" max="3" width="10.85546875" bestFit="1" customWidth="1"/>
    <col min="4" max="4" width="70.140625" bestFit="1" customWidth="1"/>
  </cols>
  <sheetData>
    <row r="1" spans="1:5" ht="19.5" customHeight="1" x14ac:dyDescent="0.2">
      <c r="A1" s="354" t="s">
        <v>613</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1064</v>
      </c>
      <c r="B10" s="81"/>
      <c r="C10" s="81"/>
      <c r="D10" s="81"/>
      <c r="E10" s="81"/>
    </row>
    <row r="11" spans="1:5" ht="13.5" thickTop="1" x14ac:dyDescent="0.2">
      <c r="A11" t="s">
        <v>651</v>
      </c>
      <c r="B11" t="s">
        <v>574</v>
      </c>
      <c r="C11" t="s">
        <v>347</v>
      </c>
      <c r="D11" t="s">
        <v>50</v>
      </c>
      <c r="E11" t="s">
        <v>51</v>
      </c>
    </row>
    <row r="13" spans="1:5" ht="18" thickBot="1" x14ac:dyDescent="0.35">
      <c r="A13" s="81" t="s">
        <v>1065</v>
      </c>
      <c r="B13" s="81"/>
      <c r="C13" s="81"/>
      <c r="D13" s="81"/>
      <c r="E13" s="81"/>
    </row>
    <row r="14" spans="1:5" ht="13.5" thickTop="1" x14ac:dyDescent="0.2">
      <c r="A14" t="s">
        <v>761</v>
      </c>
      <c r="B14" t="s">
        <v>13</v>
      </c>
      <c r="C14" t="s">
        <v>347</v>
      </c>
      <c r="D14" t="s">
        <v>506</v>
      </c>
      <c r="E14" t="s">
        <v>116</v>
      </c>
    </row>
    <row r="15" spans="1:5" x14ac:dyDescent="0.2">
      <c r="A15" t="s">
        <v>671</v>
      </c>
      <c r="B15" t="s">
        <v>587</v>
      </c>
      <c r="C15" t="s">
        <v>72</v>
      </c>
      <c r="D15" t="s">
        <v>512</v>
      </c>
      <c r="E15" t="s">
        <v>116</v>
      </c>
    </row>
    <row r="16" spans="1:5" x14ac:dyDescent="0.2">
      <c r="A16" t="s">
        <v>672</v>
      </c>
      <c r="B16" t="s">
        <v>587</v>
      </c>
      <c r="C16" t="s">
        <v>72</v>
      </c>
      <c r="D16" t="s">
        <v>513</v>
      </c>
      <c r="E16" t="s">
        <v>116</v>
      </c>
    </row>
    <row r="17" spans="1:5" x14ac:dyDescent="0.2">
      <c r="A17" t="s">
        <v>673</v>
      </c>
      <c r="B17" t="s">
        <v>587</v>
      </c>
      <c r="C17" t="s">
        <v>72</v>
      </c>
      <c r="D17" t="s">
        <v>514</v>
      </c>
      <c r="E17" t="s">
        <v>116</v>
      </c>
    </row>
    <row r="18" spans="1:5" x14ac:dyDescent="0.2">
      <c r="A18" t="s">
        <v>674</v>
      </c>
      <c r="B18" t="s">
        <v>587</v>
      </c>
      <c r="C18" t="s">
        <v>72</v>
      </c>
      <c r="D18" t="s">
        <v>515</v>
      </c>
      <c r="E18" t="s">
        <v>116</v>
      </c>
    </row>
    <row r="20" spans="1:5" ht="18" thickBot="1" x14ac:dyDescent="0.35">
      <c r="A20" s="81" t="s">
        <v>1066</v>
      </c>
      <c r="B20" s="81"/>
      <c r="C20" s="81"/>
      <c r="D20" s="81"/>
      <c r="E20" s="81"/>
    </row>
    <row r="21" spans="1:5" ht="13.5" thickTop="1" x14ac:dyDescent="0.2">
      <c r="A21" t="s">
        <v>992</v>
      </c>
      <c r="B21" t="s">
        <v>587</v>
      </c>
      <c r="C21" t="s">
        <v>72</v>
      </c>
      <c r="D21" t="s">
        <v>244</v>
      </c>
      <c r="E21" t="s">
        <v>51</v>
      </c>
    </row>
    <row r="23" spans="1:5" ht="18" thickBot="1" x14ac:dyDescent="0.35">
      <c r="A23" s="81" t="s">
        <v>1067</v>
      </c>
      <c r="B23" s="81"/>
      <c r="C23" s="81"/>
      <c r="D23" s="81"/>
      <c r="E23" s="81"/>
    </row>
    <row r="24" spans="1:5" ht="13.5" thickTop="1" x14ac:dyDescent="0.2">
      <c r="A24" t="s">
        <v>103</v>
      </c>
      <c r="B24" t="s">
        <v>13</v>
      </c>
      <c r="C24" t="s">
        <v>347</v>
      </c>
      <c r="D24" t="s">
        <v>104</v>
      </c>
      <c r="E24" t="s">
        <v>63</v>
      </c>
    </row>
    <row r="25" spans="1:5" x14ac:dyDescent="0.2">
      <c r="A25" t="s">
        <v>236</v>
      </c>
      <c r="B25" t="s">
        <v>13</v>
      </c>
      <c r="C25" t="s">
        <v>347</v>
      </c>
      <c r="D25" t="s">
        <v>237</v>
      </c>
      <c r="E25" t="s">
        <v>63</v>
      </c>
    </row>
    <row r="26" spans="1:5" x14ac:dyDescent="0.2">
      <c r="A26" t="s">
        <v>238</v>
      </c>
      <c r="B26" t="s">
        <v>13</v>
      </c>
      <c r="C26" t="s">
        <v>347</v>
      </c>
      <c r="D26" t="s">
        <v>239</v>
      </c>
      <c r="E26" t="s">
        <v>63</v>
      </c>
    </row>
    <row r="28" spans="1:5" ht="18" thickBot="1" x14ac:dyDescent="0.35">
      <c r="A28" s="81" t="s">
        <v>1068</v>
      </c>
      <c r="B28" s="81"/>
      <c r="C28" s="81"/>
      <c r="D28" s="81"/>
      <c r="E28" s="81"/>
    </row>
    <row r="29" spans="1:5" ht="13.5" thickTop="1" x14ac:dyDescent="0.2">
      <c r="A29" t="s">
        <v>792</v>
      </c>
      <c r="B29" t="s">
        <v>587</v>
      </c>
      <c r="C29" t="s">
        <v>72</v>
      </c>
      <c r="D29" t="s">
        <v>297</v>
      </c>
      <c r="E29" t="s">
        <v>12</v>
      </c>
    </row>
    <row r="30" spans="1:5" x14ac:dyDescent="0.2">
      <c r="A30" t="s">
        <v>793</v>
      </c>
      <c r="B30" t="s">
        <v>587</v>
      </c>
      <c r="C30" t="s">
        <v>72</v>
      </c>
      <c r="D30" t="s">
        <v>298</v>
      </c>
      <c r="E30" t="s">
        <v>12</v>
      </c>
    </row>
    <row r="31" spans="1:5" x14ac:dyDescent="0.2">
      <c r="A31" t="s">
        <v>794</v>
      </c>
      <c r="B31" t="s">
        <v>587</v>
      </c>
      <c r="C31" t="s">
        <v>72</v>
      </c>
      <c r="D31" t="s">
        <v>299</v>
      </c>
      <c r="E31" t="s">
        <v>12</v>
      </c>
    </row>
    <row r="33" spans="1:5" ht="18" thickBot="1" x14ac:dyDescent="0.35">
      <c r="A33" s="81" t="s">
        <v>1069</v>
      </c>
      <c r="B33" s="81"/>
      <c r="C33" s="81"/>
      <c r="D33" s="81"/>
      <c r="E33" s="81"/>
    </row>
    <row r="34" spans="1:5" ht="13.5" thickTop="1" x14ac:dyDescent="0.2">
      <c r="A34" t="s">
        <v>795</v>
      </c>
      <c r="B34" t="s">
        <v>587</v>
      </c>
      <c r="C34" t="s">
        <v>72</v>
      </c>
      <c r="D34" t="s">
        <v>125</v>
      </c>
      <c r="E34" t="s">
        <v>465</v>
      </c>
    </row>
    <row r="35" spans="1:5" x14ac:dyDescent="0.2">
      <c r="A35" t="s">
        <v>796</v>
      </c>
      <c r="B35" t="s">
        <v>587</v>
      </c>
      <c r="C35" t="s">
        <v>72</v>
      </c>
      <c r="D35" t="s">
        <v>127</v>
      </c>
      <c r="E35" t="s">
        <v>465</v>
      </c>
    </row>
    <row r="36" spans="1:5" x14ac:dyDescent="0.2">
      <c r="A36" t="s">
        <v>797</v>
      </c>
      <c r="B36" t="s">
        <v>587</v>
      </c>
      <c r="C36" t="s">
        <v>72</v>
      </c>
      <c r="D36" t="s">
        <v>235</v>
      </c>
      <c r="E36" t="s">
        <v>465</v>
      </c>
    </row>
    <row r="38" spans="1:5" ht="18" thickBot="1" x14ac:dyDescent="0.35">
      <c r="A38" s="81" t="s">
        <v>1070</v>
      </c>
      <c r="B38" s="81"/>
      <c r="C38" s="81"/>
      <c r="D38" s="81"/>
      <c r="E38" s="81"/>
    </row>
    <row r="39" spans="1:5" ht="13.5" thickTop="1" x14ac:dyDescent="0.2">
      <c r="A39" t="s">
        <v>821</v>
      </c>
      <c r="B39" t="s">
        <v>587</v>
      </c>
      <c r="C39" t="s">
        <v>72</v>
      </c>
      <c r="D39" t="s">
        <v>198</v>
      </c>
      <c r="E39" t="s">
        <v>51</v>
      </c>
    </row>
    <row r="41" spans="1:5" ht="18" thickBot="1" x14ac:dyDescent="0.35">
      <c r="A41" s="81" t="s">
        <v>1071</v>
      </c>
      <c r="B41" s="81"/>
      <c r="C41" s="81"/>
      <c r="D41" s="81"/>
      <c r="E41" s="81"/>
    </row>
    <row r="42" spans="1:5" ht="13.5" thickTop="1" x14ac:dyDescent="0.2">
      <c r="A42" t="s">
        <v>969</v>
      </c>
      <c r="B42">
        <v>0</v>
      </c>
      <c r="C42">
        <v>0</v>
      </c>
      <c r="D42" t="s">
        <v>305</v>
      </c>
      <c r="E42" t="s">
        <v>51</v>
      </c>
    </row>
    <row r="43" spans="1:5" x14ac:dyDescent="0.2">
      <c r="A43" t="s">
        <v>837</v>
      </c>
      <c r="B43">
        <v>0</v>
      </c>
      <c r="C43">
        <v>0</v>
      </c>
      <c r="D43" t="s">
        <v>310</v>
      </c>
      <c r="E43" t="s">
        <v>51</v>
      </c>
    </row>
    <row r="44" spans="1:5" ht="18" thickBot="1" x14ac:dyDescent="0.35">
      <c r="A44" s="81"/>
      <c r="B44" s="81"/>
      <c r="C44" s="81"/>
      <c r="D44" s="81"/>
      <c r="E44" s="81"/>
    </row>
    <row r="45" spans="1:5" ht="13.5" thickTop="1" x14ac:dyDescent="0.2"/>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E11"/>
  <sheetViews>
    <sheetView workbookViewId="0">
      <selection activeCell="A4" sqref="A4:D4"/>
    </sheetView>
  </sheetViews>
  <sheetFormatPr baseColWidth="10" defaultRowHeight="12.75" x14ac:dyDescent="0.2"/>
  <cols>
    <col min="1" max="1" width="16.7109375" bestFit="1" customWidth="1"/>
    <col min="2" max="2" width="7.5703125" bestFit="1" customWidth="1"/>
    <col min="3" max="3" width="10.85546875" bestFit="1" customWidth="1"/>
    <col min="4" max="4" width="28.85546875" bestFit="1" customWidth="1"/>
  </cols>
  <sheetData>
    <row r="1" spans="1:5" ht="19.5" customHeight="1" x14ac:dyDescent="0.2">
      <c r="A1" s="354" t="s">
        <v>619</v>
      </c>
      <c r="B1" s="354"/>
      <c r="C1" s="354"/>
      <c r="D1" s="354"/>
      <c r="E1" s="354"/>
    </row>
    <row r="2" spans="1:5" x14ac:dyDescent="0.2">
      <c r="A2" s="354"/>
      <c r="B2" s="354"/>
      <c r="C2" s="354"/>
      <c r="D2" s="354"/>
      <c r="E2" s="354"/>
    </row>
    <row r="3" spans="1:5" ht="13.5" thickBot="1" x14ac:dyDescent="0.25">
      <c r="A3" s="355"/>
      <c r="B3" s="355"/>
      <c r="C3" s="355"/>
      <c r="D3" s="355"/>
      <c r="E3" s="355"/>
    </row>
    <row r="4" spans="1:5" ht="13.5" thickTop="1" x14ac:dyDescent="0.2">
      <c r="A4" s="80" t="s">
        <v>625</v>
      </c>
      <c r="B4" s="80" t="s">
        <v>623</v>
      </c>
      <c r="C4" s="80" t="s">
        <v>628</v>
      </c>
      <c r="D4" s="80" t="s">
        <v>622</v>
      </c>
      <c r="E4" t="s">
        <v>626</v>
      </c>
    </row>
    <row r="10" spans="1:5" ht="18" thickBot="1" x14ac:dyDescent="0.35">
      <c r="A10" s="81" t="s">
        <v>1083</v>
      </c>
      <c r="B10" s="81"/>
      <c r="C10" s="81"/>
      <c r="D10" s="81"/>
      <c r="E10" s="81"/>
    </row>
    <row r="11" spans="1:5" ht="13.5" thickTop="1" x14ac:dyDescent="0.2">
      <c r="A11" t="s">
        <v>838</v>
      </c>
      <c r="B11" t="s">
        <v>587</v>
      </c>
      <c r="C11" t="s">
        <v>72</v>
      </c>
      <c r="D11" t="s">
        <v>230</v>
      </c>
      <c r="E11" t="s">
        <v>51</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F34" sqref="F34"/>
    </sheetView>
  </sheetViews>
  <sheetFormatPr baseColWidth="10" defaultRowHeight="12.75" x14ac:dyDescent="0.2"/>
  <cols>
    <col min="1" max="1" width="12.42578125" customWidth="1"/>
    <col min="2" max="2" width="23.28515625" bestFit="1" customWidth="1"/>
    <col min="3" max="3" width="15.42578125" customWidth="1"/>
    <col min="4" max="4" width="18.28515625" bestFit="1" customWidth="1"/>
  </cols>
  <sheetData>
    <row r="1" spans="2:4" ht="15" x14ac:dyDescent="0.25">
      <c r="B1" s="9" t="s">
        <v>588</v>
      </c>
      <c r="C1" s="9"/>
      <c r="D1" s="9" t="s">
        <v>868</v>
      </c>
    </row>
    <row r="2" spans="2:4" x14ac:dyDescent="0.2">
      <c r="B2" s="1" t="s">
        <v>842</v>
      </c>
      <c r="D2" s="1" t="s">
        <v>853</v>
      </c>
    </row>
    <row r="3" spans="2:4" x14ac:dyDescent="0.2">
      <c r="B3" s="1" t="s">
        <v>843</v>
      </c>
      <c r="D3" s="1" t="s">
        <v>854</v>
      </c>
    </row>
    <row r="4" spans="2:4" x14ac:dyDescent="0.2">
      <c r="B4" s="1" t="s">
        <v>844</v>
      </c>
      <c r="D4" s="1" t="s">
        <v>857</v>
      </c>
    </row>
    <row r="5" spans="2:4" x14ac:dyDescent="0.2">
      <c r="B5" s="1" t="s">
        <v>847</v>
      </c>
      <c r="D5" s="1" t="s">
        <v>175</v>
      </c>
    </row>
    <row r="6" spans="2:4" x14ac:dyDescent="0.2">
      <c r="B6" s="1" t="s">
        <v>684</v>
      </c>
      <c r="D6" s="1" t="s">
        <v>691</v>
      </c>
    </row>
    <row r="7" spans="2:4" x14ac:dyDescent="0.2">
      <c r="B7" s="1" t="s">
        <v>845</v>
      </c>
      <c r="D7" s="1" t="s">
        <v>690</v>
      </c>
    </row>
    <row r="8" spans="2:4" x14ac:dyDescent="0.2">
      <c r="B8" s="1" t="s">
        <v>846</v>
      </c>
      <c r="D8" s="1" t="s">
        <v>860</v>
      </c>
    </row>
    <row r="9" spans="2:4" x14ac:dyDescent="0.2">
      <c r="D9" s="1" t="s">
        <v>851</v>
      </c>
    </row>
    <row r="10" spans="2:4" x14ac:dyDescent="0.2">
      <c r="D10" s="1" t="s">
        <v>863</v>
      </c>
    </row>
    <row r="11" spans="2:4" x14ac:dyDescent="0.2">
      <c r="D11" s="1" t="s">
        <v>856</v>
      </c>
    </row>
    <row r="12" spans="2:4" x14ac:dyDescent="0.2">
      <c r="D12" s="1" t="s">
        <v>685</v>
      </c>
    </row>
    <row r="13" spans="2:4" x14ac:dyDescent="0.2">
      <c r="D13" s="1" t="s">
        <v>862</v>
      </c>
    </row>
    <row r="14" spans="2:4" x14ac:dyDescent="0.2">
      <c r="D14" s="1" t="s">
        <v>852</v>
      </c>
    </row>
    <row r="15" spans="2:4" x14ac:dyDescent="0.2">
      <c r="D15" s="1" t="s">
        <v>689</v>
      </c>
    </row>
    <row r="16" spans="2:4" x14ac:dyDescent="0.2">
      <c r="D16" s="1" t="s">
        <v>861</v>
      </c>
    </row>
    <row r="17" spans="4:4" x14ac:dyDescent="0.2">
      <c r="D17" s="1" t="s">
        <v>850</v>
      </c>
    </row>
    <row r="18" spans="4:4" x14ac:dyDescent="0.2">
      <c r="D18" s="1" t="s">
        <v>849</v>
      </c>
    </row>
    <row r="19" spans="4:4" x14ac:dyDescent="0.2">
      <c r="D19" s="1" t="s">
        <v>686</v>
      </c>
    </row>
    <row r="20" spans="4:4" x14ac:dyDescent="0.2">
      <c r="D20" s="1" t="s">
        <v>858</v>
      </c>
    </row>
    <row r="21" spans="4:4" x14ac:dyDescent="0.2">
      <c r="D21" s="1" t="s">
        <v>859</v>
      </c>
    </row>
    <row r="22" spans="4:4" x14ac:dyDescent="0.2">
      <c r="D22" s="1" t="s">
        <v>692</v>
      </c>
    </row>
    <row r="23" spans="4:4" x14ac:dyDescent="0.2">
      <c r="D23" s="1" t="s">
        <v>687</v>
      </c>
    </row>
    <row r="24" spans="4:4" x14ac:dyDescent="0.2">
      <c r="D24" s="1" t="s">
        <v>855</v>
      </c>
    </row>
    <row r="25" spans="4:4" x14ac:dyDescent="0.2">
      <c r="D25" s="1" t="s">
        <v>848</v>
      </c>
    </row>
    <row r="26" spans="4:4" x14ac:dyDescent="0.2">
      <c r="D26" s="1" t="s">
        <v>688</v>
      </c>
    </row>
    <row r="27" spans="4:4" x14ac:dyDescent="0.2">
      <c r="D27" s="1" t="s">
        <v>841</v>
      </c>
    </row>
    <row r="28" spans="4:4" x14ac:dyDescent="0.2">
      <c r="D28" s="1"/>
    </row>
  </sheetData>
  <sortState ref="D2:D38">
    <sortCondition ref="D2"/>
  </sortState>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vt:i4>
      </vt:variant>
    </vt:vector>
  </HeadingPairs>
  <TitlesOfParts>
    <vt:vector size="17" baseType="lpstr">
      <vt:lpstr>Arborescence - V3R0</vt:lpstr>
      <vt:lpstr>Inputs Geometry</vt:lpstr>
      <vt:lpstr>Outputs Geometry</vt:lpstr>
      <vt:lpstr>Inputs Aerodynamics</vt:lpstr>
      <vt:lpstr>Outputs Aerodynamics</vt:lpstr>
      <vt:lpstr>Inputs Propulsion</vt:lpstr>
      <vt:lpstr>Outputs Propulsion</vt:lpstr>
      <vt:lpstr>Inputs Structure</vt:lpstr>
      <vt:lpstr>Outputs Structure</vt:lpstr>
      <vt:lpstr>Inputs Mission</vt:lpstr>
      <vt:lpstr>Outputs Mission</vt:lpstr>
      <vt:lpstr>Inputs QdV</vt:lpstr>
      <vt:lpstr>Outputs QdV</vt:lpstr>
      <vt:lpstr>Listes MC</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Tremolet Arnault</cp:lastModifiedBy>
  <cp:lastPrinted>2017-03-07T09:45:17Z</cp:lastPrinted>
  <dcterms:created xsi:type="dcterms:W3CDTF">1996-10-21T11:03:58Z</dcterms:created>
  <dcterms:modified xsi:type="dcterms:W3CDTF">2017-04-20T07:11:40Z</dcterms:modified>
</cp:coreProperties>
</file>